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reyas\ES418 Course Project\"/>
    </mc:Choice>
  </mc:AlternateContent>
  <xr:revisionPtr revIDLastSave="0" documentId="13_ncr:9_{F6B67835-1203-48DF-ABED-9F034BCCD306}" xr6:coauthVersionLast="47" xr6:coauthVersionMax="47" xr10:uidLastSave="{00000000-0000-0000-0000-000000000000}"/>
  <bookViews>
    <workbookView xWindow="-110" yWindow="-110" windowWidth="19420" windowHeight="11500" xr2:uid="{9D6B7C45-FF47-4F6F-9F68-9D1692EE9D93}"/>
  </bookViews>
  <sheets>
    <sheet name="nse_all_stock_data (1)" sheetId="1" r:id="rId1"/>
  </sheets>
  <calcPr calcId="0"/>
</workbook>
</file>

<file path=xl/calcChain.xml><?xml version="1.0" encoding="utf-8"?>
<calcChain xmlns="http://schemas.openxmlformats.org/spreadsheetml/2006/main">
  <c r="AA13" i="1" l="1"/>
  <c r="AA12" i="1"/>
  <c r="AA11" i="1"/>
  <c r="AA10" i="1"/>
  <c r="AA6" i="1"/>
  <c r="AA7" i="1"/>
  <c r="W34" i="1"/>
  <c r="W41" i="1"/>
  <c r="W44" i="1"/>
  <c r="W45" i="1"/>
  <c r="W52" i="1"/>
  <c r="W59" i="1"/>
  <c r="W60" i="1"/>
  <c r="W63" i="1"/>
  <c r="W70" i="1"/>
  <c r="W72" i="1"/>
  <c r="W73" i="1"/>
  <c r="W74" i="1"/>
  <c r="W75" i="1"/>
  <c r="W77" i="1"/>
  <c r="W78" i="1"/>
  <c r="W79" i="1"/>
  <c r="W82" i="1"/>
  <c r="W83" i="1"/>
  <c r="W88" i="1"/>
  <c r="W95" i="1"/>
  <c r="W96" i="1"/>
  <c r="W97" i="1"/>
  <c r="W98" i="1"/>
  <c r="W101" i="1"/>
  <c r="W102" i="1"/>
  <c r="W103" i="1"/>
  <c r="W104" i="1"/>
  <c r="W105" i="1"/>
  <c r="W106" i="1"/>
  <c r="W107" i="1"/>
  <c r="W108" i="1"/>
  <c r="W114" i="1"/>
  <c r="W115" i="1"/>
  <c r="W116" i="1"/>
  <c r="W117" i="1"/>
  <c r="W124" i="1"/>
  <c r="W132" i="1"/>
  <c r="W133" i="1"/>
  <c r="W134" i="1"/>
  <c r="W135" i="1"/>
  <c r="W142" i="1"/>
  <c r="W147" i="1"/>
  <c r="W149" i="1"/>
  <c r="W150" i="1"/>
  <c r="W151" i="1"/>
  <c r="W160" i="1"/>
  <c r="W167" i="1"/>
  <c r="W168" i="1"/>
  <c r="W169" i="1"/>
  <c r="W170" i="1"/>
  <c r="W171" i="1"/>
  <c r="W172" i="1"/>
  <c r="W178" i="1"/>
  <c r="W180" i="1"/>
  <c r="W181" i="1"/>
  <c r="W182" i="1"/>
  <c r="W183" i="1"/>
  <c r="W185" i="1"/>
  <c r="W186" i="1"/>
  <c r="W187" i="1"/>
  <c r="W188" i="1"/>
  <c r="W189" i="1"/>
  <c r="W196" i="1"/>
  <c r="W203" i="1"/>
  <c r="W204" i="1"/>
  <c r="W205" i="1"/>
  <c r="W206" i="1"/>
  <c r="W207" i="1"/>
  <c r="W208" i="1"/>
  <c r="W209" i="1"/>
  <c r="W210" i="1"/>
  <c r="W211" i="1"/>
  <c r="W212" i="1"/>
  <c r="W214" i="1"/>
  <c r="W215" i="1"/>
  <c r="W222" i="1"/>
  <c r="W223" i="1"/>
  <c r="W224" i="1"/>
  <c r="W225" i="1"/>
  <c r="W240" i="1"/>
  <c r="W241" i="1"/>
  <c r="W242" i="1"/>
  <c r="W243" i="1"/>
  <c r="W244" i="1"/>
  <c r="W250" i="1"/>
  <c r="W257" i="1"/>
  <c r="W258" i="1"/>
  <c r="W264" i="1"/>
  <c r="W265" i="1"/>
  <c r="W266" i="1"/>
  <c r="W268" i="1"/>
  <c r="W275" i="1"/>
  <c r="W276" i="1"/>
  <c r="W277" i="1"/>
  <c r="W278" i="1"/>
  <c r="W279" i="1"/>
  <c r="W286" i="1"/>
  <c r="W293" i="1"/>
  <c r="W294" i="1"/>
  <c r="W295" i="1"/>
  <c r="W296" i="1"/>
  <c r="W297" i="1"/>
  <c r="W298" i="1"/>
  <c r="W299" i="1"/>
  <c r="W304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30" i="1"/>
  <c r="W331" i="1"/>
  <c r="W332" i="1"/>
  <c r="W333" i="1"/>
  <c r="W340" i="1"/>
  <c r="W349" i="1"/>
  <c r="W350" i="1"/>
  <c r="W351" i="1"/>
  <c r="W352" i="1"/>
  <c r="W353" i="1"/>
  <c r="W354" i="1"/>
  <c r="W358" i="1"/>
  <c r="W372" i="1"/>
  <c r="W373" i="1"/>
  <c r="W374" i="1"/>
  <c r="W375" i="1"/>
  <c r="W376" i="1"/>
  <c r="W377" i="1"/>
  <c r="W378" i="1"/>
  <c r="W384" i="1"/>
  <c r="W387" i="1"/>
  <c r="W394" i="1"/>
  <c r="W401" i="1"/>
  <c r="W402" i="1"/>
  <c r="W403" i="1"/>
  <c r="W406" i="1"/>
  <c r="W407" i="1"/>
  <c r="W408" i="1"/>
  <c r="W412" i="1"/>
  <c r="W414" i="1"/>
  <c r="W419" i="1"/>
  <c r="W420" i="1"/>
  <c r="W421" i="1"/>
  <c r="W422" i="1"/>
  <c r="W425" i="1"/>
  <c r="W426" i="1"/>
  <c r="W430" i="1"/>
  <c r="W437" i="1"/>
  <c r="W438" i="1"/>
  <c r="W439" i="1"/>
  <c r="W440" i="1"/>
  <c r="W441" i="1"/>
  <c r="W448" i="1"/>
  <c r="W456" i="1"/>
  <c r="W457" i="1"/>
  <c r="W458" i="1"/>
  <c r="W459" i="1"/>
  <c r="W460" i="1"/>
  <c r="W466" i="1"/>
  <c r="W474" i="1"/>
  <c r="W475" i="1"/>
  <c r="W476" i="1"/>
  <c r="W477" i="1"/>
  <c r="W478" i="1"/>
  <c r="W479" i="1"/>
  <c r="W482" i="1"/>
  <c r="W483" i="1"/>
  <c r="W484" i="1"/>
  <c r="W485" i="1"/>
  <c r="W486" i="1"/>
  <c r="W487" i="1"/>
  <c r="W492" i="1"/>
  <c r="W493" i="1"/>
  <c r="W502" i="1"/>
  <c r="W509" i="1"/>
  <c r="W510" i="1"/>
  <c r="W511" i="1"/>
  <c r="W512" i="1"/>
  <c r="W513" i="1"/>
  <c r="W514" i="1"/>
  <c r="W520" i="1"/>
  <c r="W522" i="1"/>
  <c r="W527" i="1"/>
  <c r="W528" i="1"/>
  <c r="W529" i="1"/>
  <c r="W530" i="1"/>
  <c r="W531" i="1"/>
  <c r="W532" i="1"/>
  <c r="W533" i="1"/>
  <c r="W534" i="1"/>
  <c r="W538" i="1"/>
  <c r="W545" i="1"/>
  <c r="W546" i="1"/>
  <c r="W547" i="1"/>
  <c r="W548" i="1"/>
  <c r="W549" i="1"/>
  <c r="W564" i="1"/>
  <c r="W565" i="1"/>
  <c r="W566" i="1"/>
  <c r="W567" i="1"/>
  <c r="W568" i="1"/>
  <c r="W569" i="1"/>
  <c r="W570" i="1"/>
  <c r="W574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9" i="1"/>
  <c r="W600" i="1"/>
  <c r="W610" i="1"/>
  <c r="W617" i="1"/>
  <c r="W618" i="1"/>
  <c r="W619" i="1"/>
  <c r="W620" i="1"/>
  <c r="W621" i="1"/>
  <c r="W627" i="1"/>
  <c r="W628" i="1"/>
  <c r="W629" i="1"/>
  <c r="W630" i="1"/>
  <c r="W635" i="1"/>
  <c r="W636" i="1"/>
  <c r="W637" i="1"/>
  <c r="W638" i="1"/>
  <c r="W639" i="1"/>
  <c r="W640" i="1"/>
  <c r="W641" i="1"/>
  <c r="W642" i="1"/>
  <c r="W646" i="1"/>
  <c r="W654" i="1"/>
  <c r="W655" i="1"/>
  <c r="W656" i="1"/>
  <c r="W657" i="1"/>
  <c r="W658" i="1"/>
  <c r="W664" i="1"/>
  <c r="W673" i="1"/>
  <c r="W674" i="1"/>
  <c r="W675" i="1"/>
  <c r="W676" i="1"/>
  <c r="W677" i="1"/>
  <c r="W678" i="1"/>
  <c r="W682" i="1"/>
  <c r="W692" i="1"/>
  <c r="W693" i="1"/>
  <c r="W700" i="1"/>
  <c r="W701" i="1"/>
  <c r="W702" i="1"/>
  <c r="W703" i="1"/>
  <c r="W704" i="1"/>
  <c r="W705" i="1"/>
  <c r="W708" i="1"/>
  <c r="W714" i="1"/>
  <c r="W715" i="1"/>
  <c r="W718" i="1"/>
  <c r="W725" i="1"/>
  <c r="W726" i="1"/>
  <c r="W727" i="1"/>
  <c r="W736" i="1"/>
  <c r="W744" i="1"/>
  <c r="W745" i="1"/>
  <c r="W746" i="1"/>
  <c r="W754" i="1"/>
  <c r="W757" i="1"/>
  <c r="W758" i="1"/>
  <c r="W759" i="1"/>
  <c r="W761" i="1"/>
  <c r="W762" i="1"/>
  <c r="W763" i="1"/>
  <c r="W764" i="1"/>
  <c r="W765" i="1"/>
  <c r="W768" i="1"/>
  <c r="W772" i="1"/>
  <c r="W779" i="1"/>
  <c r="W780" i="1"/>
  <c r="W781" i="1"/>
  <c r="W782" i="1"/>
  <c r="W783" i="1"/>
  <c r="W784" i="1"/>
  <c r="W787" i="1"/>
  <c r="W788" i="1"/>
  <c r="W789" i="1"/>
  <c r="W790" i="1"/>
  <c r="W791" i="1"/>
  <c r="W798" i="1"/>
  <c r="W799" i="1"/>
  <c r="W800" i="1"/>
  <c r="W801" i="1"/>
  <c r="W808" i="1"/>
  <c r="W816" i="1"/>
  <c r="W817" i="1"/>
  <c r="W818" i="1"/>
  <c r="W819" i="1"/>
  <c r="W826" i="1"/>
  <c r="W831" i="1"/>
  <c r="W833" i="1"/>
  <c r="W834" i="1"/>
  <c r="W835" i="1"/>
  <c r="W840" i="1"/>
  <c r="W844" i="1"/>
  <c r="W851" i="1"/>
  <c r="W852" i="1"/>
  <c r="W853" i="1"/>
  <c r="W854" i="1"/>
  <c r="W855" i="1"/>
  <c r="W856" i="1"/>
  <c r="W862" i="1"/>
  <c r="W863" i="1"/>
  <c r="W864" i="1"/>
  <c r="W865" i="1"/>
  <c r="W866" i="1"/>
  <c r="W869" i="1"/>
  <c r="W870" i="1"/>
  <c r="W871" i="1"/>
  <c r="W872" i="1"/>
  <c r="W873" i="1"/>
  <c r="W887" i="1"/>
  <c r="W888" i="1"/>
  <c r="W889" i="1"/>
  <c r="W890" i="1"/>
  <c r="W891" i="1"/>
  <c r="W892" i="1"/>
  <c r="W893" i="1"/>
  <c r="W894" i="1"/>
  <c r="W895" i="1"/>
  <c r="W896" i="1"/>
  <c r="W898" i="1"/>
  <c r="W905" i="1"/>
  <c r="W906" i="1"/>
  <c r="W907" i="1"/>
  <c r="W908" i="1"/>
  <c r="W909" i="1"/>
  <c r="W910" i="1"/>
  <c r="W911" i="1"/>
  <c r="W912" i="1"/>
  <c r="W913" i="1"/>
  <c r="W916" i="1"/>
  <c r="W917" i="1"/>
  <c r="W924" i="1"/>
  <c r="W925" i="1"/>
  <c r="W926" i="1"/>
  <c r="W927" i="1"/>
  <c r="W934" i="1"/>
  <c r="W941" i="1"/>
  <c r="W942" i="1"/>
  <c r="W947" i="1"/>
  <c r="W948" i="1"/>
  <c r="W949" i="1"/>
  <c r="W952" i="1"/>
  <c r="W959" i="1"/>
  <c r="W960" i="1"/>
  <c r="W961" i="1"/>
  <c r="W962" i="1"/>
  <c r="W963" i="1"/>
  <c r="W968" i="1"/>
  <c r="W969" i="1"/>
  <c r="W970" i="1"/>
  <c r="W978" i="1"/>
  <c r="W979" i="1"/>
  <c r="W980" i="1"/>
  <c r="W981" i="1"/>
  <c r="W988" i="1"/>
  <c r="W997" i="1"/>
  <c r="W998" i="1"/>
  <c r="W999" i="1"/>
  <c r="W1000" i="1"/>
  <c r="W1001" i="1"/>
  <c r="W1002" i="1"/>
  <c r="W1006" i="1"/>
  <c r="W1013" i="1"/>
  <c r="W1016" i="1"/>
  <c r="W1017" i="1"/>
  <c r="W1018" i="1"/>
  <c r="W1019" i="1"/>
  <c r="W1020" i="1"/>
  <c r="W1021" i="1"/>
  <c r="W1024" i="1"/>
  <c r="W1025" i="1"/>
  <c r="W1026" i="1"/>
  <c r="W1032" i="1"/>
  <c r="W1035" i="1"/>
  <c r="W1042" i="1"/>
  <c r="W1043" i="1"/>
  <c r="W1044" i="1"/>
  <c r="W1050" i="1"/>
  <c r="W1051" i="1"/>
  <c r="W1055" i="1"/>
  <c r="W1056" i="1"/>
  <c r="W1060" i="1"/>
  <c r="W1067" i="1"/>
  <c r="W1068" i="1"/>
  <c r="W1069" i="1"/>
  <c r="W1076" i="1"/>
  <c r="W1077" i="1"/>
  <c r="W1078" i="1"/>
  <c r="W1079" i="1"/>
  <c r="W1080" i="1"/>
  <c r="W1081" i="1"/>
  <c r="W1085" i="1"/>
  <c r="W1086" i="1"/>
  <c r="W1087" i="1"/>
  <c r="W1088" i="1"/>
  <c r="W1089" i="1"/>
  <c r="W1096" i="1"/>
  <c r="W1103" i="1"/>
  <c r="W1104" i="1"/>
  <c r="W1105" i="1"/>
  <c r="W1106" i="1"/>
  <c r="W1107" i="1"/>
  <c r="W1114" i="1"/>
  <c r="W1121" i="1"/>
  <c r="W1122" i="1"/>
  <c r="W1123" i="1"/>
  <c r="W1124" i="1"/>
  <c r="W1125" i="1"/>
  <c r="W1126" i="1"/>
  <c r="W1127" i="1"/>
  <c r="W1132" i="1"/>
  <c r="W1140" i="1"/>
  <c r="W1141" i="1"/>
  <c r="W1142" i="1"/>
  <c r="W1143" i="1"/>
  <c r="W1144" i="1"/>
  <c r="W1145" i="1"/>
  <c r="W1146" i="1"/>
  <c r="W1149" i="1"/>
  <c r="W1150" i="1"/>
  <c r="W1151" i="1"/>
  <c r="W1158" i="1"/>
  <c r="W1159" i="1"/>
  <c r="W1160" i="1"/>
  <c r="W1161" i="1"/>
  <c r="W1168" i="1"/>
  <c r="W1175" i="1"/>
  <c r="W1176" i="1"/>
  <c r="W1177" i="1"/>
  <c r="W1182" i="1"/>
  <c r="W1183" i="1"/>
  <c r="W1184" i="1"/>
  <c r="W1186" i="1"/>
  <c r="W1193" i="1"/>
  <c r="W1194" i="1"/>
  <c r="W1195" i="1"/>
  <c r="W1196" i="1"/>
  <c r="W1197" i="1"/>
  <c r="W1211" i="1"/>
  <c r="W1212" i="1"/>
  <c r="W1213" i="1"/>
  <c r="W1214" i="1"/>
  <c r="W1215" i="1"/>
  <c r="W1222" i="1"/>
  <c r="W1229" i="1"/>
  <c r="W1230" i="1"/>
  <c r="W1231" i="1"/>
  <c r="W1232" i="1"/>
  <c r="W1233" i="1"/>
  <c r="W1234" i="1"/>
  <c r="W1235" i="1"/>
  <c r="W1240" i="1"/>
  <c r="W1247" i="1"/>
  <c r="W1248" i="1"/>
  <c r="W1249" i="1"/>
  <c r="W1250" i="1"/>
  <c r="W1251" i="1"/>
  <c r="W1252" i="1"/>
  <c r="W1253" i="1"/>
  <c r="W1254" i="1"/>
  <c r="W1258" i="1"/>
  <c r="W1266" i="1"/>
  <c r="W1267" i="1"/>
  <c r="W1268" i="1"/>
  <c r="W1269" i="1"/>
  <c r="W1275" i="1"/>
  <c r="W1276" i="1"/>
  <c r="W1277" i="1"/>
  <c r="W1278" i="1"/>
  <c r="W1279" i="1"/>
  <c r="W1283" i="1"/>
  <c r="W1284" i="1"/>
  <c r="W1289" i="1"/>
  <c r="W1294" i="1"/>
  <c r="W1302" i="1"/>
  <c r="W1303" i="1"/>
  <c r="W1304" i="1"/>
  <c r="W1305" i="1"/>
  <c r="W1312" i="1"/>
  <c r="W1321" i="1"/>
  <c r="W1322" i="1"/>
  <c r="W1323" i="1"/>
  <c r="W1324" i="1"/>
  <c r="W1325" i="1"/>
  <c r="W1326" i="1"/>
  <c r="W1330" i="1"/>
  <c r="W1331" i="1"/>
  <c r="W1337" i="1"/>
  <c r="W1340" i="1"/>
  <c r="W1341" i="1"/>
  <c r="W1348" i="1"/>
  <c r="W1355" i="1"/>
  <c r="W1356" i="1"/>
  <c r="W1359" i="1"/>
  <c r="W1360" i="1"/>
  <c r="W1361" i="1"/>
  <c r="W1362" i="1"/>
  <c r="W1363" i="1"/>
  <c r="W1364" i="1"/>
  <c r="W1365" i="1"/>
  <c r="W1366" i="1"/>
  <c r="W1374" i="1"/>
  <c r="W1375" i="1"/>
  <c r="W1384" i="1"/>
  <c r="W1392" i="1"/>
  <c r="W1393" i="1"/>
  <c r="W1394" i="1"/>
  <c r="W1402" i="1"/>
  <c r="W1404" i="1"/>
  <c r="W1405" i="1"/>
  <c r="W1406" i="1"/>
  <c r="W1407" i="1"/>
  <c r="W1409" i="1"/>
  <c r="W1410" i="1"/>
  <c r="W1411" i="1"/>
  <c r="W1420" i="1"/>
  <c r="W1427" i="1"/>
  <c r="W1428" i="1"/>
  <c r="W1429" i="1"/>
  <c r="W1430" i="1"/>
  <c r="W1431" i="1"/>
  <c r="W1432" i="1"/>
  <c r="W1438" i="1"/>
  <c r="W1439" i="1"/>
  <c r="W1440" i="1"/>
  <c r="W1441" i="1"/>
  <c r="W1442" i="1"/>
  <c r="W1443" i="1"/>
  <c r="W1446" i="1"/>
  <c r="W1447" i="1"/>
  <c r="W1448" i="1"/>
  <c r="W1449" i="1"/>
  <c r="W1456" i="1"/>
  <c r="W1463" i="1"/>
  <c r="W1464" i="1"/>
  <c r="W1465" i="1"/>
  <c r="W1466" i="1"/>
  <c r="W1467" i="1"/>
  <c r="W1468" i="1"/>
  <c r="W1474" i="1"/>
  <c r="W1482" i="1"/>
  <c r="W1483" i="1"/>
  <c r="W1484" i="1"/>
  <c r="W1485" i="1"/>
  <c r="W1486" i="1"/>
  <c r="W1487" i="1"/>
  <c r="W1488" i="1"/>
  <c r="W1492" i="1"/>
  <c r="W1500" i="1"/>
  <c r="W1501" i="1"/>
  <c r="W1502" i="1"/>
  <c r="W1503" i="1"/>
  <c r="W1504" i="1"/>
  <c r="W1505" i="1"/>
  <c r="W1506" i="1"/>
  <c r="W1507" i="1"/>
  <c r="W1508" i="1"/>
  <c r="W1510" i="1"/>
  <c r="W1517" i="1"/>
  <c r="W1518" i="1"/>
  <c r="W1535" i="1"/>
  <c r="W1536" i="1"/>
  <c r="W1537" i="1"/>
  <c r="W1538" i="1"/>
  <c r="W1543" i="1"/>
  <c r="W1544" i="1"/>
  <c r="W1545" i="1"/>
  <c r="W1553" i="1"/>
  <c r="W1554" i="1"/>
  <c r="W1555" i="1"/>
  <c r="W1556" i="1"/>
  <c r="W1557" i="1"/>
  <c r="W1571" i="1"/>
  <c r="W1572" i="1"/>
  <c r="W1573" i="1"/>
  <c r="W1574" i="1"/>
  <c r="W1575" i="1"/>
  <c r="W1576" i="1"/>
  <c r="W1584" i="1"/>
  <c r="W1585" i="1"/>
  <c r="W1589" i="1"/>
  <c r="W1590" i="1"/>
  <c r="W1591" i="1"/>
  <c r="W1592" i="1"/>
  <c r="W1593" i="1"/>
  <c r="W1607" i="1"/>
  <c r="W1608" i="1"/>
  <c r="W1609" i="1"/>
  <c r="W1610" i="1"/>
  <c r="W1611" i="1"/>
  <c r="W1612" i="1"/>
  <c r="W1613" i="1"/>
  <c r="W1614" i="1"/>
  <c r="W1620" i="1"/>
  <c r="W1625" i="1"/>
  <c r="W1626" i="1"/>
  <c r="W1627" i="1"/>
  <c r="W1628" i="1"/>
  <c r="W1629" i="1"/>
  <c r="W1630" i="1"/>
  <c r="W1631" i="1"/>
  <c r="W1632" i="1"/>
  <c r="W1633" i="1"/>
  <c r="W1643" i="1"/>
  <c r="W1644" i="1"/>
  <c r="W1645" i="1"/>
  <c r="W1646" i="1"/>
  <c r="W1647" i="1"/>
  <c r="W1658" i="1"/>
  <c r="W1661" i="1"/>
  <c r="W1662" i="1"/>
  <c r="W1663" i="1"/>
  <c r="W1664" i="1"/>
  <c r="W1665" i="1"/>
  <c r="W1666" i="1"/>
  <c r="W1679" i="1"/>
  <c r="W1680" i="1"/>
  <c r="W1681" i="1"/>
  <c r="W1682" i="1"/>
  <c r="W1683" i="1"/>
  <c r="W1684" i="1"/>
  <c r="W1685" i="1"/>
  <c r="W1686" i="1"/>
  <c r="W1687" i="1"/>
  <c r="W1688" i="1"/>
  <c r="W1697" i="1"/>
  <c r="W1698" i="1"/>
  <c r="W1699" i="1"/>
  <c r="W1700" i="1"/>
  <c r="W1701" i="1"/>
  <c r="W1702" i="1"/>
  <c r="W1703" i="1"/>
  <c r="W1704" i="1"/>
  <c r="W1706" i="1"/>
  <c r="W1707" i="1"/>
  <c r="W1709" i="1"/>
  <c r="W1710" i="1"/>
  <c r="W1715" i="1"/>
  <c r="W1716" i="1"/>
  <c r="W1717" i="1"/>
  <c r="W1718" i="1"/>
  <c r="W1719" i="1"/>
  <c r="W1734" i="1"/>
  <c r="W1735" i="1"/>
  <c r="W1736" i="1"/>
  <c r="W1737" i="1"/>
  <c r="W1738" i="1"/>
  <c r="W1739" i="1"/>
  <c r="W1740" i="1"/>
  <c r="W1752" i="1"/>
  <c r="W1753" i="1"/>
  <c r="W1754" i="1"/>
  <c r="W1755" i="1"/>
  <c r="W1756" i="1"/>
  <c r="W1757" i="1"/>
  <c r="W1758" i="1"/>
  <c r="W1759" i="1"/>
  <c r="W1770" i="1"/>
  <c r="W1771" i="1"/>
  <c r="W1772" i="1"/>
  <c r="W1773" i="1"/>
  <c r="W1774" i="1"/>
  <c r="W1775" i="1"/>
  <c r="W1776" i="1"/>
  <c r="W1777" i="1"/>
  <c r="W1778" i="1"/>
  <c r="W1779" i="1"/>
  <c r="W1781" i="1"/>
  <c r="W1782" i="1"/>
  <c r="W1783" i="1"/>
  <c r="W1784" i="1"/>
  <c r="W1788" i="1"/>
  <c r="W1789" i="1"/>
  <c r="W1790" i="1"/>
  <c r="W1791" i="1"/>
  <c r="W1792" i="1"/>
  <c r="W1793" i="1"/>
  <c r="W1794" i="1"/>
  <c r="W1795" i="1"/>
  <c r="W1796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3" i="1"/>
  <c r="C4" i="1"/>
  <c r="W4" i="1" s="1"/>
  <c r="C5" i="1"/>
  <c r="W5" i="1" s="1"/>
  <c r="C6" i="1"/>
  <c r="W6" i="1" s="1"/>
  <c r="C7" i="1"/>
  <c r="W7" i="1" s="1"/>
  <c r="C8" i="1"/>
  <c r="W8" i="1" s="1"/>
  <c r="C9" i="1"/>
  <c r="W9" i="1" s="1"/>
  <c r="C10" i="1"/>
  <c r="W10" i="1" s="1"/>
  <c r="C11" i="1"/>
  <c r="W11" i="1" s="1"/>
  <c r="C12" i="1"/>
  <c r="W12" i="1" s="1"/>
  <c r="C13" i="1"/>
  <c r="W13" i="1" s="1"/>
  <c r="C14" i="1"/>
  <c r="W14" i="1" s="1"/>
  <c r="C15" i="1"/>
  <c r="W15" i="1" s="1"/>
  <c r="C16" i="1"/>
  <c r="W16" i="1" s="1"/>
  <c r="C17" i="1"/>
  <c r="W17" i="1" s="1"/>
  <c r="C18" i="1"/>
  <c r="W18" i="1" s="1"/>
  <c r="C19" i="1"/>
  <c r="W19" i="1" s="1"/>
  <c r="C20" i="1"/>
  <c r="W20" i="1" s="1"/>
  <c r="C21" i="1"/>
  <c r="W21" i="1" s="1"/>
  <c r="C22" i="1"/>
  <c r="W22" i="1" s="1"/>
  <c r="C23" i="1"/>
  <c r="W23" i="1" s="1"/>
  <c r="C24" i="1"/>
  <c r="W24" i="1" s="1"/>
  <c r="C25" i="1"/>
  <c r="W25" i="1" s="1"/>
  <c r="C26" i="1"/>
  <c r="W26" i="1" s="1"/>
  <c r="C27" i="1"/>
  <c r="W27" i="1" s="1"/>
  <c r="C28" i="1"/>
  <c r="W28" i="1" s="1"/>
  <c r="C29" i="1"/>
  <c r="W29" i="1" s="1"/>
  <c r="C30" i="1"/>
  <c r="W30" i="1" s="1"/>
  <c r="C31" i="1"/>
  <c r="W31" i="1" s="1"/>
  <c r="C32" i="1"/>
  <c r="W32" i="1" s="1"/>
  <c r="C33" i="1"/>
  <c r="W33" i="1" s="1"/>
  <c r="C34" i="1"/>
  <c r="C35" i="1"/>
  <c r="W35" i="1" s="1"/>
  <c r="C36" i="1"/>
  <c r="W36" i="1" s="1"/>
  <c r="C37" i="1"/>
  <c r="W37" i="1" s="1"/>
  <c r="C38" i="1"/>
  <c r="W38" i="1" s="1"/>
  <c r="C39" i="1"/>
  <c r="W39" i="1" s="1"/>
  <c r="C40" i="1"/>
  <c r="W40" i="1" s="1"/>
  <c r="C41" i="1"/>
  <c r="C42" i="1"/>
  <c r="W42" i="1" s="1"/>
  <c r="C43" i="1"/>
  <c r="W43" i="1" s="1"/>
  <c r="C44" i="1"/>
  <c r="C45" i="1"/>
  <c r="C46" i="1"/>
  <c r="W46" i="1" s="1"/>
  <c r="C47" i="1"/>
  <c r="W47" i="1" s="1"/>
  <c r="C48" i="1"/>
  <c r="W48" i="1" s="1"/>
  <c r="C49" i="1"/>
  <c r="W49" i="1" s="1"/>
  <c r="C50" i="1"/>
  <c r="W50" i="1" s="1"/>
  <c r="C51" i="1"/>
  <c r="W51" i="1" s="1"/>
  <c r="C52" i="1"/>
  <c r="C53" i="1"/>
  <c r="W53" i="1" s="1"/>
  <c r="C54" i="1"/>
  <c r="W54" i="1" s="1"/>
  <c r="C55" i="1"/>
  <c r="W55" i="1" s="1"/>
  <c r="C56" i="1"/>
  <c r="W56" i="1" s="1"/>
  <c r="C57" i="1"/>
  <c r="W57" i="1" s="1"/>
  <c r="C58" i="1"/>
  <c r="W58" i="1" s="1"/>
  <c r="C59" i="1"/>
  <c r="C60" i="1"/>
  <c r="C61" i="1"/>
  <c r="W61" i="1" s="1"/>
  <c r="C62" i="1"/>
  <c r="W62" i="1" s="1"/>
  <c r="C63" i="1"/>
  <c r="C64" i="1"/>
  <c r="W64" i="1" s="1"/>
  <c r="C65" i="1"/>
  <c r="W65" i="1" s="1"/>
  <c r="C66" i="1"/>
  <c r="W66" i="1" s="1"/>
  <c r="C67" i="1"/>
  <c r="W67" i="1" s="1"/>
  <c r="C68" i="1"/>
  <c r="W68" i="1" s="1"/>
  <c r="C69" i="1"/>
  <c r="W69" i="1" s="1"/>
  <c r="C70" i="1"/>
  <c r="C71" i="1"/>
  <c r="W71" i="1" s="1"/>
  <c r="C72" i="1"/>
  <c r="C73" i="1"/>
  <c r="C74" i="1"/>
  <c r="C75" i="1"/>
  <c r="C76" i="1"/>
  <c r="W76" i="1" s="1"/>
  <c r="C77" i="1"/>
  <c r="C78" i="1"/>
  <c r="C79" i="1"/>
  <c r="C80" i="1"/>
  <c r="W80" i="1" s="1"/>
  <c r="C81" i="1"/>
  <c r="W81" i="1" s="1"/>
  <c r="C82" i="1"/>
  <c r="C83" i="1"/>
  <c r="C84" i="1"/>
  <c r="W84" i="1" s="1"/>
  <c r="C85" i="1"/>
  <c r="W85" i="1" s="1"/>
  <c r="C86" i="1"/>
  <c r="W86" i="1" s="1"/>
  <c r="C87" i="1"/>
  <c r="W87" i="1" s="1"/>
  <c r="C88" i="1"/>
  <c r="C89" i="1"/>
  <c r="W89" i="1" s="1"/>
  <c r="C90" i="1"/>
  <c r="W90" i="1" s="1"/>
  <c r="C91" i="1"/>
  <c r="W91" i="1" s="1"/>
  <c r="C92" i="1"/>
  <c r="W92" i="1" s="1"/>
  <c r="C93" i="1"/>
  <c r="W93" i="1" s="1"/>
  <c r="C94" i="1"/>
  <c r="W94" i="1" s="1"/>
  <c r="C95" i="1"/>
  <c r="C96" i="1"/>
  <c r="C97" i="1"/>
  <c r="C98" i="1"/>
  <c r="C99" i="1"/>
  <c r="W99" i="1" s="1"/>
  <c r="C100" i="1"/>
  <c r="W100" i="1" s="1"/>
  <c r="C101" i="1"/>
  <c r="C102" i="1"/>
  <c r="C103" i="1"/>
  <c r="C104" i="1"/>
  <c r="C105" i="1"/>
  <c r="C106" i="1"/>
  <c r="C107" i="1"/>
  <c r="C108" i="1"/>
  <c r="C109" i="1"/>
  <c r="W109" i="1" s="1"/>
  <c r="C110" i="1"/>
  <c r="W110" i="1" s="1"/>
  <c r="C111" i="1"/>
  <c r="W111" i="1" s="1"/>
  <c r="C112" i="1"/>
  <c r="W112" i="1" s="1"/>
  <c r="C113" i="1"/>
  <c r="W113" i="1" s="1"/>
  <c r="C114" i="1"/>
  <c r="C115" i="1"/>
  <c r="C116" i="1"/>
  <c r="C117" i="1"/>
  <c r="C118" i="1"/>
  <c r="W118" i="1" s="1"/>
  <c r="C119" i="1"/>
  <c r="W119" i="1" s="1"/>
  <c r="C120" i="1"/>
  <c r="W120" i="1" s="1"/>
  <c r="C121" i="1"/>
  <c r="W121" i="1" s="1"/>
  <c r="C122" i="1"/>
  <c r="W122" i="1" s="1"/>
  <c r="C123" i="1"/>
  <c r="W123" i="1" s="1"/>
  <c r="C124" i="1"/>
  <c r="C125" i="1"/>
  <c r="W125" i="1" s="1"/>
  <c r="C126" i="1"/>
  <c r="W126" i="1" s="1"/>
  <c r="C127" i="1"/>
  <c r="W127" i="1" s="1"/>
  <c r="C128" i="1"/>
  <c r="W128" i="1" s="1"/>
  <c r="C129" i="1"/>
  <c r="W129" i="1" s="1"/>
  <c r="C130" i="1"/>
  <c r="W130" i="1" s="1"/>
  <c r="C131" i="1"/>
  <c r="W131" i="1" s="1"/>
  <c r="C132" i="1"/>
  <c r="C133" i="1"/>
  <c r="C134" i="1"/>
  <c r="C135" i="1"/>
  <c r="C136" i="1"/>
  <c r="W136" i="1" s="1"/>
  <c r="C137" i="1"/>
  <c r="W137" i="1" s="1"/>
  <c r="C138" i="1"/>
  <c r="W138" i="1" s="1"/>
  <c r="C139" i="1"/>
  <c r="W139" i="1" s="1"/>
  <c r="C140" i="1"/>
  <c r="W140" i="1" s="1"/>
  <c r="C141" i="1"/>
  <c r="W141" i="1" s="1"/>
  <c r="C142" i="1"/>
  <c r="C143" i="1"/>
  <c r="W143" i="1" s="1"/>
  <c r="C144" i="1"/>
  <c r="W144" i="1" s="1"/>
  <c r="C145" i="1"/>
  <c r="W145" i="1" s="1"/>
  <c r="C146" i="1"/>
  <c r="W146" i="1" s="1"/>
  <c r="C147" i="1"/>
  <c r="C148" i="1"/>
  <c r="W148" i="1" s="1"/>
  <c r="C149" i="1"/>
  <c r="C150" i="1"/>
  <c r="C151" i="1"/>
  <c r="C152" i="1"/>
  <c r="W152" i="1" s="1"/>
  <c r="C153" i="1"/>
  <c r="W153" i="1" s="1"/>
  <c r="C154" i="1"/>
  <c r="W154" i="1" s="1"/>
  <c r="C155" i="1"/>
  <c r="W155" i="1" s="1"/>
  <c r="C156" i="1"/>
  <c r="W156" i="1" s="1"/>
  <c r="C157" i="1"/>
  <c r="W157" i="1" s="1"/>
  <c r="C158" i="1"/>
  <c r="W158" i="1" s="1"/>
  <c r="C159" i="1"/>
  <c r="W159" i="1" s="1"/>
  <c r="C160" i="1"/>
  <c r="C161" i="1"/>
  <c r="W161" i="1" s="1"/>
  <c r="C162" i="1"/>
  <c r="W162" i="1" s="1"/>
  <c r="C163" i="1"/>
  <c r="W163" i="1" s="1"/>
  <c r="C164" i="1"/>
  <c r="W164" i="1" s="1"/>
  <c r="C165" i="1"/>
  <c r="W165" i="1" s="1"/>
  <c r="C166" i="1"/>
  <c r="W166" i="1" s="1"/>
  <c r="C167" i="1"/>
  <c r="C168" i="1"/>
  <c r="C169" i="1"/>
  <c r="C170" i="1"/>
  <c r="C171" i="1"/>
  <c r="C172" i="1"/>
  <c r="C173" i="1"/>
  <c r="W173" i="1" s="1"/>
  <c r="C174" i="1"/>
  <c r="W174" i="1" s="1"/>
  <c r="C175" i="1"/>
  <c r="W175" i="1" s="1"/>
  <c r="C176" i="1"/>
  <c r="W176" i="1" s="1"/>
  <c r="C177" i="1"/>
  <c r="W177" i="1" s="1"/>
  <c r="C178" i="1"/>
  <c r="C179" i="1"/>
  <c r="W179" i="1" s="1"/>
  <c r="C180" i="1"/>
  <c r="C181" i="1"/>
  <c r="C182" i="1"/>
  <c r="C183" i="1"/>
  <c r="C184" i="1"/>
  <c r="W184" i="1" s="1"/>
  <c r="C185" i="1"/>
  <c r="C186" i="1"/>
  <c r="C187" i="1"/>
  <c r="C188" i="1"/>
  <c r="C189" i="1"/>
  <c r="C190" i="1"/>
  <c r="W190" i="1" s="1"/>
  <c r="C191" i="1"/>
  <c r="W191" i="1" s="1"/>
  <c r="C192" i="1"/>
  <c r="W192" i="1" s="1"/>
  <c r="C193" i="1"/>
  <c r="W193" i="1" s="1"/>
  <c r="C194" i="1"/>
  <c r="W194" i="1" s="1"/>
  <c r="C195" i="1"/>
  <c r="W195" i="1" s="1"/>
  <c r="C196" i="1"/>
  <c r="C197" i="1"/>
  <c r="W197" i="1" s="1"/>
  <c r="C198" i="1"/>
  <c r="W198" i="1" s="1"/>
  <c r="C199" i="1"/>
  <c r="W199" i="1" s="1"/>
  <c r="C200" i="1"/>
  <c r="W200" i="1" s="1"/>
  <c r="C201" i="1"/>
  <c r="W201" i="1" s="1"/>
  <c r="C202" i="1"/>
  <c r="W202" i="1" s="1"/>
  <c r="C203" i="1"/>
  <c r="C204" i="1"/>
  <c r="C205" i="1"/>
  <c r="C206" i="1"/>
  <c r="C207" i="1"/>
  <c r="C208" i="1"/>
  <c r="C209" i="1"/>
  <c r="C210" i="1"/>
  <c r="C211" i="1"/>
  <c r="C212" i="1"/>
  <c r="C213" i="1"/>
  <c r="W213" i="1" s="1"/>
  <c r="C214" i="1"/>
  <c r="C215" i="1"/>
  <c r="C216" i="1"/>
  <c r="W216" i="1" s="1"/>
  <c r="C217" i="1"/>
  <c r="W217" i="1" s="1"/>
  <c r="C218" i="1"/>
  <c r="W218" i="1" s="1"/>
  <c r="C219" i="1"/>
  <c r="W219" i="1" s="1"/>
  <c r="C220" i="1"/>
  <c r="W220" i="1" s="1"/>
  <c r="C221" i="1"/>
  <c r="W221" i="1" s="1"/>
  <c r="C222" i="1"/>
  <c r="C223" i="1"/>
  <c r="C224" i="1"/>
  <c r="C225" i="1"/>
  <c r="C226" i="1"/>
  <c r="W226" i="1" s="1"/>
  <c r="C227" i="1"/>
  <c r="W227" i="1" s="1"/>
  <c r="C228" i="1"/>
  <c r="W228" i="1" s="1"/>
  <c r="C229" i="1"/>
  <c r="W229" i="1" s="1"/>
  <c r="C230" i="1"/>
  <c r="W230" i="1" s="1"/>
  <c r="C231" i="1"/>
  <c r="W231" i="1" s="1"/>
  <c r="C232" i="1"/>
  <c r="W232" i="1" s="1"/>
  <c r="C233" i="1"/>
  <c r="W233" i="1" s="1"/>
  <c r="C234" i="1"/>
  <c r="W234" i="1" s="1"/>
  <c r="C235" i="1"/>
  <c r="W235" i="1" s="1"/>
  <c r="C236" i="1"/>
  <c r="W236" i="1" s="1"/>
  <c r="C237" i="1"/>
  <c r="W237" i="1" s="1"/>
  <c r="C238" i="1"/>
  <c r="W238" i="1" s="1"/>
  <c r="C239" i="1"/>
  <c r="W239" i="1" s="1"/>
  <c r="C240" i="1"/>
  <c r="C241" i="1"/>
  <c r="C242" i="1"/>
  <c r="C243" i="1"/>
  <c r="C244" i="1"/>
  <c r="C245" i="1"/>
  <c r="W245" i="1" s="1"/>
  <c r="C246" i="1"/>
  <c r="W246" i="1" s="1"/>
  <c r="C247" i="1"/>
  <c r="W247" i="1" s="1"/>
  <c r="C248" i="1"/>
  <c r="W248" i="1" s="1"/>
  <c r="C249" i="1"/>
  <c r="W249" i="1" s="1"/>
  <c r="C250" i="1"/>
  <c r="C251" i="1"/>
  <c r="W251" i="1" s="1"/>
  <c r="C252" i="1"/>
  <c r="W252" i="1" s="1"/>
  <c r="C253" i="1"/>
  <c r="W253" i="1" s="1"/>
  <c r="C254" i="1"/>
  <c r="W254" i="1" s="1"/>
  <c r="C255" i="1"/>
  <c r="W255" i="1" s="1"/>
  <c r="C256" i="1"/>
  <c r="W256" i="1" s="1"/>
  <c r="C257" i="1"/>
  <c r="C258" i="1"/>
  <c r="C259" i="1"/>
  <c r="W259" i="1" s="1"/>
  <c r="C260" i="1"/>
  <c r="W260" i="1" s="1"/>
  <c r="C261" i="1"/>
  <c r="W261" i="1" s="1"/>
  <c r="C262" i="1"/>
  <c r="W262" i="1" s="1"/>
  <c r="C263" i="1"/>
  <c r="W263" i="1" s="1"/>
  <c r="C264" i="1"/>
  <c r="C265" i="1"/>
  <c r="C266" i="1"/>
  <c r="C267" i="1"/>
  <c r="W267" i="1" s="1"/>
  <c r="C268" i="1"/>
  <c r="C269" i="1"/>
  <c r="W269" i="1" s="1"/>
  <c r="C270" i="1"/>
  <c r="W270" i="1" s="1"/>
  <c r="C271" i="1"/>
  <c r="W271" i="1" s="1"/>
  <c r="C272" i="1"/>
  <c r="W272" i="1" s="1"/>
  <c r="C273" i="1"/>
  <c r="W273" i="1" s="1"/>
  <c r="C274" i="1"/>
  <c r="C275" i="1"/>
  <c r="C276" i="1"/>
  <c r="C277" i="1"/>
  <c r="C278" i="1"/>
  <c r="C279" i="1"/>
  <c r="C280" i="1"/>
  <c r="W280" i="1" s="1"/>
  <c r="C281" i="1"/>
  <c r="W281" i="1" s="1"/>
  <c r="C282" i="1"/>
  <c r="W282" i="1" s="1"/>
  <c r="C283" i="1"/>
  <c r="W283" i="1" s="1"/>
  <c r="C284" i="1"/>
  <c r="W284" i="1" s="1"/>
  <c r="C285" i="1"/>
  <c r="W285" i="1" s="1"/>
  <c r="C286" i="1"/>
  <c r="C287" i="1"/>
  <c r="W287" i="1" s="1"/>
  <c r="C288" i="1"/>
  <c r="W288" i="1" s="1"/>
  <c r="C289" i="1"/>
  <c r="W289" i="1" s="1"/>
  <c r="C290" i="1"/>
  <c r="W290" i="1" s="1"/>
  <c r="C291" i="1"/>
  <c r="W291" i="1" s="1"/>
  <c r="C292" i="1"/>
  <c r="W292" i="1" s="1"/>
  <c r="C293" i="1"/>
  <c r="C294" i="1"/>
  <c r="C295" i="1"/>
  <c r="C296" i="1"/>
  <c r="C297" i="1"/>
  <c r="C298" i="1"/>
  <c r="C299" i="1"/>
  <c r="C300" i="1"/>
  <c r="W300" i="1" s="1"/>
  <c r="C301" i="1"/>
  <c r="W301" i="1" s="1"/>
  <c r="C302" i="1"/>
  <c r="W302" i="1" s="1"/>
  <c r="C303" i="1"/>
  <c r="W303" i="1" s="1"/>
  <c r="C304" i="1"/>
  <c r="C305" i="1"/>
  <c r="W305" i="1" s="1"/>
  <c r="C306" i="1"/>
  <c r="W306" i="1" s="1"/>
  <c r="C307" i="1"/>
  <c r="W307" i="1" s="1"/>
  <c r="C308" i="1"/>
  <c r="W308" i="1" s="1"/>
  <c r="C309" i="1"/>
  <c r="W309" i="1" s="1"/>
  <c r="C310" i="1"/>
  <c r="W310" i="1" s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W323" i="1" s="1"/>
  <c r="C324" i="1"/>
  <c r="W324" i="1" s="1"/>
  <c r="C325" i="1"/>
  <c r="W325" i="1" s="1"/>
  <c r="C326" i="1"/>
  <c r="W326" i="1" s="1"/>
  <c r="C327" i="1"/>
  <c r="W327" i="1" s="1"/>
  <c r="C328" i="1"/>
  <c r="W328" i="1" s="1"/>
  <c r="C329" i="1"/>
  <c r="W329" i="1" s="1"/>
  <c r="C330" i="1"/>
  <c r="C331" i="1"/>
  <c r="C332" i="1"/>
  <c r="C333" i="1"/>
  <c r="C334" i="1"/>
  <c r="W334" i="1" s="1"/>
  <c r="C335" i="1"/>
  <c r="W335" i="1" s="1"/>
  <c r="C336" i="1"/>
  <c r="W336" i="1" s="1"/>
  <c r="C337" i="1"/>
  <c r="W337" i="1" s="1"/>
  <c r="C338" i="1"/>
  <c r="W338" i="1" s="1"/>
  <c r="C339" i="1"/>
  <c r="W339" i="1" s="1"/>
  <c r="C340" i="1"/>
  <c r="C341" i="1"/>
  <c r="W341" i="1" s="1"/>
  <c r="C342" i="1"/>
  <c r="W342" i="1" s="1"/>
  <c r="C343" i="1"/>
  <c r="W343" i="1" s="1"/>
  <c r="C344" i="1"/>
  <c r="W344" i="1" s="1"/>
  <c r="C345" i="1"/>
  <c r="W345" i="1" s="1"/>
  <c r="C346" i="1"/>
  <c r="W346" i="1" s="1"/>
  <c r="C347" i="1"/>
  <c r="W347" i="1" s="1"/>
  <c r="C348" i="1"/>
  <c r="W348" i="1" s="1"/>
  <c r="C349" i="1"/>
  <c r="C350" i="1"/>
  <c r="C351" i="1"/>
  <c r="C352" i="1"/>
  <c r="C353" i="1"/>
  <c r="C354" i="1"/>
  <c r="C355" i="1"/>
  <c r="W355" i="1" s="1"/>
  <c r="C356" i="1"/>
  <c r="W356" i="1" s="1"/>
  <c r="C357" i="1"/>
  <c r="W357" i="1" s="1"/>
  <c r="C358" i="1"/>
  <c r="C359" i="1"/>
  <c r="W359" i="1" s="1"/>
  <c r="C360" i="1"/>
  <c r="W360" i="1" s="1"/>
  <c r="C361" i="1"/>
  <c r="W361" i="1" s="1"/>
  <c r="C362" i="1"/>
  <c r="W362" i="1" s="1"/>
  <c r="C363" i="1"/>
  <c r="W363" i="1" s="1"/>
  <c r="C364" i="1"/>
  <c r="W364" i="1" s="1"/>
  <c r="C365" i="1"/>
  <c r="W365" i="1" s="1"/>
  <c r="C366" i="1"/>
  <c r="W366" i="1" s="1"/>
  <c r="C367" i="1"/>
  <c r="W367" i="1" s="1"/>
  <c r="C368" i="1"/>
  <c r="W368" i="1" s="1"/>
  <c r="C369" i="1"/>
  <c r="W369" i="1" s="1"/>
  <c r="C370" i="1"/>
  <c r="W370" i="1" s="1"/>
  <c r="C371" i="1"/>
  <c r="W371" i="1" s="1"/>
  <c r="C372" i="1"/>
  <c r="C373" i="1"/>
  <c r="C374" i="1"/>
  <c r="C375" i="1"/>
  <c r="C376" i="1"/>
  <c r="C377" i="1"/>
  <c r="C378" i="1"/>
  <c r="C379" i="1"/>
  <c r="W379" i="1" s="1"/>
  <c r="C380" i="1"/>
  <c r="W380" i="1" s="1"/>
  <c r="C381" i="1"/>
  <c r="W381" i="1" s="1"/>
  <c r="C382" i="1"/>
  <c r="W382" i="1" s="1"/>
  <c r="C383" i="1"/>
  <c r="W383" i="1" s="1"/>
  <c r="C384" i="1"/>
  <c r="C385" i="1"/>
  <c r="W385" i="1" s="1"/>
  <c r="C386" i="1"/>
  <c r="W386" i="1" s="1"/>
  <c r="C387" i="1"/>
  <c r="C388" i="1"/>
  <c r="W388" i="1" s="1"/>
  <c r="C389" i="1"/>
  <c r="W389" i="1" s="1"/>
  <c r="C390" i="1"/>
  <c r="W390" i="1" s="1"/>
  <c r="C391" i="1"/>
  <c r="W391" i="1" s="1"/>
  <c r="C392" i="1"/>
  <c r="W392" i="1" s="1"/>
  <c r="C393" i="1"/>
  <c r="W393" i="1" s="1"/>
  <c r="C394" i="1"/>
  <c r="C395" i="1"/>
  <c r="W395" i="1" s="1"/>
  <c r="C396" i="1"/>
  <c r="W396" i="1" s="1"/>
  <c r="C397" i="1"/>
  <c r="W397" i="1" s="1"/>
  <c r="C398" i="1"/>
  <c r="W398" i="1" s="1"/>
  <c r="C399" i="1"/>
  <c r="W399" i="1" s="1"/>
  <c r="C400" i="1"/>
  <c r="W400" i="1" s="1"/>
  <c r="C401" i="1"/>
  <c r="C402" i="1"/>
  <c r="C403" i="1"/>
  <c r="C404" i="1"/>
  <c r="W404" i="1" s="1"/>
  <c r="C405" i="1"/>
  <c r="W405" i="1" s="1"/>
  <c r="C406" i="1"/>
  <c r="C407" i="1"/>
  <c r="C408" i="1"/>
  <c r="C409" i="1"/>
  <c r="W409" i="1" s="1"/>
  <c r="C410" i="1"/>
  <c r="W410" i="1" s="1"/>
  <c r="C411" i="1"/>
  <c r="W411" i="1" s="1"/>
  <c r="C412" i="1"/>
  <c r="C413" i="1"/>
  <c r="W413" i="1" s="1"/>
  <c r="C414" i="1"/>
  <c r="C415" i="1"/>
  <c r="W415" i="1" s="1"/>
  <c r="C416" i="1"/>
  <c r="W416" i="1" s="1"/>
  <c r="C417" i="1"/>
  <c r="W417" i="1" s="1"/>
  <c r="C418" i="1"/>
  <c r="W418" i="1" s="1"/>
  <c r="C419" i="1"/>
  <c r="C420" i="1"/>
  <c r="C421" i="1"/>
  <c r="C422" i="1"/>
  <c r="C423" i="1"/>
  <c r="W423" i="1" s="1"/>
  <c r="C424" i="1"/>
  <c r="W424" i="1" s="1"/>
  <c r="C425" i="1"/>
  <c r="C426" i="1"/>
  <c r="C427" i="1"/>
  <c r="W427" i="1" s="1"/>
  <c r="C428" i="1"/>
  <c r="W428" i="1" s="1"/>
  <c r="C429" i="1"/>
  <c r="W429" i="1" s="1"/>
  <c r="C430" i="1"/>
  <c r="C431" i="1"/>
  <c r="W431" i="1" s="1"/>
  <c r="C432" i="1"/>
  <c r="W432" i="1" s="1"/>
  <c r="C433" i="1"/>
  <c r="W433" i="1" s="1"/>
  <c r="C434" i="1"/>
  <c r="W434" i="1" s="1"/>
  <c r="C435" i="1"/>
  <c r="W435" i="1" s="1"/>
  <c r="C436" i="1"/>
  <c r="W436" i="1" s="1"/>
  <c r="C437" i="1"/>
  <c r="C438" i="1"/>
  <c r="C439" i="1"/>
  <c r="C440" i="1"/>
  <c r="C441" i="1"/>
  <c r="C442" i="1"/>
  <c r="W442" i="1" s="1"/>
  <c r="C443" i="1"/>
  <c r="W443" i="1" s="1"/>
  <c r="C444" i="1"/>
  <c r="W444" i="1" s="1"/>
  <c r="C445" i="1"/>
  <c r="W445" i="1" s="1"/>
  <c r="C446" i="1"/>
  <c r="W446" i="1" s="1"/>
  <c r="C447" i="1"/>
  <c r="W447" i="1" s="1"/>
  <c r="C448" i="1"/>
  <c r="C449" i="1"/>
  <c r="W449" i="1" s="1"/>
  <c r="C450" i="1"/>
  <c r="W450" i="1" s="1"/>
  <c r="C451" i="1"/>
  <c r="W451" i="1" s="1"/>
  <c r="C452" i="1"/>
  <c r="W452" i="1" s="1"/>
  <c r="C453" i="1"/>
  <c r="W453" i="1" s="1"/>
  <c r="C454" i="1"/>
  <c r="W454" i="1" s="1"/>
  <c r="C455" i="1"/>
  <c r="W455" i="1" s="1"/>
  <c r="C456" i="1"/>
  <c r="C457" i="1"/>
  <c r="C458" i="1"/>
  <c r="C459" i="1"/>
  <c r="C460" i="1"/>
  <c r="C461" i="1"/>
  <c r="W461" i="1" s="1"/>
  <c r="C462" i="1"/>
  <c r="W462" i="1" s="1"/>
  <c r="C463" i="1"/>
  <c r="W463" i="1" s="1"/>
  <c r="C464" i="1"/>
  <c r="W464" i="1" s="1"/>
  <c r="C465" i="1"/>
  <c r="W465" i="1" s="1"/>
  <c r="C466" i="1"/>
  <c r="C467" i="1"/>
  <c r="W467" i="1" s="1"/>
  <c r="C468" i="1"/>
  <c r="W468" i="1" s="1"/>
  <c r="C469" i="1"/>
  <c r="W469" i="1" s="1"/>
  <c r="C470" i="1"/>
  <c r="W470" i="1" s="1"/>
  <c r="C471" i="1"/>
  <c r="W471" i="1" s="1"/>
  <c r="C472" i="1"/>
  <c r="W472" i="1" s="1"/>
  <c r="C473" i="1"/>
  <c r="W473" i="1" s="1"/>
  <c r="C474" i="1"/>
  <c r="C475" i="1"/>
  <c r="C476" i="1"/>
  <c r="C477" i="1"/>
  <c r="C478" i="1"/>
  <c r="C479" i="1"/>
  <c r="C480" i="1"/>
  <c r="W480" i="1" s="1"/>
  <c r="C481" i="1"/>
  <c r="W481" i="1" s="1"/>
  <c r="C482" i="1"/>
  <c r="C483" i="1"/>
  <c r="C484" i="1"/>
  <c r="C485" i="1"/>
  <c r="C486" i="1"/>
  <c r="C487" i="1"/>
  <c r="C488" i="1"/>
  <c r="W488" i="1" s="1"/>
  <c r="C489" i="1"/>
  <c r="W489" i="1" s="1"/>
  <c r="C490" i="1"/>
  <c r="W490" i="1" s="1"/>
  <c r="C491" i="1"/>
  <c r="W491" i="1" s="1"/>
  <c r="C492" i="1"/>
  <c r="C493" i="1"/>
  <c r="C494" i="1"/>
  <c r="W494" i="1" s="1"/>
  <c r="C495" i="1"/>
  <c r="W495" i="1" s="1"/>
  <c r="C496" i="1"/>
  <c r="W496" i="1" s="1"/>
  <c r="C497" i="1"/>
  <c r="W497" i="1" s="1"/>
  <c r="C498" i="1"/>
  <c r="W498" i="1" s="1"/>
  <c r="C499" i="1"/>
  <c r="W499" i="1" s="1"/>
  <c r="C500" i="1"/>
  <c r="W500" i="1" s="1"/>
  <c r="C501" i="1"/>
  <c r="W501" i="1" s="1"/>
  <c r="C502" i="1"/>
  <c r="C503" i="1"/>
  <c r="W503" i="1" s="1"/>
  <c r="C504" i="1"/>
  <c r="W504" i="1" s="1"/>
  <c r="C505" i="1"/>
  <c r="W505" i="1" s="1"/>
  <c r="C506" i="1"/>
  <c r="W506" i="1" s="1"/>
  <c r="C507" i="1"/>
  <c r="W507" i="1" s="1"/>
  <c r="C508" i="1"/>
  <c r="W508" i="1" s="1"/>
  <c r="C509" i="1"/>
  <c r="C510" i="1"/>
  <c r="C511" i="1"/>
  <c r="C512" i="1"/>
  <c r="C513" i="1"/>
  <c r="C514" i="1"/>
  <c r="C515" i="1"/>
  <c r="W515" i="1" s="1"/>
  <c r="C516" i="1"/>
  <c r="W516" i="1" s="1"/>
  <c r="C517" i="1"/>
  <c r="W517" i="1" s="1"/>
  <c r="C518" i="1"/>
  <c r="W518" i="1" s="1"/>
  <c r="C519" i="1"/>
  <c r="W519" i="1" s="1"/>
  <c r="C520" i="1"/>
  <c r="C521" i="1"/>
  <c r="W521" i="1" s="1"/>
  <c r="C522" i="1"/>
  <c r="C523" i="1"/>
  <c r="W523" i="1" s="1"/>
  <c r="C524" i="1"/>
  <c r="W524" i="1" s="1"/>
  <c r="C525" i="1"/>
  <c r="W525" i="1" s="1"/>
  <c r="C526" i="1"/>
  <c r="W526" i="1" s="1"/>
  <c r="C527" i="1"/>
  <c r="C528" i="1"/>
  <c r="C529" i="1"/>
  <c r="C530" i="1"/>
  <c r="C531" i="1"/>
  <c r="C532" i="1"/>
  <c r="C533" i="1"/>
  <c r="C534" i="1"/>
  <c r="C535" i="1"/>
  <c r="W535" i="1" s="1"/>
  <c r="C536" i="1"/>
  <c r="W536" i="1" s="1"/>
  <c r="C537" i="1"/>
  <c r="W537" i="1" s="1"/>
  <c r="C538" i="1"/>
  <c r="C539" i="1"/>
  <c r="W539" i="1" s="1"/>
  <c r="C540" i="1"/>
  <c r="W540" i="1" s="1"/>
  <c r="C541" i="1"/>
  <c r="W541" i="1" s="1"/>
  <c r="C542" i="1"/>
  <c r="W542" i="1" s="1"/>
  <c r="C543" i="1"/>
  <c r="W543" i="1" s="1"/>
  <c r="C544" i="1"/>
  <c r="W544" i="1" s="1"/>
  <c r="C545" i="1"/>
  <c r="C546" i="1"/>
  <c r="C547" i="1"/>
  <c r="C548" i="1"/>
  <c r="C549" i="1"/>
  <c r="C550" i="1"/>
  <c r="W550" i="1" s="1"/>
  <c r="C551" i="1"/>
  <c r="W551" i="1" s="1"/>
  <c r="C552" i="1"/>
  <c r="W552" i="1" s="1"/>
  <c r="C553" i="1"/>
  <c r="W553" i="1" s="1"/>
  <c r="C554" i="1"/>
  <c r="W554" i="1" s="1"/>
  <c r="C555" i="1"/>
  <c r="W555" i="1" s="1"/>
  <c r="C556" i="1"/>
  <c r="W556" i="1" s="1"/>
  <c r="C557" i="1"/>
  <c r="W557" i="1" s="1"/>
  <c r="C558" i="1"/>
  <c r="W558" i="1" s="1"/>
  <c r="C559" i="1"/>
  <c r="W559" i="1" s="1"/>
  <c r="C560" i="1"/>
  <c r="W560" i="1" s="1"/>
  <c r="C561" i="1"/>
  <c r="W561" i="1" s="1"/>
  <c r="C562" i="1"/>
  <c r="W562" i="1" s="1"/>
  <c r="C563" i="1"/>
  <c r="W563" i="1" s="1"/>
  <c r="C564" i="1"/>
  <c r="C565" i="1"/>
  <c r="C566" i="1"/>
  <c r="C567" i="1"/>
  <c r="C568" i="1"/>
  <c r="C569" i="1"/>
  <c r="C570" i="1"/>
  <c r="C571" i="1"/>
  <c r="W571" i="1" s="1"/>
  <c r="C572" i="1"/>
  <c r="W572" i="1" s="1"/>
  <c r="C573" i="1"/>
  <c r="W573" i="1" s="1"/>
  <c r="C574" i="1"/>
  <c r="C575" i="1"/>
  <c r="W575" i="1" s="1"/>
  <c r="C576" i="1"/>
  <c r="W576" i="1" s="1"/>
  <c r="C577" i="1"/>
  <c r="W577" i="1" s="1"/>
  <c r="C578" i="1"/>
  <c r="W578" i="1" s="1"/>
  <c r="C579" i="1"/>
  <c r="W579" i="1" s="1"/>
  <c r="C580" i="1"/>
  <c r="W580" i="1" s="1"/>
  <c r="C581" i="1"/>
  <c r="W581" i="1" s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W594" i="1" s="1"/>
  <c r="C595" i="1"/>
  <c r="W595" i="1" s="1"/>
  <c r="C596" i="1"/>
  <c r="W596" i="1" s="1"/>
  <c r="C597" i="1"/>
  <c r="W597" i="1" s="1"/>
  <c r="C598" i="1"/>
  <c r="W598" i="1" s="1"/>
  <c r="C599" i="1"/>
  <c r="C600" i="1"/>
  <c r="C601" i="1"/>
  <c r="W601" i="1" s="1"/>
  <c r="C602" i="1"/>
  <c r="W602" i="1" s="1"/>
  <c r="C603" i="1"/>
  <c r="W603" i="1" s="1"/>
  <c r="C604" i="1"/>
  <c r="W604" i="1" s="1"/>
  <c r="C605" i="1"/>
  <c r="W605" i="1" s="1"/>
  <c r="C606" i="1"/>
  <c r="W606" i="1" s="1"/>
  <c r="C607" i="1"/>
  <c r="W607" i="1" s="1"/>
  <c r="C608" i="1"/>
  <c r="W608" i="1" s="1"/>
  <c r="C609" i="1"/>
  <c r="W609" i="1" s="1"/>
  <c r="C610" i="1"/>
  <c r="C611" i="1"/>
  <c r="W611" i="1" s="1"/>
  <c r="C612" i="1"/>
  <c r="W612" i="1" s="1"/>
  <c r="C613" i="1"/>
  <c r="W613" i="1" s="1"/>
  <c r="C614" i="1"/>
  <c r="W614" i="1" s="1"/>
  <c r="C615" i="1"/>
  <c r="W615" i="1" s="1"/>
  <c r="C616" i="1"/>
  <c r="W616" i="1" s="1"/>
  <c r="C617" i="1"/>
  <c r="C618" i="1"/>
  <c r="C619" i="1"/>
  <c r="C620" i="1"/>
  <c r="C621" i="1"/>
  <c r="C622" i="1"/>
  <c r="W622" i="1" s="1"/>
  <c r="C623" i="1"/>
  <c r="W623" i="1" s="1"/>
  <c r="C624" i="1"/>
  <c r="W624" i="1" s="1"/>
  <c r="C625" i="1"/>
  <c r="W625" i="1" s="1"/>
  <c r="C626" i="1"/>
  <c r="W626" i="1" s="1"/>
  <c r="C627" i="1"/>
  <c r="C628" i="1"/>
  <c r="C629" i="1"/>
  <c r="C630" i="1"/>
  <c r="C631" i="1"/>
  <c r="W631" i="1" s="1"/>
  <c r="C632" i="1"/>
  <c r="W632" i="1" s="1"/>
  <c r="C633" i="1"/>
  <c r="W633" i="1" s="1"/>
  <c r="C634" i="1"/>
  <c r="W634" i="1" s="1"/>
  <c r="C635" i="1"/>
  <c r="C636" i="1"/>
  <c r="C637" i="1"/>
  <c r="C638" i="1"/>
  <c r="C639" i="1"/>
  <c r="C640" i="1"/>
  <c r="C641" i="1"/>
  <c r="C642" i="1"/>
  <c r="C643" i="1"/>
  <c r="W643" i="1" s="1"/>
  <c r="C644" i="1"/>
  <c r="W644" i="1" s="1"/>
  <c r="C645" i="1"/>
  <c r="W645" i="1" s="1"/>
  <c r="C646" i="1"/>
  <c r="C647" i="1"/>
  <c r="W647" i="1" s="1"/>
  <c r="C648" i="1"/>
  <c r="W648" i="1" s="1"/>
  <c r="C649" i="1"/>
  <c r="W649" i="1" s="1"/>
  <c r="C650" i="1"/>
  <c r="W650" i="1" s="1"/>
  <c r="C651" i="1"/>
  <c r="W651" i="1" s="1"/>
  <c r="C652" i="1"/>
  <c r="W652" i="1" s="1"/>
  <c r="C653" i="1"/>
  <c r="W653" i="1" s="1"/>
  <c r="C654" i="1"/>
  <c r="C655" i="1"/>
  <c r="C656" i="1"/>
  <c r="C657" i="1"/>
  <c r="C658" i="1"/>
  <c r="C659" i="1"/>
  <c r="W659" i="1" s="1"/>
  <c r="C660" i="1"/>
  <c r="W660" i="1" s="1"/>
  <c r="C661" i="1"/>
  <c r="W661" i="1" s="1"/>
  <c r="C662" i="1"/>
  <c r="W662" i="1" s="1"/>
  <c r="C663" i="1"/>
  <c r="W663" i="1" s="1"/>
  <c r="C664" i="1"/>
  <c r="C665" i="1"/>
  <c r="W665" i="1" s="1"/>
  <c r="C666" i="1"/>
  <c r="W666" i="1" s="1"/>
  <c r="C667" i="1"/>
  <c r="W667" i="1" s="1"/>
  <c r="C668" i="1"/>
  <c r="W668" i="1" s="1"/>
  <c r="C669" i="1"/>
  <c r="W669" i="1" s="1"/>
  <c r="C670" i="1"/>
  <c r="W670" i="1" s="1"/>
  <c r="C671" i="1"/>
  <c r="W671" i="1" s="1"/>
  <c r="C672" i="1"/>
  <c r="W672" i="1" s="1"/>
  <c r="C673" i="1"/>
  <c r="C674" i="1"/>
  <c r="C675" i="1"/>
  <c r="C676" i="1"/>
  <c r="C677" i="1"/>
  <c r="C678" i="1"/>
  <c r="C679" i="1"/>
  <c r="W679" i="1" s="1"/>
  <c r="C680" i="1"/>
  <c r="W680" i="1" s="1"/>
  <c r="C681" i="1"/>
  <c r="W681" i="1" s="1"/>
  <c r="C682" i="1"/>
  <c r="C683" i="1"/>
  <c r="W683" i="1" s="1"/>
  <c r="C684" i="1"/>
  <c r="W684" i="1" s="1"/>
  <c r="C685" i="1"/>
  <c r="W685" i="1" s="1"/>
  <c r="C686" i="1"/>
  <c r="W686" i="1" s="1"/>
  <c r="C687" i="1"/>
  <c r="W687" i="1" s="1"/>
  <c r="C688" i="1"/>
  <c r="W688" i="1" s="1"/>
  <c r="C689" i="1"/>
  <c r="W689" i="1" s="1"/>
  <c r="C690" i="1"/>
  <c r="W690" i="1" s="1"/>
  <c r="C691" i="1"/>
  <c r="W691" i="1" s="1"/>
  <c r="C692" i="1"/>
  <c r="C693" i="1"/>
  <c r="C694" i="1"/>
  <c r="W694" i="1" s="1"/>
  <c r="C695" i="1"/>
  <c r="W695" i="1" s="1"/>
  <c r="C696" i="1"/>
  <c r="W696" i="1" s="1"/>
  <c r="C697" i="1"/>
  <c r="W697" i="1" s="1"/>
  <c r="C698" i="1"/>
  <c r="W698" i="1" s="1"/>
  <c r="C699" i="1"/>
  <c r="W699" i="1" s="1"/>
  <c r="C700" i="1"/>
  <c r="C701" i="1"/>
  <c r="C702" i="1"/>
  <c r="C703" i="1"/>
  <c r="C704" i="1"/>
  <c r="C705" i="1"/>
  <c r="C706" i="1"/>
  <c r="W706" i="1" s="1"/>
  <c r="C707" i="1"/>
  <c r="W707" i="1" s="1"/>
  <c r="C708" i="1"/>
  <c r="C709" i="1"/>
  <c r="W709" i="1" s="1"/>
  <c r="C710" i="1"/>
  <c r="W710" i="1" s="1"/>
  <c r="C711" i="1"/>
  <c r="W711" i="1" s="1"/>
  <c r="C712" i="1"/>
  <c r="W712" i="1" s="1"/>
  <c r="C713" i="1"/>
  <c r="W713" i="1" s="1"/>
  <c r="C714" i="1"/>
  <c r="C715" i="1"/>
  <c r="C716" i="1"/>
  <c r="W716" i="1" s="1"/>
  <c r="C717" i="1"/>
  <c r="W717" i="1" s="1"/>
  <c r="C718" i="1"/>
  <c r="C719" i="1"/>
  <c r="W719" i="1" s="1"/>
  <c r="C720" i="1"/>
  <c r="W720" i="1" s="1"/>
  <c r="C721" i="1"/>
  <c r="W721" i="1" s="1"/>
  <c r="C722" i="1"/>
  <c r="W722" i="1" s="1"/>
  <c r="C723" i="1"/>
  <c r="W723" i="1" s="1"/>
  <c r="C724" i="1"/>
  <c r="W724" i="1" s="1"/>
  <c r="C725" i="1"/>
  <c r="C726" i="1"/>
  <c r="C727" i="1"/>
  <c r="C728" i="1"/>
  <c r="W728" i="1" s="1"/>
  <c r="C729" i="1"/>
  <c r="W729" i="1" s="1"/>
  <c r="C730" i="1"/>
  <c r="W730" i="1" s="1"/>
  <c r="C731" i="1"/>
  <c r="W731" i="1" s="1"/>
  <c r="C732" i="1"/>
  <c r="W732" i="1" s="1"/>
  <c r="C733" i="1"/>
  <c r="W733" i="1" s="1"/>
  <c r="C734" i="1"/>
  <c r="W734" i="1" s="1"/>
  <c r="C735" i="1"/>
  <c r="W735" i="1" s="1"/>
  <c r="C736" i="1"/>
  <c r="C737" i="1"/>
  <c r="W737" i="1" s="1"/>
  <c r="C738" i="1"/>
  <c r="W738" i="1" s="1"/>
  <c r="C739" i="1"/>
  <c r="W739" i="1" s="1"/>
  <c r="C740" i="1"/>
  <c r="W740" i="1" s="1"/>
  <c r="C741" i="1"/>
  <c r="W741" i="1" s="1"/>
  <c r="C742" i="1"/>
  <c r="W742" i="1" s="1"/>
  <c r="C743" i="1"/>
  <c r="W743" i="1" s="1"/>
  <c r="C744" i="1"/>
  <c r="C745" i="1"/>
  <c r="C746" i="1"/>
  <c r="C747" i="1"/>
  <c r="W747" i="1" s="1"/>
  <c r="C748" i="1"/>
  <c r="W748" i="1" s="1"/>
  <c r="C749" i="1"/>
  <c r="W749" i="1" s="1"/>
  <c r="C750" i="1"/>
  <c r="W750" i="1" s="1"/>
  <c r="C751" i="1"/>
  <c r="W751" i="1" s="1"/>
  <c r="C752" i="1"/>
  <c r="W752" i="1" s="1"/>
  <c r="C753" i="1"/>
  <c r="W753" i="1" s="1"/>
  <c r="C754" i="1"/>
  <c r="C755" i="1"/>
  <c r="W755" i="1" s="1"/>
  <c r="C756" i="1"/>
  <c r="W756" i="1" s="1"/>
  <c r="C757" i="1"/>
  <c r="C758" i="1"/>
  <c r="C759" i="1"/>
  <c r="C760" i="1"/>
  <c r="W760" i="1" s="1"/>
  <c r="C761" i="1"/>
  <c r="C762" i="1"/>
  <c r="C763" i="1"/>
  <c r="C764" i="1"/>
  <c r="C765" i="1"/>
  <c r="C766" i="1"/>
  <c r="W766" i="1" s="1"/>
  <c r="C767" i="1"/>
  <c r="W767" i="1" s="1"/>
  <c r="C768" i="1"/>
  <c r="C769" i="1"/>
  <c r="W769" i="1" s="1"/>
  <c r="C770" i="1"/>
  <c r="W770" i="1" s="1"/>
  <c r="C771" i="1"/>
  <c r="W771" i="1" s="1"/>
  <c r="C772" i="1"/>
  <c r="C773" i="1"/>
  <c r="W773" i="1" s="1"/>
  <c r="C774" i="1"/>
  <c r="W774" i="1" s="1"/>
  <c r="C775" i="1"/>
  <c r="W775" i="1" s="1"/>
  <c r="C776" i="1"/>
  <c r="W776" i="1" s="1"/>
  <c r="C777" i="1"/>
  <c r="W777" i="1" s="1"/>
  <c r="C778" i="1"/>
  <c r="W778" i="1" s="1"/>
  <c r="C779" i="1"/>
  <c r="C780" i="1"/>
  <c r="C781" i="1"/>
  <c r="C782" i="1"/>
  <c r="C783" i="1"/>
  <c r="C784" i="1"/>
  <c r="C785" i="1"/>
  <c r="W785" i="1" s="1"/>
  <c r="C786" i="1"/>
  <c r="W786" i="1" s="1"/>
  <c r="C787" i="1"/>
  <c r="C788" i="1"/>
  <c r="C789" i="1"/>
  <c r="C790" i="1"/>
  <c r="C791" i="1"/>
  <c r="C792" i="1"/>
  <c r="W792" i="1" s="1"/>
  <c r="C793" i="1"/>
  <c r="W793" i="1" s="1"/>
  <c r="C794" i="1"/>
  <c r="W794" i="1" s="1"/>
  <c r="C795" i="1"/>
  <c r="W795" i="1" s="1"/>
  <c r="C796" i="1"/>
  <c r="W796" i="1" s="1"/>
  <c r="C797" i="1"/>
  <c r="W797" i="1" s="1"/>
  <c r="C798" i="1"/>
  <c r="C799" i="1"/>
  <c r="C800" i="1"/>
  <c r="C801" i="1"/>
  <c r="C802" i="1"/>
  <c r="W802" i="1" s="1"/>
  <c r="C803" i="1"/>
  <c r="W803" i="1" s="1"/>
  <c r="C804" i="1"/>
  <c r="W804" i="1" s="1"/>
  <c r="C805" i="1"/>
  <c r="C806" i="1"/>
  <c r="W806" i="1" s="1"/>
  <c r="C807" i="1"/>
  <c r="W807" i="1" s="1"/>
  <c r="C808" i="1"/>
  <c r="C809" i="1"/>
  <c r="W809" i="1" s="1"/>
  <c r="C810" i="1"/>
  <c r="W810" i="1" s="1"/>
  <c r="C811" i="1"/>
  <c r="W811" i="1" s="1"/>
  <c r="C812" i="1"/>
  <c r="W812" i="1" s="1"/>
  <c r="C813" i="1"/>
  <c r="W813" i="1" s="1"/>
  <c r="C814" i="1"/>
  <c r="W814" i="1" s="1"/>
  <c r="C815" i="1"/>
  <c r="W815" i="1" s="1"/>
  <c r="C816" i="1"/>
  <c r="C817" i="1"/>
  <c r="C818" i="1"/>
  <c r="C819" i="1"/>
  <c r="C820" i="1"/>
  <c r="W820" i="1" s="1"/>
  <c r="C821" i="1"/>
  <c r="W821" i="1" s="1"/>
  <c r="C822" i="1"/>
  <c r="W822" i="1" s="1"/>
  <c r="C823" i="1"/>
  <c r="W823" i="1" s="1"/>
  <c r="C824" i="1"/>
  <c r="W824" i="1" s="1"/>
  <c r="C825" i="1"/>
  <c r="W825" i="1" s="1"/>
  <c r="C826" i="1"/>
  <c r="C827" i="1"/>
  <c r="W827" i="1" s="1"/>
  <c r="C828" i="1"/>
  <c r="W828" i="1" s="1"/>
  <c r="C829" i="1"/>
  <c r="W829" i="1" s="1"/>
  <c r="C830" i="1"/>
  <c r="W830" i="1" s="1"/>
  <c r="C831" i="1"/>
  <c r="C832" i="1"/>
  <c r="W832" i="1" s="1"/>
  <c r="C833" i="1"/>
  <c r="C834" i="1"/>
  <c r="C835" i="1"/>
  <c r="C836" i="1"/>
  <c r="W836" i="1" s="1"/>
  <c r="C837" i="1"/>
  <c r="W837" i="1" s="1"/>
  <c r="C838" i="1"/>
  <c r="W838" i="1" s="1"/>
  <c r="C839" i="1"/>
  <c r="W839" i="1" s="1"/>
  <c r="C840" i="1"/>
  <c r="C841" i="1"/>
  <c r="W841" i="1" s="1"/>
  <c r="C842" i="1"/>
  <c r="W842" i="1" s="1"/>
  <c r="C843" i="1"/>
  <c r="W843" i="1" s="1"/>
  <c r="C844" i="1"/>
  <c r="C845" i="1"/>
  <c r="W845" i="1" s="1"/>
  <c r="C846" i="1"/>
  <c r="W846" i="1" s="1"/>
  <c r="C847" i="1"/>
  <c r="W847" i="1" s="1"/>
  <c r="C848" i="1"/>
  <c r="W848" i="1" s="1"/>
  <c r="C849" i="1"/>
  <c r="W849" i="1" s="1"/>
  <c r="C850" i="1"/>
  <c r="W850" i="1" s="1"/>
  <c r="C851" i="1"/>
  <c r="C852" i="1"/>
  <c r="C853" i="1"/>
  <c r="C854" i="1"/>
  <c r="C855" i="1"/>
  <c r="C856" i="1"/>
  <c r="C857" i="1"/>
  <c r="W857" i="1" s="1"/>
  <c r="C858" i="1"/>
  <c r="W858" i="1" s="1"/>
  <c r="C859" i="1"/>
  <c r="W859" i="1" s="1"/>
  <c r="C860" i="1"/>
  <c r="W860" i="1" s="1"/>
  <c r="C861" i="1"/>
  <c r="W861" i="1" s="1"/>
  <c r="C862" i="1"/>
  <c r="C863" i="1"/>
  <c r="C864" i="1"/>
  <c r="C865" i="1"/>
  <c r="C866" i="1"/>
  <c r="C867" i="1"/>
  <c r="W867" i="1" s="1"/>
  <c r="C868" i="1"/>
  <c r="W868" i="1" s="1"/>
  <c r="C869" i="1"/>
  <c r="C870" i="1"/>
  <c r="C871" i="1"/>
  <c r="C872" i="1"/>
  <c r="C873" i="1"/>
  <c r="C874" i="1"/>
  <c r="W874" i="1" s="1"/>
  <c r="C875" i="1"/>
  <c r="W875" i="1" s="1"/>
  <c r="C876" i="1"/>
  <c r="W876" i="1" s="1"/>
  <c r="C877" i="1"/>
  <c r="W877" i="1" s="1"/>
  <c r="C878" i="1"/>
  <c r="W878" i="1" s="1"/>
  <c r="C879" i="1"/>
  <c r="W879" i="1" s="1"/>
  <c r="C880" i="1"/>
  <c r="W880" i="1" s="1"/>
  <c r="C881" i="1"/>
  <c r="W881" i="1" s="1"/>
  <c r="C882" i="1"/>
  <c r="W882" i="1" s="1"/>
  <c r="C883" i="1"/>
  <c r="W883" i="1" s="1"/>
  <c r="C884" i="1"/>
  <c r="W884" i="1" s="1"/>
  <c r="C885" i="1"/>
  <c r="W885" i="1" s="1"/>
  <c r="C886" i="1"/>
  <c r="W886" i="1" s="1"/>
  <c r="C887" i="1"/>
  <c r="C888" i="1"/>
  <c r="C889" i="1"/>
  <c r="C890" i="1"/>
  <c r="C891" i="1"/>
  <c r="C892" i="1"/>
  <c r="C893" i="1"/>
  <c r="C894" i="1"/>
  <c r="C895" i="1"/>
  <c r="C896" i="1"/>
  <c r="C897" i="1"/>
  <c r="W897" i="1" s="1"/>
  <c r="C898" i="1"/>
  <c r="C899" i="1"/>
  <c r="W899" i="1" s="1"/>
  <c r="C900" i="1"/>
  <c r="C901" i="1"/>
  <c r="W901" i="1" s="1"/>
  <c r="C902" i="1"/>
  <c r="W902" i="1" s="1"/>
  <c r="C903" i="1"/>
  <c r="W903" i="1" s="1"/>
  <c r="C904" i="1"/>
  <c r="W904" i="1" s="1"/>
  <c r="C905" i="1"/>
  <c r="C906" i="1"/>
  <c r="C907" i="1"/>
  <c r="C908" i="1"/>
  <c r="C909" i="1"/>
  <c r="C910" i="1"/>
  <c r="C911" i="1"/>
  <c r="C912" i="1"/>
  <c r="C913" i="1"/>
  <c r="C914" i="1"/>
  <c r="W914" i="1" s="1"/>
  <c r="C915" i="1"/>
  <c r="W915" i="1" s="1"/>
  <c r="C916" i="1"/>
  <c r="C917" i="1"/>
  <c r="C918" i="1"/>
  <c r="W918" i="1" s="1"/>
  <c r="C919" i="1"/>
  <c r="W919" i="1" s="1"/>
  <c r="C920" i="1"/>
  <c r="W920" i="1" s="1"/>
  <c r="C921" i="1"/>
  <c r="W921" i="1" s="1"/>
  <c r="C922" i="1"/>
  <c r="W922" i="1" s="1"/>
  <c r="C923" i="1"/>
  <c r="W923" i="1" s="1"/>
  <c r="C924" i="1"/>
  <c r="C925" i="1"/>
  <c r="C926" i="1"/>
  <c r="C927" i="1"/>
  <c r="C928" i="1"/>
  <c r="W928" i="1" s="1"/>
  <c r="C929" i="1"/>
  <c r="W929" i="1" s="1"/>
  <c r="C930" i="1"/>
  <c r="W930" i="1" s="1"/>
  <c r="C931" i="1"/>
  <c r="W931" i="1" s="1"/>
  <c r="C932" i="1"/>
  <c r="W932" i="1" s="1"/>
  <c r="C933" i="1"/>
  <c r="W933" i="1" s="1"/>
  <c r="C934" i="1"/>
  <c r="C935" i="1"/>
  <c r="W935" i="1" s="1"/>
  <c r="C936" i="1"/>
  <c r="W936" i="1" s="1"/>
  <c r="C937" i="1"/>
  <c r="W937" i="1" s="1"/>
  <c r="C938" i="1"/>
  <c r="W938" i="1" s="1"/>
  <c r="C939" i="1"/>
  <c r="W939" i="1" s="1"/>
  <c r="C940" i="1"/>
  <c r="W940" i="1" s="1"/>
  <c r="C941" i="1"/>
  <c r="C942" i="1"/>
  <c r="C943" i="1"/>
  <c r="W943" i="1" s="1"/>
  <c r="C944" i="1"/>
  <c r="W944" i="1" s="1"/>
  <c r="C945" i="1"/>
  <c r="W945" i="1" s="1"/>
  <c r="C946" i="1"/>
  <c r="W946" i="1" s="1"/>
  <c r="C947" i="1"/>
  <c r="C948" i="1"/>
  <c r="C949" i="1"/>
  <c r="C950" i="1"/>
  <c r="W950" i="1" s="1"/>
  <c r="C951" i="1"/>
  <c r="W951" i="1" s="1"/>
  <c r="C952" i="1"/>
  <c r="C953" i="1"/>
  <c r="W953" i="1" s="1"/>
  <c r="C954" i="1"/>
  <c r="W954" i="1" s="1"/>
  <c r="C955" i="1"/>
  <c r="W955" i="1" s="1"/>
  <c r="C956" i="1"/>
  <c r="W956" i="1" s="1"/>
  <c r="C957" i="1"/>
  <c r="W957" i="1" s="1"/>
  <c r="C958" i="1"/>
  <c r="W958" i="1" s="1"/>
  <c r="C959" i="1"/>
  <c r="C960" i="1"/>
  <c r="C961" i="1"/>
  <c r="C962" i="1"/>
  <c r="C963" i="1"/>
  <c r="C964" i="1"/>
  <c r="W964" i="1" s="1"/>
  <c r="C965" i="1"/>
  <c r="W965" i="1" s="1"/>
  <c r="C966" i="1"/>
  <c r="W966" i="1" s="1"/>
  <c r="C967" i="1"/>
  <c r="W967" i="1" s="1"/>
  <c r="C968" i="1"/>
  <c r="C969" i="1"/>
  <c r="C970" i="1"/>
  <c r="C971" i="1"/>
  <c r="W971" i="1" s="1"/>
  <c r="C972" i="1"/>
  <c r="W972" i="1" s="1"/>
  <c r="C973" i="1"/>
  <c r="W973" i="1" s="1"/>
  <c r="C974" i="1"/>
  <c r="W974" i="1" s="1"/>
  <c r="C975" i="1"/>
  <c r="W975" i="1" s="1"/>
  <c r="C976" i="1"/>
  <c r="W976" i="1" s="1"/>
  <c r="C977" i="1"/>
  <c r="W977" i="1" s="1"/>
  <c r="C978" i="1"/>
  <c r="C979" i="1"/>
  <c r="C980" i="1"/>
  <c r="C981" i="1"/>
  <c r="C982" i="1"/>
  <c r="W982" i="1" s="1"/>
  <c r="C983" i="1"/>
  <c r="W983" i="1" s="1"/>
  <c r="C984" i="1"/>
  <c r="W984" i="1" s="1"/>
  <c r="C985" i="1"/>
  <c r="W985" i="1" s="1"/>
  <c r="C986" i="1"/>
  <c r="W986" i="1" s="1"/>
  <c r="C987" i="1"/>
  <c r="W987" i="1" s="1"/>
  <c r="C988" i="1"/>
  <c r="C989" i="1"/>
  <c r="W989" i="1" s="1"/>
  <c r="C990" i="1"/>
  <c r="W990" i="1" s="1"/>
  <c r="C991" i="1"/>
  <c r="W991" i="1" s="1"/>
  <c r="C992" i="1"/>
  <c r="W992" i="1" s="1"/>
  <c r="C993" i="1"/>
  <c r="W993" i="1" s="1"/>
  <c r="C994" i="1"/>
  <c r="W994" i="1" s="1"/>
  <c r="C995" i="1"/>
  <c r="W995" i="1" s="1"/>
  <c r="C996" i="1"/>
  <c r="W996" i="1" s="1"/>
  <c r="C997" i="1"/>
  <c r="C998" i="1"/>
  <c r="C999" i="1"/>
  <c r="C1000" i="1"/>
  <c r="C1001" i="1"/>
  <c r="C1002" i="1"/>
  <c r="C1003" i="1"/>
  <c r="W1003" i="1" s="1"/>
  <c r="C1004" i="1"/>
  <c r="W1004" i="1" s="1"/>
  <c r="C1005" i="1"/>
  <c r="W1005" i="1" s="1"/>
  <c r="C1006" i="1"/>
  <c r="C1007" i="1"/>
  <c r="W1007" i="1" s="1"/>
  <c r="C1008" i="1"/>
  <c r="W1008" i="1" s="1"/>
  <c r="C1009" i="1"/>
  <c r="W1009" i="1" s="1"/>
  <c r="C1010" i="1"/>
  <c r="W1010" i="1" s="1"/>
  <c r="C1011" i="1"/>
  <c r="W1011" i="1" s="1"/>
  <c r="C1012" i="1"/>
  <c r="W1012" i="1" s="1"/>
  <c r="C1013" i="1"/>
  <c r="C1014" i="1"/>
  <c r="W1014" i="1" s="1"/>
  <c r="C1015" i="1"/>
  <c r="W1015" i="1" s="1"/>
  <c r="C1016" i="1"/>
  <c r="C1017" i="1"/>
  <c r="C1018" i="1"/>
  <c r="C1019" i="1"/>
  <c r="C1020" i="1"/>
  <c r="C1021" i="1"/>
  <c r="C1022" i="1"/>
  <c r="W1022" i="1" s="1"/>
  <c r="C1023" i="1"/>
  <c r="W1023" i="1" s="1"/>
  <c r="C1024" i="1"/>
  <c r="C1025" i="1"/>
  <c r="C1026" i="1"/>
  <c r="C1027" i="1"/>
  <c r="W1027" i="1" s="1"/>
  <c r="C1028" i="1"/>
  <c r="W1028" i="1" s="1"/>
  <c r="C1029" i="1"/>
  <c r="W1029" i="1" s="1"/>
  <c r="C1030" i="1"/>
  <c r="W1030" i="1" s="1"/>
  <c r="C1031" i="1"/>
  <c r="W1031" i="1" s="1"/>
  <c r="C1032" i="1"/>
  <c r="C1033" i="1"/>
  <c r="W1033" i="1" s="1"/>
  <c r="C1034" i="1"/>
  <c r="W1034" i="1" s="1"/>
  <c r="C1035" i="1"/>
  <c r="C1036" i="1"/>
  <c r="W1036" i="1" s="1"/>
  <c r="C1037" i="1"/>
  <c r="W1037" i="1" s="1"/>
  <c r="C1038" i="1"/>
  <c r="W1038" i="1" s="1"/>
  <c r="C1039" i="1"/>
  <c r="W1039" i="1" s="1"/>
  <c r="C1040" i="1"/>
  <c r="W1040" i="1" s="1"/>
  <c r="C1041" i="1"/>
  <c r="W1041" i="1" s="1"/>
  <c r="C1042" i="1"/>
  <c r="C1043" i="1"/>
  <c r="C1044" i="1"/>
  <c r="C1045" i="1"/>
  <c r="W1045" i="1" s="1"/>
  <c r="C1046" i="1"/>
  <c r="W1046" i="1" s="1"/>
  <c r="C1047" i="1"/>
  <c r="W1047" i="1" s="1"/>
  <c r="C1048" i="1"/>
  <c r="W1048" i="1" s="1"/>
  <c r="C1049" i="1"/>
  <c r="W1049" i="1" s="1"/>
  <c r="C1050" i="1"/>
  <c r="C1051" i="1"/>
  <c r="C1052" i="1"/>
  <c r="W1052" i="1" s="1"/>
  <c r="C1053" i="1"/>
  <c r="W1053" i="1" s="1"/>
  <c r="C1054" i="1"/>
  <c r="W1054" i="1" s="1"/>
  <c r="C1055" i="1"/>
  <c r="C1056" i="1"/>
  <c r="C1057" i="1"/>
  <c r="W1057" i="1" s="1"/>
  <c r="C1058" i="1"/>
  <c r="W1058" i="1" s="1"/>
  <c r="C1059" i="1"/>
  <c r="W1059" i="1" s="1"/>
  <c r="C1060" i="1"/>
  <c r="C1061" i="1"/>
  <c r="W1061" i="1" s="1"/>
  <c r="C1062" i="1"/>
  <c r="W1062" i="1" s="1"/>
  <c r="C1063" i="1"/>
  <c r="W1063" i="1" s="1"/>
  <c r="C1064" i="1"/>
  <c r="W1064" i="1" s="1"/>
  <c r="C1065" i="1"/>
  <c r="W1065" i="1" s="1"/>
  <c r="C1066" i="1"/>
  <c r="W1066" i="1" s="1"/>
  <c r="C1067" i="1"/>
  <c r="C1068" i="1"/>
  <c r="C1069" i="1"/>
  <c r="C1070" i="1"/>
  <c r="W1070" i="1" s="1"/>
  <c r="C1071" i="1"/>
  <c r="W1071" i="1" s="1"/>
  <c r="C1072" i="1"/>
  <c r="W1072" i="1" s="1"/>
  <c r="C1073" i="1"/>
  <c r="W1073" i="1" s="1"/>
  <c r="C1074" i="1"/>
  <c r="W1074" i="1" s="1"/>
  <c r="C1075" i="1"/>
  <c r="W1075" i="1" s="1"/>
  <c r="C1076" i="1"/>
  <c r="C1077" i="1"/>
  <c r="C1078" i="1"/>
  <c r="C1079" i="1"/>
  <c r="C1080" i="1"/>
  <c r="C1081" i="1"/>
  <c r="C1082" i="1"/>
  <c r="W1082" i="1" s="1"/>
  <c r="C1083" i="1"/>
  <c r="W1083" i="1" s="1"/>
  <c r="C1084" i="1"/>
  <c r="W1084" i="1" s="1"/>
  <c r="C1085" i="1"/>
  <c r="C1086" i="1"/>
  <c r="C1087" i="1"/>
  <c r="C1088" i="1"/>
  <c r="C1089" i="1"/>
  <c r="C1090" i="1"/>
  <c r="W1090" i="1" s="1"/>
  <c r="C1091" i="1"/>
  <c r="W1091" i="1" s="1"/>
  <c r="C1092" i="1"/>
  <c r="W1092" i="1" s="1"/>
  <c r="C1093" i="1"/>
  <c r="W1093" i="1" s="1"/>
  <c r="C1094" i="1"/>
  <c r="W1094" i="1" s="1"/>
  <c r="C1095" i="1"/>
  <c r="W1095" i="1" s="1"/>
  <c r="C1096" i="1"/>
  <c r="C1097" i="1"/>
  <c r="W1097" i="1" s="1"/>
  <c r="C1098" i="1"/>
  <c r="W1098" i="1" s="1"/>
  <c r="C1099" i="1"/>
  <c r="W1099" i="1" s="1"/>
  <c r="C1100" i="1"/>
  <c r="W1100" i="1" s="1"/>
  <c r="C1101" i="1"/>
  <c r="W1101" i="1" s="1"/>
  <c r="C1102" i="1"/>
  <c r="W1102" i="1" s="1"/>
  <c r="C1103" i="1"/>
  <c r="C1104" i="1"/>
  <c r="C1105" i="1"/>
  <c r="C1106" i="1"/>
  <c r="C1107" i="1"/>
  <c r="C1108" i="1"/>
  <c r="W1108" i="1" s="1"/>
  <c r="C1109" i="1"/>
  <c r="W1109" i="1" s="1"/>
  <c r="C1110" i="1"/>
  <c r="W1110" i="1" s="1"/>
  <c r="C1111" i="1"/>
  <c r="W1111" i="1" s="1"/>
  <c r="C1112" i="1"/>
  <c r="W1112" i="1" s="1"/>
  <c r="C1113" i="1"/>
  <c r="W1113" i="1" s="1"/>
  <c r="C1114" i="1"/>
  <c r="C1115" i="1"/>
  <c r="W1115" i="1" s="1"/>
  <c r="C1116" i="1"/>
  <c r="W1116" i="1" s="1"/>
  <c r="C1117" i="1"/>
  <c r="W1117" i="1" s="1"/>
  <c r="C1118" i="1"/>
  <c r="W1118" i="1" s="1"/>
  <c r="C1119" i="1"/>
  <c r="C1120" i="1"/>
  <c r="W1120" i="1" s="1"/>
  <c r="C1121" i="1"/>
  <c r="C1122" i="1"/>
  <c r="C1123" i="1"/>
  <c r="C1124" i="1"/>
  <c r="C1125" i="1"/>
  <c r="C1126" i="1"/>
  <c r="C1127" i="1"/>
  <c r="C1128" i="1"/>
  <c r="W1128" i="1" s="1"/>
  <c r="C1129" i="1"/>
  <c r="W1129" i="1" s="1"/>
  <c r="C1130" i="1"/>
  <c r="W1130" i="1" s="1"/>
  <c r="C1131" i="1"/>
  <c r="W1131" i="1" s="1"/>
  <c r="C1132" i="1"/>
  <c r="C1133" i="1"/>
  <c r="W1133" i="1" s="1"/>
  <c r="C1134" i="1"/>
  <c r="W1134" i="1" s="1"/>
  <c r="C1135" i="1"/>
  <c r="W1135" i="1" s="1"/>
  <c r="C1136" i="1"/>
  <c r="W1136" i="1" s="1"/>
  <c r="C1137" i="1"/>
  <c r="W1137" i="1" s="1"/>
  <c r="C1138" i="1"/>
  <c r="W1138" i="1" s="1"/>
  <c r="C1139" i="1"/>
  <c r="W1139" i="1" s="1"/>
  <c r="C1140" i="1"/>
  <c r="C1141" i="1"/>
  <c r="C1142" i="1"/>
  <c r="C1143" i="1"/>
  <c r="C1144" i="1"/>
  <c r="C1145" i="1"/>
  <c r="C1146" i="1"/>
  <c r="C1147" i="1"/>
  <c r="W1147" i="1" s="1"/>
  <c r="C1148" i="1"/>
  <c r="W1148" i="1" s="1"/>
  <c r="C1149" i="1"/>
  <c r="C1150" i="1"/>
  <c r="C1151" i="1"/>
  <c r="C1152" i="1"/>
  <c r="W1152" i="1" s="1"/>
  <c r="C1153" i="1"/>
  <c r="W1153" i="1" s="1"/>
  <c r="C1154" i="1"/>
  <c r="W1154" i="1" s="1"/>
  <c r="C1155" i="1"/>
  <c r="W1155" i="1" s="1"/>
  <c r="C1156" i="1"/>
  <c r="W1156" i="1" s="1"/>
  <c r="C1157" i="1"/>
  <c r="W1157" i="1" s="1"/>
  <c r="C1158" i="1"/>
  <c r="C1159" i="1"/>
  <c r="C1160" i="1"/>
  <c r="C1161" i="1"/>
  <c r="C1162" i="1"/>
  <c r="W1162" i="1" s="1"/>
  <c r="C1163" i="1"/>
  <c r="W1163" i="1" s="1"/>
  <c r="C1164" i="1"/>
  <c r="W1164" i="1" s="1"/>
  <c r="C1165" i="1"/>
  <c r="W1165" i="1" s="1"/>
  <c r="C1166" i="1"/>
  <c r="W1166" i="1" s="1"/>
  <c r="C1167" i="1"/>
  <c r="W1167" i="1" s="1"/>
  <c r="C1168" i="1"/>
  <c r="C1169" i="1"/>
  <c r="W1169" i="1" s="1"/>
  <c r="C1170" i="1"/>
  <c r="W1170" i="1" s="1"/>
  <c r="C1171" i="1"/>
  <c r="W1171" i="1" s="1"/>
  <c r="C1172" i="1"/>
  <c r="W1172" i="1" s="1"/>
  <c r="C1173" i="1"/>
  <c r="W1173" i="1" s="1"/>
  <c r="C1174" i="1"/>
  <c r="W1174" i="1" s="1"/>
  <c r="C1175" i="1"/>
  <c r="C1176" i="1"/>
  <c r="C1177" i="1"/>
  <c r="C1178" i="1"/>
  <c r="W1178" i="1" s="1"/>
  <c r="C1179" i="1"/>
  <c r="W1179" i="1" s="1"/>
  <c r="C1180" i="1"/>
  <c r="W1180" i="1" s="1"/>
  <c r="C1181" i="1"/>
  <c r="W1181" i="1" s="1"/>
  <c r="C1182" i="1"/>
  <c r="C1183" i="1"/>
  <c r="C1184" i="1"/>
  <c r="C1185" i="1"/>
  <c r="W1185" i="1" s="1"/>
  <c r="C1186" i="1"/>
  <c r="C1187" i="1"/>
  <c r="W1187" i="1" s="1"/>
  <c r="C1188" i="1"/>
  <c r="W1188" i="1" s="1"/>
  <c r="C1189" i="1"/>
  <c r="W1189" i="1" s="1"/>
  <c r="C1190" i="1"/>
  <c r="W1190" i="1" s="1"/>
  <c r="C1191" i="1"/>
  <c r="W1191" i="1" s="1"/>
  <c r="C1192" i="1"/>
  <c r="W1192" i="1" s="1"/>
  <c r="C1193" i="1"/>
  <c r="C1194" i="1"/>
  <c r="C1195" i="1"/>
  <c r="C1196" i="1"/>
  <c r="C1197" i="1"/>
  <c r="C1198" i="1"/>
  <c r="W1198" i="1" s="1"/>
  <c r="C1199" i="1"/>
  <c r="W1199" i="1" s="1"/>
  <c r="C1200" i="1"/>
  <c r="W1200" i="1" s="1"/>
  <c r="C1201" i="1"/>
  <c r="W1201" i="1" s="1"/>
  <c r="C1202" i="1"/>
  <c r="W1202" i="1" s="1"/>
  <c r="C1203" i="1"/>
  <c r="W1203" i="1" s="1"/>
  <c r="C1204" i="1"/>
  <c r="W1204" i="1" s="1"/>
  <c r="C1205" i="1"/>
  <c r="W1205" i="1" s="1"/>
  <c r="C1206" i="1"/>
  <c r="W1206" i="1" s="1"/>
  <c r="C1207" i="1"/>
  <c r="W1207" i="1" s="1"/>
  <c r="C1208" i="1"/>
  <c r="W1208" i="1" s="1"/>
  <c r="C1209" i="1"/>
  <c r="W1209" i="1" s="1"/>
  <c r="C1210" i="1"/>
  <c r="W1210" i="1" s="1"/>
  <c r="C1211" i="1"/>
  <c r="C1212" i="1"/>
  <c r="C1213" i="1"/>
  <c r="C1214" i="1"/>
  <c r="C1215" i="1"/>
  <c r="C1216" i="1"/>
  <c r="W1216" i="1" s="1"/>
  <c r="C1217" i="1"/>
  <c r="W1217" i="1" s="1"/>
  <c r="C1218" i="1"/>
  <c r="W1218" i="1" s="1"/>
  <c r="C1219" i="1"/>
  <c r="W1219" i="1" s="1"/>
  <c r="C1220" i="1"/>
  <c r="W1220" i="1" s="1"/>
  <c r="C1221" i="1"/>
  <c r="W1221" i="1" s="1"/>
  <c r="C1222" i="1"/>
  <c r="C1223" i="1"/>
  <c r="W1223" i="1" s="1"/>
  <c r="C1224" i="1"/>
  <c r="W1224" i="1" s="1"/>
  <c r="C1225" i="1"/>
  <c r="W1225" i="1" s="1"/>
  <c r="C1226" i="1"/>
  <c r="W1226" i="1" s="1"/>
  <c r="C1227" i="1"/>
  <c r="W1227" i="1" s="1"/>
  <c r="C1228" i="1"/>
  <c r="W1228" i="1" s="1"/>
  <c r="C1229" i="1"/>
  <c r="C1230" i="1"/>
  <c r="C1231" i="1"/>
  <c r="C1232" i="1"/>
  <c r="C1233" i="1"/>
  <c r="C1234" i="1"/>
  <c r="C1235" i="1"/>
  <c r="C1236" i="1"/>
  <c r="W1236" i="1" s="1"/>
  <c r="C1237" i="1"/>
  <c r="W1237" i="1" s="1"/>
  <c r="C1238" i="1"/>
  <c r="W1238" i="1" s="1"/>
  <c r="C1239" i="1"/>
  <c r="W1239" i="1" s="1"/>
  <c r="C1240" i="1"/>
  <c r="C1241" i="1"/>
  <c r="W1241" i="1" s="1"/>
  <c r="C1242" i="1"/>
  <c r="W1242" i="1" s="1"/>
  <c r="C1243" i="1"/>
  <c r="W1243" i="1" s="1"/>
  <c r="C1244" i="1"/>
  <c r="W1244" i="1" s="1"/>
  <c r="C1245" i="1"/>
  <c r="W1245" i="1" s="1"/>
  <c r="C1246" i="1"/>
  <c r="W1246" i="1" s="1"/>
  <c r="C1247" i="1"/>
  <c r="C1248" i="1"/>
  <c r="C1249" i="1"/>
  <c r="C1250" i="1"/>
  <c r="C1251" i="1"/>
  <c r="C1252" i="1"/>
  <c r="C1253" i="1"/>
  <c r="C1254" i="1"/>
  <c r="C1255" i="1"/>
  <c r="W1255" i="1" s="1"/>
  <c r="C1256" i="1"/>
  <c r="W1256" i="1" s="1"/>
  <c r="C1257" i="1"/>
  <c r="W1257" i="1" s="1"/>
  <c r="C1258" i="1"/>
  <c r="C1259" i="1"/>
  <c r="W1259" i="1" s="1"/>
  <c r="C1260" i="1"/>
  <c r="W1260" i="1" s="1"/>
  <c r="C1261" i="1"/>
  <c r="W1261" i="1" s="1"/>
  <c r="C1262" i="1"/>
  <c r="W1262" i="1" s="1"/>
  <c r="C1263" i="1"/>
  <c r="W1263" i="1" s="1"/>
  <c r="C1264" i="1"/>
  <c r="W1264" i="1" s="1"/>
  <c r="C1265" i="1"/>
  <c r="W1265" i="1" s="1"/>
  <c r="C1266" i="1"/>
  <c r="C1267" i="1"/>
  <c r="C1268" i="1"/>
  <c r="C1269" i="1"/>
  <c r="C1270" i="1"/>
  <c r="W1270" i="1" s="1"/>
  <c r="C1271" i="1"/>
  <c r="W1271" i="1" s="1"/>
  <c r="C1272" i="1"/>
  <c r="W1272" i="1" s="1"/>
  <c r="C1273" i="1"/>
  <c r="W1273" i="1" s="1"/>
  <c r="C1274" i="1"/>
  <c r="W1274" i="1" s="1"/>
  <c r="C1275" i="1"/>
  <c r="C1276" i="1"/>
  <c r="C1277" i="1"/>
  <c r="C1278" i="1"/>
  <c r="C1279" i="1"/>
  <c r="C1280" i="1"/>
  <c r="W1280" i="1" s="1"/>
  <c r="C1281" i="1"/>
  <c r="W1281" i="1" s="1"/>
  <c r="C1282" i="1"/>
  <c r="W1282" i="1" s="1"/>
  <c r="C1283" i="1"/>
  <c r="C1284" i="1"/>
  <c r="C1285" i="1"/>
  <c r="W1285" i="1" s="1"/>
  <c r="C1286" i="1"/>
  <c r="W1286" i="1" s="1"/>
  <c r="C1287" i="1"/>
  <c r="W1287" i="1" s="1"/>
  <c r="C1288" i="1"/>
  <c r="W1288" i="1" s="1"/>
  <c r="C1289" i="1"/>
  <c r="C1290" i="1"/>
  <c r="W1290" i="1" s="1"/>
  <c r="C1291" i="1"/>
  <c r="W1291" i="1" s="1"/>
  <c r="C1292" i="1"/>
  <c r="W1292" i="1" s="1"/>
  <c r="C1293" i="1"/>
  <c r="W1293" i="1" s="1"/>
  <c r="C1294" i="1"/>
  <c r="C1295" i="1"/>
  <c r="W1295" i="1" s="1"/>
  <c r="C1296" i="1"/>
  <c r="W1296" i="1" s="1"/>
  <c r="C1297" i="1"/>
  <c r="W1297" i="1" s="1"/>
  <c r="C1298" i="1"/>
  <c r="W1298" i="1" s="1"/>
  <c r="C1299" i="1"/>
  <c r="W1299" i="1" s="1"/>
  <c r="C1300" i="1"/>
  <c r="W1300" i="1" s="1"/>
  <c r="C1301" i="1"/>
  <c r="W1301" i="1" s="1"/>
  <c r="C1302" i="1"/>
  <c r="C1303" i="1"/>
  <c r="C1304" i="1"/>
  <c r="C1305" i="1"/>
  <c r="C1306" i="1"/>
  <c r="W1306" i="1" s="1"/>
  <c r="C1307" i="1"/>
  <c r="W1307" i="1" s="1"/>
  <c r="C1308" i="1"/>
  <c r="W1308" i="1" s="1"/>
  <c r="C1309" i="1"/>
  <c r="W1309" i="1" s="1"/>
  <c r="C1310" i="1"/>
  <c r="W1310" i="1" s="1"/>
  <c r="C1311" i="1"/>
  <c r="W1311" i="1" s="1"/>
  <c r="C1312" i="1"/>
  <c r="C1313" i="1"/>
  <c r="W1313" i="1" s="1"/>
  <c r="C1314" i="1"/>
  <c r="W1314" i="1" s="1"/>
  <c r="C1315" i="1"/>
  <c r="W1315" i="1" s="1"/>
  <c r="C1316" i="1"/>
  <c r="W1316" i="1" s="1"/>
  <c r="C1317" i="1"/>
  <c r="W1317" i="1" s="1"/>
  <c r="C1318" i="1"/>
  <c r="W1318" i="1" s="1"/>
  <c r="C1319" i="1"/>
  <c r="W1319" i="1" s="1"/>
  <c r="C1320" i="1"/>
  <c r="W1320" i="1" s="1"/>
  <c r="C1321" i="1"/>
  <c r="C1322" i="1"/>
  <c r="C1323" i="1"/>
  <c r="C1324" i="1"/>
  <c r="C1325" i="1"/>
  <c r="C1326" i="1"/>
  <c r="C1327" i="1"/>
  <c r="W1327" i="1" s="1"/>
  <c r="C1328" i="1"/>
  <c r="W1328" i="1" s="1"/>
  <c r="C1329" i="1"/>
  <c r="W1329" i="1" s="1"/>
  <c r="C1330" i="1"/>
  <c r="C1331" i="1"/>
  <c r="C1332" i="1"/>
  <c r="W1332" i="1" s="1"/>
  <c r="C1333" i="1"/>
  <c r="W1333" i="1" s="1"/>
  <c r="C1334" i="1"/>
  <c r="W1334" i="1" s="1"/>
  <c r="C1335" i="1"/>
  <c r="W1335" i="1" s="1"/>
  <c r="C1336" i="1"/>
  <c r="W1336" i="1" s="1"/>
  <c r="C1337" i="1"/>
  <c r="C1338" i="1"/>
  <c r="W1338" i="1" s="1"/>
  <c r="C1339" i="1"/>
  <c r="W1339" i="1" s="1"/>
  <c r="C1340" i="1"/>
  <c r="C1341" i="1"/>
  <c r="C1342" i="1"/>
  <c r="W1342" i="1" s="1"/>
  <c r="C1343" i="1"/>
  <c r="W1343" i="1" s="1"/>
  <c r="C1344" i="1"/>
  <c r="W1344" i="1" s="1"/>
  <c r="C1345" i="1"/>
  <c r="W1345" i="1" s="1"/>
  <c r="C1346" i="1"/>
  <c r="W1346" i="1" s="1"/>
  <c r="C1347" i="1"/>
  <c r="W1347" i="1" s="1"/>
  <c r="C1348" i="1"/>
  <c r="C1349" i="1"/>
  <c r="W1349" i="1" s="1"/>
  <c r="C1350" i="1"/>
  <c r="W1350" i="1" s="1"/>
  <c r="C1351" i="1"/>
  <c r="W1351" i="1" s="1"/>
  <c r="C1352" i="1"/>
  <c r="W1352" i="1" s="1"/>
  <c r="C1353" i="1"/>
  <c r="W1353" i="1" s="1"/>
  <c r="C1354" i="1"/>
  <c r="W1354" i="1" s="1"/>
  <c r="C1355" i="1"/>
  <c r="C1356" i="1"/>
  <c r="C1357" i="1"/>
  <c r="W1357" i="1" s="1"/>
  <c r="C1358" i="1"/>
  <c r="W1358" i="1" s="1"/>
  <c r="C1359" i="1"/>
  <c r="C1360" i="1"/>
  <c r="C1361" i="1"/>
  <c r="C1362" i="1"/>
  <c r="C1363" i="1"/>
  <c r="C1364" i="1"/>
  <c r="C1365" i="1"/>
  <c r="C1366" i="1"/>
  <c r="C1367" i="1"/>
  <c r="W1367" i="1" s="1"/>
  <c r="C1368" i="1"/>
  <c r="W1368" i="1" s="1"/>
  <c r="C1369" i="1"/>
  <c r="W1369" i="1" s="1"/>
  <c r="C1370" i="1"/>
  <c r="W1370" i="1" s="1"/>
  <c r="C1371" i="1"/>
  <c r="W1371" i="1" s="1"/>
  <c r="C1372" i="1"/>
  <c r="W1372" i="1" s="1"/>
  <c r="C1373" i="1"/>
  <c r="W1373" i="1" s="1"/>
  <c r="C1374" i="1"/>
  <c r="C1375" i="1"/>
  <c r="C1376" i="1"/>
  <c r="W1376" i="1" s="1"/>
  <c r="C1377" i="1"/>
  <c r="W1377" i="1" s="1"/>
  <c r="C1378" i="1"/>
  <c r="W1378" i="1" s="1"/>
  <c r="C1379" i="1"/>
  <c r="W1379" i="1" s="1"/>
  <c r="C1380" i="1"/>
  <c r="W1380" i="1" s="1"/>
  <c r="C1381" i="1"/>
  <c r="W1381" i="1" s="1"/>
  <c r="C1382" i="1"/>
  <c r="W1382" i="1" s="1"/>
  <c r="C1383" i="1"/>
  <c r="W1383" i="1" s="1"/>
  <c r="C1384" i="1"/>
  <c r="C1385" i="1"/>
  <c r="W1385" i="1" s="1"/>
  <c r="C1386" i="1"/>
  <c r="W1386" i="1" s="1"/>
  <c r="C1387" i="1"/>
  <c r="W1387" i="1" s="1"/>
  <c r="C1388" i="1"/>
  <c r="W1388" i="1" s="1"/>
  <c r="C1389" i="1"/>
  <c r="W1389" i="1" s="1"/>
  <c r="C1390" i="1"/>
  <c r="W1390" i="1" s="1"/>
  <c r="C1391" i="1"/>
  <c r="W1391" i="1" s="1"/>
  <c r="C1392" i="1"/>
  <c r="C1393" i="1"/>
  <c r="C1394" i="1"/>
  <c r="C1395" i="1"/>
  <c r="W1395" i="1" s="1"/>
  <c r="C1396" i="1"/>
  <c r="W1396" i="1" s="1"/>
  <c r="C1397" i="1"/>
  <c r="W1397" i="1" s="1"/>
  <c r="C1398" i="1"/>
  <c r="W1398" i="1" s="1"/>
  <c r="C1399" i="1"/>
  <c r="W1399" i="1" s="1"/>
  <c r="C1400" i="1"/>
  <c r="W1400" i="1" s="1"/>
  <c r="C1401" i="1"/>
  <c r="W1401" i="1" s="1"/>
  <c r="C1402" i="1"/>
  <c r="C1403" i="1"/>
  <c r="W1403" i="1" s="1"/>
  <c r="C1404" i="1"/>
  <c r="C1405" i="1"/>
  <c r="C1406" i="1"/>
  <c r="C1407" i="1"/>
  <c r="C1408" i="1"/>
  <c r="W1408" i="1" s="1"/>
  <c r="C1409" i="1"/>
  <c r="C1410" i="1"/>
  <c r="C1411" i="1"/>
  <c r="C1412" i="1"/>
  <c r="W1412" i="1" s="1"/>
  <c r="C1413" i="1"/>
  <c r="W1413" i="1" s="1"/>
  <c r="C1414" i="1"/>
  <c r="W1414" i="1" s="1"/>
  <c r="C1415" i="1"/>
  <c r="W1415" i="1" s="1"/>
  <c r="C1416" i="1"/>
  <c r="W1416" i="1" s="1"/>
  <c r="C1417" i="1"/>
  <c r="W1417" i="1" s="1"/>
  <c r="C1418" i="1"/>
  <c r="W1418" i="1" s="1"/>
  <c r="C1419" i="1"/>
  <c r="W1419" i="1" s="1"/>
  <c r="C1420" i="1"/>
  <c r="C1421" i="1"/>
  <c r="W1421" i="1" s="1"/>
  <c r="C1422" i="1"/>
  <c r="W1422" i="1" s="1"/>
  <c r="C1423" i="1"/>
  <c r="W1423" i="1" s="1"/>
  <c r="C1424" i="1"/>
  <c r="W1424" i="1" s="1"/>
  <c r="C1425" i="1"/>
  <c r="W1425" i="1" s="1"/>
  <c r="C1426" i="1"/>
  <c r="W1426" i="1" s="1"/>
  <c r="C1427" i="1"/>
  <c r="C1428" i="1"/>
  <c r="C1429" i="1"/>
  <c r="C1430" i="1"/>
  <c r="C1431" i="1"/>
  <c r="C1432" i="1"/>
  <c r="C1433" i="1"/>
  <c r="W1433" i="1" s="1"/>
  <c r="C1434" i="1"/>
  <c r="W1434" i="1" s="1"/>
  <c r="C1435" i="1"/>
  <c r="W1435" i="1" s="1"/>
  <c r="C1436" i="1"/>
  <c r="W1436" i="1" s="1"/>
  <c r="C1437" i="1"/>
  <c r="W1437" i="1" s="1"/>
  <c r="C1438" i="1"/>
  <c r="C1439" i="1"/>
  <c r="C1440" i="1"/>
  <c r="C1441" i="1"/>
  <c r="C1442" i="1"/>
  <c r="C1443" i="1"/>
  <c r="C1444" i="1"/>
  <c r="W1444" i="1" s="1"/>
  <c r="C1445" i="1"/>
  <c r="W1445" i="1" s="1"/>
  <c r="C1446" i="1"/>
  <c r="C1447" i="1"/>
  <c r="C1448" i="1"/>
  <c r="C1449" i="1"/>
  <c r="C1450" i="1"/>
  <c r="W1450" i="1" s="1"/>
  <c r="C1451" i="1"/>
  <c r="W1451" i="1" s="1"/>
  <c r="C1452" i="1"/>
  <c r="W1452" i="1" s="1"/>
  <c r="C1453" i="1"/>
  <c r="W1453" i="1" s="1"/>
  <c r="C1454" i="1"/>
  <c r="W1454" i="1" s="1"/>
  <c r="C1455" i="1"/>
  <c r="W1455" i="1" s="1"/>
  <c r="C1456" i="1"/>
  <c r="C1457" i="1"/>
  <c r="W1457" i="1" s="1"/>
  <c r="C1458" i="1"/>
  <c r="W1458" i="1" s="1"/>
  <c r="C1459" i="1"/>
  <c r="W1459" i="1" s="1"/>
  <c r="C1460" i="1"/>
  <c r="W1460" i="1" s="1"/>
  <c r="C1461" i="1"/>
  <c r="W1461" i="1" s="1"/>
  <c r="C1462" i="1"/>
  <c r="W1462" i="1" s="1"/>
  <c r="C1463" i="1"/>
  <c r="C1464" i="1"/>
  <c r="C1465" i="1"/>
  <c r="C1466" i="1"/>
  <c r="C1467" i="1"/>
  <c r="C1468" i="1"/>
  <c r="C1469" i="1"/>
  <c r="W1469" i="1" s="1"/>
  <c r="C1470" i="1"/>
  <c r="W1470" i="1" s="1"/>
  <c r="C1471" i="1"/>
  <c r="W1471" i="1" s="1"/>
  <c r="C1472" i="1"/>
  <c r="W1472" i="1" s="1"/>
  <c r="C1473" i="1"/>
  <c r="W1473" i="1" s="1"/>
  <c r="C1474" i="1"/>
  <c r="C1475" i="1"/>
  <c r="W1475" i="1" s="1"/>
  <c r="C1476" i="1"/>
  <c r="W1476" i="1" s="1"/>
  <c r="C1477" i="1"/>
  <c r="W1477" i="1" s="1"/>
  <c r="C1478" i="1"/>
  <c r="W1478" i="1" s="1"/>
  <c r="C1479" i="1"/>
  <c r="W1479" i="1" s="1"/>
  <c r="C1480" i="1"/>
  <c r="W1480" i="1" s="1"/>
  <c r="C1481" i="1"/>
  <c r="W1481" i="1" s="1"/>
  <c r="C1482" i="1"/>
  <c r="C1483" i="1"/>
  <c r="C1484" i="1"/>
  <c r="C1485" i="1"/>
  <c r="C1486" i="1"/>
  <c r="C1487" i="1"/>
  <c r="C1488" i="1"/>
  <c r="C1489" i="1"/>
  <c r="W1489" i="1" s="1"/>
  <c r="C1490" i="1"/>
  <c r="W1490" i="1" s="1"/>
  <c r="C1491" i="1"/>
  <c r="W1491" i="1" s="1"/>
  <c r="C1492" i="1"/>
  <c r="C1493" i="1"/>
  <c r="W1493" i="1" s="1"/>
  <c r="C1494" i="1"/>
  <c r="W1494" i="1" s="1"/>
  <c r="C1495" i="1"/>
  <c r="W1495" i="1" s="1"/>
  <c r="C1496" i="1"/>
  <c r="W1496" i="1" s="1"/>
  <c r="C1497" i="1"/>
  <c r="W1497" i="1" s="1"/>
  <c r="C1498" i="1"/>
  <c r="W1498" i="1" s="1"/>
  <c r="C1499" i="1"/>
  <c r="W1499" i="1" s="1"/>
  <c r="C1500" i="1"/>
  <c r="C1501" i="1"/>
  <c r="C1502" i="1"/>
  <c r="C1503" i="1"/>
  <c r="C1504" i="1"/>
  <c r="C1505" i="1"/>
  <c r="C1506" i="1"/>
  <c r="C1507" i="1"/>
  <c r="C1508" i="1"/>
  <c r="C1509" i="1"/>
  <c r="W1509" i="1" s="1"/>
  <c r="C1510" i="1"/>
  <c r="C1511" i="1"/>
  <c r="W1511" i="1" s="1"/>
  <c r="C1512" i="1"/>
  <c r="W1512" i="1" s="1"/>
  <c r="C1513" i="1"/>
  <c r="W1513" i="1" s="1"/>
  <c r="C1514" i="1"/>
  <c r="W1514" i="1" s="1"/>
  <c r="C1515" i="1"/>
  <c r="W1515" i="1" s="1"/>
  <c r="C1516" i="1"/>
  <c r="W1516" i="1" s="1"/>
  <c r="C1517" i="1"/>
  <c r="C1518" i="1"/>
  <c r="C1519" i="1"/>
  <c r="W1519" i="1" s="1"/>
  <c r="C1520" i="1"/>
  <c r="W1520" i="1" s="1"/>
  <c r="C1521" i="1"/>
  <c r="W1521" i="1" s="1"/>
  <c r="C1522" i="1"/>
  <c r="W1522" i="1" s="1"/>
  <c r="C1523" i="1"/>
  <c r="W1523" i="1" s="1"/>
  <c r="C1524" i="1"/>
  <c r="W1524" i="1" s="1"/>
  <c r="C1525" i="1"/>
  <c r="W1525" i="1" s="1"/>
  <c r="C1526" i="1"/>
  <c r="W1526" i="1" s="1"/>
  <c r="C1527" i="1"/>
  <c r="W1527" i="1" s="1"/>
  <c r="C1528" i="1"/>
  <c r="W1528" i="1" s="1"/>
  <c r="C1529" i="1"/>
  <c r="W1529" i="1" s="1"/>
  <c r="C1530" i="1"/>
  <c r="W1530" i="1" s="1"/>
  <c r="C1531" i="1"/>
  <c r="W1531" i="1" s="1"/>
  <c r="C1532" i="1"/>
  <c r="W1532" i="1" s="1"/>
  <c r="C1533" i="1"/>
  <c r="W1533" i="1" s="1"/>
  <c r="C1534" i="1"/>
  <c r="W1534" i="1" s="1"/>
  <c r="C1535" i="1"/>
  <c r="C1536" i="1"/>
  <c r="C1537" i="1"/>
  <c r="C1538" i="1"/>
  <c r="C1539" i="1"/>
  <c r="W1539" i="1" s="1"/>
  <c r="C1540" i="1"/>
  <c r="W1540" i="1" s="1"/>
  <c r="C1541" i="1"/>
  <c r="W1541" i="1" s="1"/>
  <c r="C1542" i="1"/>
  <c r="W1542" i="1" s="1"/>
  <c r="C1543" i="1"/>
  <c r="C1544" i="1"/>
  <c r="C1545" i="1"/>
  <c r="C1546" i="1"/>
  <c r="W1546" i="1" s="1"/>
  <c r="C1547" i="1"/>
  <c r="W1547" i="1" s="1"/>
  <c r="C1548" i="1"/>
  <c r="W1548" i="1" s="1"/>
  <c r="C1549" i="1"/>
  <c r="W1549" i="1" s="1"/>
  <c r="C1550" i="1"/>
  <c r="W1550" i="1" s="1"/>
  <c r="C1551" i="1"/>
  <c r="W1551" i="1" s="1"/>
  <c r="C1552" i="1"/>
  <c r="W1552" i="1" s="1"/>
  <c r="C1553" i="1"/>
  <c r="C1554" i="1"/>
  <c r="C1555" i="1"/>
  <c r="C1556" i="1"/>
  <c r="C1557" i="1"/>
  <c r="C1558" i="1"/>
  <c r="W1558" i="1" s="1"/>
  <c r="C1559" i="1"/>
  <c r="W1559" i="1" s="1"/>
  <c r="C1560" i="1"/>
  <c r="W1560" i="1" s="1"/>
  <c r="C1561" i="1"/>
  <c r="W1561" i="1" s="1"/>
  <c r="C1562" i="1"/>
  <c r="W1562" i="1" s="1"/>
  <c r="C1563" i="1"/>
  <c r="W1563" i="1" s="1"/>
  <c r="C1564" i="1"/>
  <c r="W1564" i="1" s="1"/>
  <c r="C1565" i="1"/>
  <c r="W1565" i="1" s="1"/>
  <c r="C1566" i="1"/>
  <c r="W1566" i="1" s="1"/>
  <c r="C1567" i="1"/>
  <c r="W1567" i="1" s="1"/>
  <c r="C1568" i="1"/>
  <c r="W1568" i="1" s="1"/>
  <c r="C1569" i="1"/>
  <c r="W1569" i="1" s="1"/>
  <c r="C1570" i="1"/>
  <c r="W1570" i="1" s="1"/>
  <c r="C1571" i="1"/>
  <c r="C1572" i="1"/>
  <c r="C1573" i="1"/>
  <c r="C1574" i="1"/>
  <c r="C1575" i="1"/>
  <c r="C1576" i="1"/>
  <c r="C1577" i="1"/>
  <c r="W1577" i="1" s="1"/>
  <c r="C1578" i="1"/>
  <c r="W1578" i="1" s="1"/>
  <c r="C1579" i="1"/>
  <c r="W1579" i="1" s="1"/>
  <c r="C1580" i="1"/>
  <c r="W1580" i="1" s="1"/>
  <c r="C1581" i="1"/>
  <c r="W1581" i="1" s="1"/>
  <c r="C1582" i="1"/>
  <c r="W1582" i="1" s="1"/>
  <c r="C1583" i="1"/>
  <c r="W1583" i="1" s="1"/>
  <c r="C1584" i="1"/>
  <c r="C1585" i="1"/>
  <c r="C1586" i="1"/>
  <c r="W1586" i="1" s="1"/>
  <c r="C1587" i="1"/>
  <c r="W1587" i="1" s="1"/>
  <c r="C1588" i="1"/>
  <c r="W1588" i="1" s="1"/>
  <c r="C1589" i="1"/>
  <c r="C1590" i="1"/>
  <c r="C1591" i="1"/>
  <c r="C1592" i="1"/>
  <c r="C1593" i="1"/>
  <c r="C1594" i="1"/>
  <c r="W1594" i="1" s="1"/>
  <c r="C1595" i="1"/>
  <c r="W1595" i="1" s="1"/>
  <c r="C1596" i="1"/>
  <c r="W1596" i="1" s="1"/>
  <c r="C1597" i="1"/>
  <c r="W1597" i="1" s="1"/>
  <c r="C1598" i="1"/>
  <c r="W1598" i="1" s="1"/>
  <c r="C1599" i="1"/>
  <c r="W1599" i="1" s="1"/>
  <c r="C1600" i="1"/>
  <c r="W1600" i="1" s="1"/>
  <c r="C1601" i="1"/>
  <c r="W1601" i="1" s="1"/>
  <c r="C1602" i="1"/>
  <c r="W1602" i="1" s="1"/>
  <c r="C1603" i="1"/>
  <c r="W1603" i="1" s="1"/>
  <c r="C1604" i="1"/>
  <c r="W1604" i="1" s="1"/>
  <c r="C1605" i="1"/>
  <c r="W1605" i="1" s="1"/>
  <c r="C1606" i="1"/>
  <c r="W1606" i="1" s="1"/>
  <c r="C1607" i="1"/>
  <c r="C1608" i="1"/>
  <c r="C1609" i="1"/>
  <c r="C1610" i="1"/>
  <c r="C1611" i="1"/>
  <c r="C1612" i="1"/>
  <c r="C1613" i="1"/>
  <c r="C1614" i="1"/>
  <c r="C1615" i="1"/>
  <c r="W1615" i="1" s="1"/>
  <c r="C1616" i="1"/>
  <c r="W1616" i="1" s="1"/>
  <c r="C1617" i="1"/>
  <c r="W1617" i="1" s="1"/>
  <c r="C1618" i="1"/>
  <c r="W1618" i="1" s="1"/>
  <c r="C1619" i="1"/>
  <c r="W1619" i="1" s="1"/>
  <c r="C1620" i="1"/>
  <c r="C1621" i="1"/>
  <c r="W1621" i="1" s="1"/>
  <c r="C1622" i="1"/>
  <c r="W1622" i="1" s="1"/>
  <c r="C1623" i="1"/>
  <c r="W1623" i="1" s="1"/>
  <c r="C1624" i="1"/>
  <c r="W1624" i="1" s="1"/>
  <c r="C1625" i="1"/>
  <c r="C1626" i="1"/>
  <c r="C1627" i="1"/>
  <c r="C1628" i="1"/>
  <c r="C1629" i="1"/>
  <c r="C1630" i="1"/>
  <c r="C1631" i="1"/>
  <c r="C1632" i="1"/>
  <c r="C1633" i="1"/>
  <c r="C1634" i="1"/>
  <c r="W1634" i="1" s="1"/>
  <c r="C1635" i="1"/>
  <c r="W1635" i="1" s="1"/>
  <c r="C1636" i="1"/>
  <c r="W1636" i="1" s="1"/>
  <c r="C1637" i="1"/>
  <c r="W1637" i="1" s="1"/>
  <c r="C1638" i="1"/>
  <c r="W1638" i="1" s="1"/>
  <c r="C1639" i="1"/>
  <c r="W1639" i="1" s="1"/>
  <c r="C1640" i="1"/>
  <c r="W1640" i="1" s="1"/>
  <c r="C1641" i="1"/>
  <c r="W1641" i="1" s="1"/>
  <c r="C1642" i="1"/>
  <c r="W1642" i="1" s="1"/>
  <c r="C1643" i="1"/>
  <c r="C1644" i="1"/>
  <c r="C1645" i="1"/>
  <c r="C1646" i="1"/>
  <c r="C1647" i="1"/>
  <c r="C1648" i="1"/>
  <c r="W1648" i="1" s="1"/>
  <c r="C1649" i="1"/>
  <c r="W1649" i="1" s="1"/>
  <c r="C1650" i="1"/>
  <c r="W1650" i="1" s="1"/>
  <c r="C1651" i="1"/>
  <c r="W1651" i="1" s="1"/>
  <c r="C1652" i="1"/>
  <c r="W1652" i="1" s="1"/>
  <c r="C1653" i="1"/>
  <c r="W1653" i="1" s="1"/>
  <c r="C1654" i="1"/>
  <c r="W1654" i="1" s="1"/>
  <c r="C1655" i="1"/>
  <c r="W1655" i="1" s="1"/>
  <c r="C1656" i="1"/>
  <c r="W1656" i="1" s="1"/>
  <c r="C1657" i="1"/>
  <c r="W1657" i="1" s="1"/>
  <c r="C1658" i="1"/>
  <c r="C1659" i="1"/>
  <c r="W1659" i="1" s="1"/>
  <c r="C1660" i="1"/>
  <c r="W1660" i="1" s="1"/>
  <c r="C1661" i="1"/>
  <c r="C1662" i="1"/>
  <c r="C1663" i="1"/>
  <c r="C1664" i="1"/>
  <c r="C1665" i="1"/>
  <c r="C1666" i="1"/>
  <c r="C1667" i="1"/>
  <c r="W1667" i="1" s="1"/>
  <c r="C1668" i="1"/>
  <c r="W1668" i="1" s="1"/>
  <c r="C1669" i="1"/>
  <c r="W1669" i="1" s="1"/>
  <c r="C1670" i="1"/>
  <c r="W1670" i="1" s="1"/>
  <c r="C1671" i="1"/>
  <c r="W1671" i="1" s="1"/>
  <c r="C1672" i="1"/>
  <c r="W1672" i="1" s="1"/>
  <c r="C1673" i="1"/>
  <c r="W1673" i="1" s="1"/>
  <c r="C1674" i="1"/>
  <c r="W1674" i="1" s="1"/>
  <c r="C1675" i="1"/>
  <c r="W1675" i="1" s="1"/>
  <c r="C1676" i="1"/>
  <c r="W1676" i="1" s="1"/>
  <c r="C1677" i="1"/>
  <c r="W1677" i="1" s="1"/>
  <c r="C1678" i="1"/>
  <c r="W1678" i="1" s="1"/>
  <c r="C1679" i="1"/>
  <c r="C1680" i="1"/>
  <c r="C1681" i="1"/>
  <c r="C1682" i="1"/>
  <c r="C1683" i="1"/>
  <c r="C1684" i="1"/>
  <c r="C1685" i="1"/>
  <c r="C1686" i="1"/>
  <c r="C1687" i="1"/>
  <c r="C1688" i="1"/>
  <c r="C1689" i="1"/>
  <c r="W1689" i="1" s="1"/>
  <c r="C1690" i="1"/>
  <c r="W1690" i="1" s="1"/>
  <c r="C1691" i="1"/>
  <c r="W1691" i="1" s="1"/>
  <c r="C1692" i="1"/>
  <c r="W1692" i="1" s="1"/>
  <c r="C1693" i="1"/>
  <c r="W1693" i="1" s="1"/>
  <c r="C1694" i="1"/>
  <c r="W1694" i="1" s="1"/>
  <c r="C1695" i="1"/>
  <c r="W1695" i="1" s="1"/>
  <c r="C1696" i="1"/>
  <c r="W1696" i="1" s="1"/>
  <c r="C1697" i="1"/>
  <c r="C1698" i="1"/>
  <c r="C1699" i="1"/>
  <c r="C1700" i="1"/>
  <c r="C1701" i="1"/>
  <c r="C1702" i="1"/>
  <c r="C1703" i="1"/>
  <c r="C1704" i="1"/>
  <c r="C1705" i="1"/>
  <c r="W1705" i="1" s="1"/>
  <c r="C1706" i="1"/>
  <c r="C1707" i="1"/>
  <c r="C1708" i="1"/>
  <c r="W1708" i="1" s="1"/>
  <c r="C1709" i="1"/>
  <c r="C1710" i="1"/>
  <c r="C1711" i="1"/>
  <c r="W1711" i="1" s="1"/>
  <c r="C1712" i="1"/>
  <c r="W1712" i="1" s="1"/>
  <c r="C1713" i="1"/>
  <c r="W1713" i="1" s="1"/>
  <c r="C1714" i="1"/>
  <c r="W1714" i="1" s="1"/>
  <c r="C1715" i="1"/>
  <c r="C1716" i="1"/>
  <c r="C1717" i="1"/>
  <c r="C1718" i="1"/>
  <c r="C1719" i="1"/>
  <c r="C1720" i="1"/>
  <c r="W1720" i="1" s="1"/>
  <c r="C1721" i="1"/>
  <c r="W1721" i="1" s="1"/>
  <c r="C1722" i="1"/>
  <c r="W1722" i="1" s="1"/>
  <c r="C1723" i="1"/>
  <c r="W1723" i="1" s="1"/>
  <c r="C1724" i="1"/>
  <c r="W1724" i="1" s="1"/>
  <c r="C1725" i="1"/>
  <c r="W1725" i="1" s="1"/>
  <c r="C1726" i="1"/>
  <c r="W1726" i="1" s="1"/>
  <c r="C1727" i="1"/>
  <c r="W1727" i="1" s="1"/>
  <c r="C1728" i="1"/>
  <c r="W1728" i="1" s="1"/>
  <c r="C1729" i="1"/>
  <c r="W1729" i="1" s="1"/>
  <c r="C1730" i="1"/>
  <c r="W1730" i="1" s="1"/>
  <c r="C1731" i="1"/>
  <c r="C1732" i="1"/>
  <c r="W1732" i="1" s="1"/>
  <c r="C1733" i="1"/>
  <c r="W1733" i="1" s="1"/>
  <c r="C1734" i="1"/>
  <c r="C1735" i="1"/>
  <c r="C1736" i="1"/>
  <c r="C1737" i="1"/>
  <c r="C1738" i="1"/>
  <c r="C1739" i="1"/>
  <c r="C1740" i="1"/>
  <c r="C1741" i="1"/>
  <c r="W1741" i="1" s="1"/>
  <c r="C1742" i="1"/>
  <c r="W1742" i="1" s="1"/>
  <c r="C1743" i="1"/>
  <c r="W1743" i="1" s="1"/>
  <c r="C1744" i="1"/>
  <c r="W1744" i="1" s="1"/>
  <c r="C1745" i="1"/>
  <c r="W1745" i="1" s="1"/>
  <c r="C1746" i="1"/>
  <c r="W1746" i="1" s="1"/>
  <c r="C1747" i="1"/>
  <c r="W1747" i="1" s="1"/>
  <c r="C1748" i="1"/>
  <c r="W1748" i="1" s="1"/>
  <c r="C1749" i="1"/>
  <c r="W1749" i="1" s="1"/>
  <c r="C1750" i="1"/>
  <c r="W1750" i="1" s="1"/>
  <c r="C1751" i="1"/>
  <c r="W1751" i="1" s="1"/>
  <c r="C1752" i="1"/>
  <c r="C1753" i="1"/>
  <c r="C1754" i="1"/>
  <c r="C1755" i="1"/>
  <c r="C1756" i="1"/>
  <c r="C1757" i="1"/>
  <c r="C1758" i="1"/>
  <c r="C1759" i="1"/>
  <c r="C1760" i="1"/>
  <c r="W1760" i="1" s="1"/>
  <c r="C1761" i="1"/>
  <c r="W1761" i="1" s="1"/>
  <c r="C1762" i="1"/>
  <c r="W1762" i="1" s="1"/>
  <c r="C1763" i="1"/>
  <c r="W1763" i="1" s="1"/>
  <c r="C1764" i="1"/>
  <c r="W1764" i="1" s="1"/>
  <c r="C1765" i="1"/>
  <c r="C1766" i="1"/>
  <c r="W1766" i="1" s="1"/>
  <c r="C1767" i="1"/>
  <c r="W1767" i="1" s="1"/>
  <c r="C1768" i="1"/>
  <c r="W1768" i="1" s="1"/>
  <c r="C1769" i="1"/>
  <c r="W1769" i="1" s="1"/>
  <c r="C1770" i="1"/>
  <c r="C1771" i="1"/>
  <c r="C1772" i="1"/>
  <c r="C1773" i="1"/>
  <c r="C1774" i="1"/>
  <c r="C1775" i="1"/>
  <c r="C1776" i="1"/>
  <c r="C1777" i="1"/>
  <c r="C1778" i="1"/>
  <c r="C1779" i="1"/>
  <c r="C1780" i="1"/>
  <c r="W1780" i="1" s="1"/>
  <c r="C1781" i="1"/>
  <c r="C1782" i="1"/>
  <c r="C1783" i="1"/>
  <c r="C1784" i="1"/>
  <c r="C1785" i="1"/>
  <c r="W1785" i="1" s="1"/>
  <c r="C1786" i="1"/>
  <c r="W1786" i="1" s="1"/>
  <c r="C1787" i="1"/>
  <c r="W1787" i="1" s="1"/>
  <c r="C1788" i="1"/>
  <c r="C1789" i="1"/>
  <c r="C1790" i="1"/>
  <c r="C1791" i="1"/>
  <c r="C1792" i="1"/>
  <c r="C1793" i="1"/>
  <c r="C1794" i="1"/>
  <c r="C1795" i="1"/>
  <c r="C1796" i="1"/>
  <c r="C1797" i="1"/>
  <c r="W1797" i="1" s="1"/>
  <c r="C1798" i="1"/>
  <c r="W1798" i="1" s="1"/>
  <c r="C1799" i="1"/>
  <c r="W1799" i="1" s="1"/>
  <c r="C1800" i="1"/>
  <c r="W1800" i="1" s="1"/>
  <c r="C1801" i="1"/>
  <c r="W1801" i="1" s="1"/>
  <c r="C1802" i="1"/>
  <c r="W1802" i="1" s="1"/>
  <c r="C3" i="1"/>
  <c r="W3" i="1" s="1"/>
  <c r="W274" i="1" l="1"/>
  <c r="W1731" i="1"/>
  <c r="W1119" i="1"/>
  <c r="W1765" i="1"/>
  <c r="W900" i="1"/>
  <c r="W805" i="1"/>
</calcChain>
</file>

<file path=xl/sharedStrings.xml><?xml version="1.0" encoding="utf-8"?>
<sst xmlns="http://schemas.openxmlformats.org/spreadsheetml/2006/main" count="36" uniqueCount="34">
  <si>
    <t>Date</t>
  </si>
  <si>
    <t>RELIANCE</t>
  </si>
  <si>
    <t>TCS</t>
  </si>
  <si>
    <t>HDFCBANK</t>
  </si>
  <si>
    <t>BHARTIARTL</t>
  </si>
  <si>
    <t>INFY</t>
  </si>
  <si>
    <t>ITC</t>
  </si>
  <si>
    <t>SUNPHARMA</t>
  </si>
  <si>
    <t>ONGC</t>
  </si>
  <si>
    <t>TATAMOTORS</t>
  </si>
  <si>
    <t>DMART</t>
  </si>
  <si>
    <t>Rel_Return</t>
  </si>
  <si>
    <t>TCS_Return</t>
  </si>
  <si>
    <t xml:space="preserve">ARTL_Return </t>
  </si>
  <si>
    <t>HDFC_Return</t>
  </si>
  <si>
    <t>INFY_Return</t>
  </si>
  <si>
    <t>Sun_Return</t>
  </si>
  <si>
    <t>ONGC_Return</t>
  </si>
  <si>
    <t>TATA_return</t>
  </si>
  <si>
    <t>DMART_Return</t>
  </si>
  <si>
    <t>ITC_Return</t>
  </si>
  <si>
    <t xml:space="preserve">Returns </t>
  </si>
  <si>
    <t>Returns_Sorted</t>
  </si>
  <si>
    <t>95% VaR</t>
  </si>
  <si>
    <t>99% VaR</t>
  </si>
  <si>
    <t>There is a 5% chance that the portfolio will lose more than 1.47% in a single day.</t>
  </si>
  <si>
    <t>There is a 1% chance that the portfolio will lose more than 2.84% in a single day.</t>
  </si>
  <si>
    <t>Historical VaR</t>
  </si>
  <si>
    <t>Parametric VaR</t>
  </si>
  <si>
    <t>VaR = μ + z × σ</t>
  </si>
  <si>
    <t>z = -1.65</t>
  </si>
  <si>
    <t>z = -2.33</t>
  </si>
  <si>
    <t>Mean (μ)</t>
  </si>
  <si>
    <t>Standard deviation (σ)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</si>
</sst>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4" borderId="10" xfId="0" applyFill="1" applyBorder="1"/>
    <xf numFmtId="0" fontId="0" fillId="33" borderId="10" xfId="0" applyFill="1" applyBorder="1"/>
    <xf numFmtId="0" fontId="0" fillId="0" borderId="10" xfId="0" applyBorder="1"/>
    <xf numFmtId="0" fontId="0" fillId="33" borderId="10" xfId="0" applyFont="1" applyFill="1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6F4F8-EDE0-4785-9E50-B8FDE1162967}" name="Table1" displayName="Table1" ref="A1:U1802" totalsRowShown="0">
  <autoFilter ref="A1:U1802" xr:uid="{6C76F4F8-EDE0-4785-9E50-B8FDE1162967}"/>
  <tableColumns count="21">
    <tableColumn id="1" xr3:uid="{67819DC7-F745-4527-BBCE-5977E5BB5458}" name="Date" dataDxfId="0"/>
    <tableColumn id="2" xr3:uid="{8B80955C-5612-4648-A630-0C870DACD5AD}" name="RELIANCE"/>
    <tableColumn id="3" xr3:uid="{016C896D-FC28-4907-B7B4-2AB72E05071C}" name="Rel_Return">
      <calculatedColumnFormula>B2/B1 - 1</calculatedColumnFormula>
    </tableColumn>
    <tableColumn id="4" xr3:uid="{4F1488F0-0351-4717-81B4-94C23BC8465D}" name="TCS"/>
    <tableColumn id="5" xr3:uid="{3F0F3744-EDE3-4351-83BE-E4E5BF682585}" name="TCS_Return">
      <calculatedColumnFormula>D2/D1 - 1</calculatedColumnFormula>
    </tableColumn>
    <tableColumn id="6" xr3:uid="{CA335712-B80C-4924-8BEE-0FE63242E4BE}" name="HDFCBANK"/>
    <tableColumn id="7" xr3:uid="{003D3FAA-32CB-4346-9A36-EB49C9536BAF}" name="HDFC_Return">
      <calculatedColumnFormula>F2/F1 - 1</calculatedColumnFormula>
    </tableColumn>
    <tableColumn id="8" xr3:uid="{2099DA97-695D-47C6-9C97-D1291C197AAA}" name="BHARTIARTL"/>
    <tableColumn id="9" xr3:uid="{A0999A71-9562-46DD-AF9C-06692C558BB1}" name="ARTL_Return ">
      <calculatedColumnFormula>H2/H1 - 1</calculatedColumnFormula>
    </tableColumn>
    <tableColumn id="10" xr3:uid="{E5E31414-6586-45E2-8117-8BC8BD460E2B}" name="INFY"/>
    <tableColumn id="11" xr3:uid="{131031B1-86B9-4AF4-80A2-C3112681E9A6}" name="INFY_Return">
      <calculatedColumnFormula>J2/J1 -1</calculatedColumnFormula>
    </tableColumn>
    <tableColumn id="12" xr3:uid="{39018FAB-8389-4B72-A3F6-1CAC6E037F68}" name="ITC"/>
    <tableColumn id="13" xr3:uid="{CDAFBAF1-CC1E-492C-823D-7E4824907D1E}" name="ITC_Return">
      <calculatedColumnFormula>L2/L1 -1</calculatedColumnFormula>
    </tableColumn>
    <tableColumn id="14" xr3:uid="{49798B1F-7E6A-422A-B000-A95EF6FA4C60}" name="SUNPHARMA"/>
    <tableColumn id="15" xr3:uid="{7E4E84A6-DAA4-4CA1-A368-01842473C738}" name="Sun_Return">
      <calculatedColumnFormula>N2/N1-1</calculatedColumnFormula>
    </tableColumn>
    <tableColumn id="16" xr3:uid="{91D35D06-B3EE-4A28-BB92-CB023F039247}" name="ONGC"/>
    <tableColumn id="17" xr3:uid="{DA9E2F8F-527D-475E-B03F-C5BF621D4322}" name="ONGC_Return">
      <calculatedColumnFormula>P2/P1 -1</calculatedColumnFormula>
    </tableColumn>
    <tableColumn id="18" xr3:uid="{9686E4BA-9673-48F2-B1A5-45F709E34645}" name="TATAMOTORS"/>
    <tableColumn id="19" xr3:uid="{D7C6D231-AD05-488B-8C8D-5D251FD55F69}" name="TATA_return">
      <calculatedColumnFormula>R2/R1 - 1</calculatedColumnFormula>
    </tableColumn>
    <tableColumn id="20" xr3:uid="{72FFD1B5-4F63-4548-8E7F-2EC175502729}" name="DMART"/>
    <tableColumn id="21" xr3:uid="{97136085-6014-4BCE-AD7E-FFE620183994}" name="DMART_Return">
      <calculatedColumnFormula>T2/T1 - 1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56D8-2DB2-48E1-818D-C3D7CC51C7E4}">
  <dimension ref="A1:AB4322"/>
  <sheetViews>
    <sheetView tabSelected="1" topLeftCell="N1" zoomScale="46" zoomScaleNormal="89" workbookViewId="0">
      <selection activeCell="AB18" sqref="AB18"/>
    </sheetView>
  </sheetViews>
  <sheetFormatPr defaultRowHeight="14.5" zeroHeight="1" x14ac:dyDescent="0.35"/>
  <cols>
    <col min="1" max="1" width="12.36328125" customWidth="1"/>
    <col min="2" max="2" width="17.26953125" customWidth="1"/>
    <col min="3" max="3" width="13.26953125" customWidth="1"/>
    <col min="4" max="4" width="13.81640625" customWidth="1"/>
    <col min="5" max="5" width="15.81640625" customWidth="1"/>
    <col min="6" max="6" width="16.90625" customWidth="1"/>
    <col min="7" max="7" width="14.36328125" customWidth="1"/>
    <col min="8" max="8" width="14.81640625" customWidth="1"/>
    <col min="9" max="9" width="16.54296875" customWidth="1"/>
    <col min="10" max="10" width="13.1796875" customWidth="1"/>
    <col min="11" max="11" width="13.36328125" customWidth="1"/>
    <col min="12" max="12" width="11.7265625" customWidth="1"/>
    <col min="13" max="13" width="14.36328125" customWidth="1"/>
    <col min="14" max="14" width="16.08984375" customWidth="1"/>
    <col min="15" max="15" width="15.453125" customWidth="1"/>
    <col min="16" max="16" width="13.36328125" customWidth="1"/>
    <col min="17" max="17" width="17.26953125" customWidth="1"/>
    <col min="18" max="18" width="20.26953125" customWidth="1"/>
    <col min="19" max="19" width="15.7265625" customWidth="1"/>
    <col min="20" max="20" width="14" customWidth="1"/>
    <col min="21" max="21" width="16.36328125" customWidth="1"/>
    <col min="22" max="22" width="15.6328125" customWidth="1"/>
    <col min="23" max="23" width="10.7265625" customWidth="1"/>
    <col min="24" max="24" width="19.08984375" customWidth="1"/>
    <col min="25" max="25" width="10.7265625" customWidth="1"/>
    <col min="26" max="26" width="20.1796875" customWidth="1"/>
    <col min="27" max="27" width="14.90625" customWidth="1"/>
    <col min="28" max="28" width="75.08984375" customWidth="1"/>
  </cols>
  <sheetData>
    <row r="1" spans="1:28" x14ac:dyDescent="0.35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14</v>
      </c>
      <c r="H1" t="s">
        <v>4</v>
      </c>
      <c r="I1" t="s">
        <v>13</v>
      </c>
      <c r="J1" t="s">
        <v>5</v>
      </c>
      <c r="K1" t="s">
        <v>15</v>
      </c>
      <c r="L1" t="s">
        <v>6</v>
      </c>
      <c r="M1" t="s">
        <v>20</v>
      </c>
      <c r="N1" t="s">
        <v>7</v>
      </c>
      <c r="O1" t="s">
        <v>16</v>
      </c>
      <c r="P1" t="s">
        <v>8</v>
      </c>
      <c r="Q1" t="s">
        <v>17</v>
      </c>
      <c r="R1" t="s">
        <v>9</v>
      </c>
      <c r="S1" t="s">
        <v>18</v>
      </c>
      <c r="T1" t="s">
        <v>10</v>
      </c>
      <c r="U1" t="s">
        <v>19</v>
      </c>
      <c r="W1" t="s">
        <v>21</v>
      </c>
      <c r="X1" t="s">
        <v>22</v>
      </c>
    </row>
    <row r="2" spans="1:28" x14ac:dyDescent="0.35">
      <c r="A2" s="1">
        <v>42815</v>
      </c>
      <c r="B2">
        <v>577.76684569999998</v>
      </c>
      <c r="D2">
        <v>1243.349976</v>
      </c>
      <c r="F2">
        <v>720.47497559999999</v>
      </c>
      <c r="H2">
        <v>315.34991459999998</v>
      </c>
      <c r="J2">
        <v>516.42498780000005</v>
      </c>
      <c r="L2">
        <v>287.89999390000003</v>
      </c>
      <c r="N2">
        <v>698.04998780000005</v>
      </c>
      <c r="P2">
        <v>194.0500031</v>
      </c>
      <c r="R2">
        <v>473.75</v>
      </c>
      <c r="T2">
        <v>641.59997559999999</v>
      </c>
    </row>
    <row r="3" spans="1:28" x14ac:dyDescent="0.35">
      <c r="A3" s="1">
        <v>42816</v>
      </c>
      <c r="B3">
        <v>575.8924561</v>
      </c>
      <c r="C3">
        <f>B3/B2 - 1</f>
        <v>-3.2441972292975851E-3</v>
      </c>
      <c r="D3">
        <v>1239.474976</v>
      </c>
      <c r="E3">
        <f>D3/D2 - 1</f>
        <v>-3.1165802668580156E-3</v>
      </c>
      <c r="F3">
        <v>715.45001219999995</v>
      </c>
      <c r="G3">
        <f>F3/F2 - 1</f>
        <v>-6.9745148272711832E-3</v>
      </c>
      <c r="H3">
        <v>304.80520630000001</v>
      </c>
      <c r="I3">
        <f>H3/H2 - 1</f>
        <v>-3.343812004317559E-2</v>
      </c>
      <c r="J3">
        <v>513.84997559999999</v>
      </c>
      <c r="K3">
        <f>J3/J2 -1</f>
        <v>-4.9862269658362823E-3</v>
      </c>
      <c r="L3">
        <v>279.85000609999997</v>
      </c>
      <c r="M3">
        <f>L3/L2 -1</f>
        <v>-2.7961055819946123E-2</v>
      </c>
      <c r="N3">
        <v>701.45001219999995</v>
      </c>
      <c r="O3">
        <f>N3/N2-1</f>
        <v>4.8707463067445556E-3</v>
      </c>
      <c r="P3">
        <v>192.5</v>
      </c>
      <c r="Q3">
        <f>P3/P2 -1</f>
        <v>-7.9876479012537249E-3</v>
      </c>
      <c r="R3">
        <v>459.89999390000003</v>
      </c>
      <c r="S3">
        <f>R3/R2 - 1</f>
        <v>-2.9234841372031584E-2</v>
      </c>
      <c r="T3">
        <v>638.54998780000005</v>
      </c>
      <c r="U3">
        <f>T3/T2 - 1</f>
        <v>-4.7537218142000848E-3</v>
      </c>
      <c r="W3">
        <f>0.1*C3+0.1*E3+0.1*G3+0.1*I3+0.1*K3+0.1*M3+0.1*O3+0.1*Q3+0.1*S3+0.1*U3</f>
        <v>-1.1682615993312563E-2</v>
      </c>
      <c r="X3">
        <v>-0.11397307284329677</v>
      </c>
    </row>
    <row r="4" spans="1:28" x14ac:dyDescent="0.35">
      <c r="A4" s="1">
        <v>42817</v>
      </c>
      <c r="B4">
        <v>582.10992429999999</v>
      </c>
      <c r="C4">
        <f t="shared" ref="C4:C67" si="0">B4/B3 - 1</f>
        <v>1.0796231369490927E-2</v>
      </c>
      <c r="D4">
        <v>1230.1750489999999</v>
      </c>
      <c r="E4">
        <f t="shared" ref="E4:E67" si="1">D4/D3 - 1</f>
        <v>-7.5031179975997286E-3</v>
      </c>
      <c r="F4">
        <v>715.45001219999995</v>
      </c>
      <c r="G4">
        <f t="shared" ref="G4:G67" si="2">F4/F3 - 1</f>
        <v>0</v>
      </c>
      <c r="H4">
        <v>305.07559199999997</v>
      </c>
      <c r="I4">
        <f t="shared" ref="I4:I67" si="3">H4/H3 - 1</f>
        <v>8.8707703940538174E-4</v>
      </c>
      <c r="J4">
        <v>520.22497559999999</v>
      </c>
      <c r="K4">
        <f t="shared" ref="K4:K67" si="4">J4/J3 -1</f>
        <v>1.2406344853001405E-2</v>
      </c>
      <c r="L4">
        <v>277.60000609999997</v>
      </c>
      <c r="M4">
        <f t="shared" ref="M4:M67" si="5">L4/L3 -1</f>
        <v>-8.0400212648056302E-3</v>
      </c>
      <c r="N4">
        <v>703.15002440000001</v>
      </c>
      <c r="O4">
        <f t="shared" ref="O4:O67" si="6">N4/N3-1</f>
        <v>2.4235685657316708E-3</v>
      </c>
      <c r="P4">
        <v>193.6000061</v>
      </c>
      <c r="Q4">
        <f t="shared" ref="Q4:Q67" si="7">P4/P3 -1</f>
        <v>5.7143174025973131E-3</v>
      </c>
      <c r="R4">
        <v>472.89999390000003</v>
      </c>
      <c r="S4">
        <f t="shared" ref="S4:S67" si="8">R4/R3 - 1</f>
        <v>2.8267014943311075E-2</v>
      </c>
      <c r="T4">
        <v>634.84997559999999</v>
      </c>
      <c r="U4">
        <f t="shared" ref="U4:U67" si="9">T4/T3 - 1</f>
        <v>-5.7943971038942887E-3</v>
      </c>
      <c r="W4">
        <f t="shared" ref="W4:W67" si="10">0.1*C4+0.1*E4+0.1*G4+0.1*I4+0.1*K4+0.1*M4+0.1*O4+0.1*Q4+0.1*S4+0.1*U4</f>
        <v>3.9157017807238126E-3</v>
      </c>
      <c r="X4">
        <v>-8.7617819175588391E-2</v>
      </c>
    </row>
    <row r="5" spans="1:28" x14ac:dyDescent="0.35">
      <c r="A5" s="1">
        <v>42818</v>
      </c>
      <c r="B5">
        <v>588.25878909999994</v>
      </c>
      <c r="C5">
        <f t="shared" si="0"/>
        <v>1.0563064712209025E-2</v>
      </c>
      <c r="D5">
        <v>1213.599976</v>
      </c>
      <c r="E5">
        <f t="shared" si="1"/>
        <v>-1.3473751571757009E-2</v>
      </c>
      <c r="F5">
        <v>712.17498780000005</v>
      </c>
      <c r="G5">
        <f t="shared" si="2"/>
        <v>-4.5775726384142956E-3</v>
      </c>
      <c r="H5">
        <v>306.8781128</v>
      </c>
      <c r="I5">
        <f t="shared" si="3"/>
        <v>5.9084398990529863E-3</v>
      </c>
      <c r="J5">
        <v>515.70001219999995</v>
      </c>
      <c r="K5">
        <f t="shared" si="4"/>
        <v>-8.6980895040288386E-3</v>
      </c>
      <c r="L5">
        <v>281</v>
      </c>
      <c r="M5">
        <f t="shared" si="5"/>
        <v>1.2247816373517129E-2</v>
      </c>
      <c r="N5">
        <v>703.90002440000001</v>
      </c>
      <c r="O5">
        <f t="shared" si="6"/>
        <v>1.0666287050760115E-3</v>
      </c>
      <c r="P5">
        <v>191.8999939</v>
      </c>
      <c r="Q5">
        <f t="shared" si="7"/>
        <v>-8.7810544753903486E-3</v>
      </c>
      <c r="R5">
        <v>470.39999390000003</v>
      </c>
      <c r="S5">
        <f t="shared" si="8"/>
        <v>-5.2865299899510498E-3</v>
      </c>
      <c r="T5">
        <v>616.90002440000001</v>
      </c>
      <c r="U5">
        <f t="shared" si="9"/>
        <v>-2.8274319744653664E-2</v>
      </c>
      <c r="W5">
        <f t="shared" si="10"/>
        <v>-3.9305368234340051E-3</v>
      </c>
      <c r="X5">
        <v>-7.0081465752667355E-2</v>
      </c>
      <c r="Z5" s="3" t="s">
        <v>27</v>
      </c>
      <c r="AA5" s="4"/>
      <c r="AB5" s="4"/>
    </row>
    <row r="6" spans="1:28" x14ac:dyDescent="0.35">
      <c r="A6" s="1">
        <v>42821</v>
      </c>
      <c r="B6">
        <v>571.9608154</v>
      </c>
      <c r="C6">
        <f t="shared" si="0"/>
        <v>-2.7705448693652102E-2</v>
      </c>
      <c r="D6">
        <v>1206.025024</v>
      </c>
      <c r="E6">
        <f t="shared" si="1"/>
        <v>-6.2417206244241852E-3</v>
      </c>
      <c r="F6">
        <v>704.92498780000005</v>
      </c>
      <c r="G6">
        <f t="shared" si="2"/>
        <v>-1.0180082317122863E-2</v>
      </c>
      <c r="H6">
        <v>305.25582889999998</v>
      </c>
      <c r="I6">
        <f t="shared" si="3"/>
        <v>-5.2864112243068417E-3</v>
      </c>
      <c r="J6">
        <v>514.42498780000005</v>
      </c>
      <c r="K6">
        <f t="shared" si="4"/>
        <v>-2.4724149114532246E-3</v>
      </c>
      <c r="L6">
        <v>281.60000609999997</v>
      </c>
      <c r="M6">
        <f t="shared" si="5"/>
        <v>2.1352530249110213E-3</v>
      </c>
      <c r="N6">
        <v>691.20001219999995</v>
      </c>
      <c r="O6">
        <f t="shared" si="6"/>
        <v>-1.8042352265615347E-2</v>
      </c>
      <c r="P6">
        <v>188.8999939</v>
      </c>
      <c r="Q6">
        <f t="shared" si="7"/>
        <v>-1.5633142758531338E-2</v>
      </c>
      <c r="R6">
        <v>464.75</v>
      </c>
      <c r="S6">
        <f t="shared" si="8"/>
        <v>-1.2011041609837125E-2</v>
      </c>
      <c r="T6">
        <v>614.40002440000001</v>
      </c>
      <c r="U6">
        <f t="shared" si="9"/>
        <v>-4.0525205075676585E-3</v>
      </c>
      <c r="W6">
        <f t="shared" si="10"/>
        <v>-9.9489881887599649E-3</v>
      </c>
      <c r="X6">
        <v>-6.2555177202216414E-2</v>
      </c>
      <c r="Z6" s="3" t="s">
        <v>23</v>
      </c>
      <c r="AA6" s="3">
        <f>_xlfn.PERCENTILE.EXC(X3:X1802, 0.05)</f>
        <v>-1.4714380262640384E-2</v>
      </c>
      <c r="AB6" s="5" t="s">
        <v>25</v>
      </c>
    </row>
    <row r="7" spans="1:28" x14ac:dyDescent="0.35">
      <c r="A7" s="1">
        <v>42822</v>
      </c>
      <c r="B7">
        <v>569.51501459999997</v>
      </c>
      <c r="C7">
        <f t="shared" si="0"/>
        <v>-4.2761684614522899E-3</v>
      </c>
      <c r="D7">
        <v>1214.974976</v>
      </c>
      <c r="E7">
        <f t="shared" si="1"/>
        <v>7.4210334129849453E-3</v>
      </c>
      <c r="F7">
        <v>710.09997559999999</v>
      </c>
      <c r="G7">
        <f t="shared" si="2"/>
        <v>7.341189331577791E-3</v>
      </c>
      <c r="H7">
        <v>307.10342409999998</v>
      </c>
      <c r="I7">
        <f t="shared" si="3"/>
        <v>6.0526123502959717E-3</v>
      </c>
      <c r="J7">
        <v>517.57501219999995</v>
      </c>
      <c r="K7">
        <f t="shared" si="4"/>
        <v>6.1233891718039946E-3</v>
      </c>
      <c r="L7">
        <v>280.5</v>
      </c>
      <c r="M7">
        <f t="shared" si="5"/>
        <v>-3.9062715773143797E-3</v>
      </c>
      <c r="N7">
        <v>698.59997559999999</v>
      </c>
      <c r="O7">
        <f t="shared" si="6"/>
        <v>1.0705965378164484E-2</v>
      </c>
      <c r="P7">
        <v>186.8999939</v>
      </c>
      <c r="Q7">
        <f t="shared" si="7"/>
        <v>-1.0587612835280202E-2</v>
      </c>
      <c r="R7">
        <v>472.39999390000003</v>
      </c>
      <c r="S7">
        <f t="shared" si="8"/>
        <v>1.6460449488972628E-2</v>
      </c>
      <c r="T7">
        <v>628.79998780000005</v>
      </c>
      <c r="U7">
        <f t="shared" si="9"/>
        <v>2.3437439498903867E-2</v>
      </c>
      <c r="W7">
        <f t="shared" si="10"/>
        <v>5.8772025758656813E-3</v>
      </c>
      <c r="X7">
        <v>-4.6596677649712592E-2</v>
      </c>
      <c r="Z7" s="3" t="s">
        <v>24</v>
      </c>
      <c r="AA7" s="3">
        <f>_xlfn.PERCENTILE.EXC(X3:X1802, 0.01)</f>
        <v>-2.8414163960930532E-2</v>
      </c>
      <c r="AB7" s="5" t="s">
        <v>26</v>
      </c>
    </row>
    <row r="8" spans="1:28" x14ac:dyDescent="0.35">
      <c r="A8" s="1">
        <v>42823</v>
      </c>
      <c r="B8">
        <v>574.49810790000004</v>
      </c>
      <c r="C8">
        <f t="shared" si="0"/>
        <v>8.7497136550471755E-3</v>
      </c>
      <c r="D8">
        <v>1222.3000489999999</v>
      </c>
      <c r="E8">
        <f t="shared" si="1"/>
        <v>6.0289908390671609E-3</v>
      </c>
      <c r="F8">
        <v>714.29998780000005</v>
      </c>
      <c r="G8">
        <f t="shared" si="2"/>
        <v>5.9146772909706158E-3</v>
      </c>
      <c r="H8">
        <v>310.79855350000003</v>
      </c>
      <c r="I8">
        <f t="shared" si="3"/>
        <v>1.2032198634154057E-2</v>
      </c>
      <c r="J8">
        <v>515.92498780000005</v>
      </c>
      <c r="K8">
        <f t="shared" si="4"/>
        <v>-3.1879908440446414E-3</v>
      </c>
      <c r="L8">
        <v>283.2000122</v>
      </c>
      <c r="M8">
        <f t="shared" si="5"/>
        <v>9.6257119429590254E-3</v>
      </c>
      <c r="N8">
        <v>687.65002440000001</v>
      </c>
      <c r="O8">
        <f t="shared" si="6"/>
        <v>-1.5674136247421866E-2</v>
      </c>
      <c r="P8">
        <v>186.9499969</v>
      </c>
      <c r="Q8">
        <f t="shared" si="7"/>
        <v>2.6753879952901016E-4</v>
      </c>
      <c r="R8">
        <v>469.0499878</v>
      </c>
      <c r="S8">
        <f t="shared" si="8"/>
        <v>-7.0914609298432518E-3</v>
      </c>
      <c r="T8">
        <v>628.25</v>
      </c>
      <c r="U8">
        <f t="shared" si="9"/>
        <v>-8.7466254877688332E-4</v>
      </c>
      <c r="W8">
        <f t="shared" si="10"/>
        <v>1.5790580591640401E-3</v>
      </c>
      <c r="X8">
        <v>-4.2517905080212602E-2</v>
      </c>
    </row>
    <row r="9" spans="1:28" x14ac:dyDescent="0.35">
      <c r="A9" s="1">
        <v>42824</v>
      </c>
      <c r="B9">
        <v>580.8984375</v>
      </c>
      <c r="C9">
        <f t="shared" si="0"/>
        <v>1.1140732253053898E-2</v>
      </c>
      <c r="D9">
        <v>1220.5</v>
      </c>
      <c r="E9">
        <f t="shared" si="1"/>
        <v>-1.4726735890034925E-3</v>
      </c>
      <c r="F9">
        <v>733.09997559999999</v>
      </c>
      <c r="G9">
        <f t="shared" si="2"/>
        <v>2.6319456980396616E-2</v>
      </c>
      <c r="H9">
        <v>316.52154539999998</v>
      </c>
      <c r="I9">
        <f t="shared" si="3"/>
        <v>1.8413830552142407E-2</v>
      </c>
      <c r="J9">
        <v>512.75</v>
      </c>
      <c r="K9">
        <f t="shared" si="4"/>
        <v>-6.1539717499220492E-3</v>
      </c>
      <c r="L9">
        <v>282.75</v>
      </c>
      <c r="M9">
        <f t="shared" si="5"/>
        <v>-1.5890260614896956E-3</v>
      </c>
      <c r="N9">
        <v>687.04998780000005</v>
      </c>
      <c r="O9">
        <f t="shared" si="6"/>
        <v>-8.7259009482842931E-4</v>
      </c>
      <c r="P9">
        <v>183.8999939</v>
      </c>
      <c r="Q9">
        <f t="shared" si="7"/>
        <v>-1.6314538917224231E-2</v>
      </c>
      <c r="R9">
        <v>468.39999390000003</v>
      </c>
      <c r="S9">
        <f t="shared" si="8"/>
        <v>-1.3857667986489908E-3</v>
      </c>
      <c r="T9">
        <v>631.84997559999999</v>
      </c>
      <c r="U9">
        <f t="shared" si="9"/>
        <v>5.7301641066453968E-3</v>
      </c>
      <c r="W9">
        <f t="shared" si="10"/>
        <v>3.3815616681121437E-3</v>
      </c>
      <c r="X9">
        <v>-4.2082731405742355E-2</v>
      </c>
      <c r="Z9" s="2" t="s">
        <v>28</v>
      </c>
      <c r="AA9" s="2"/>
      <c r="AB9" s="2" t="s">
        <v>29</v>
      </c>
    </row>
    <row r="10" spans="1:28" x14ac:dyDescent="0.35">
      <c r="A10" s="1">
        <v>42825</v>
      </c>
      <c r="B10">
        <v>603.8710327</v>
      </c>
      <c r="C10">
        <f t="shared" si="0"/>
        <v>3.9546663783202263E-2</v>
      </c>
      <c r="D10">
        <v>1215.900024</v>
      </c>
      <c r="E10">
        <f t="shared" si="1"/>
        <v>-3.7689274887341417E-3</v>
      </c>
      <c r="F10">
        <v>721.27502440000001</v>
      </c>
      <c r="G10">
        <f t="shared" si="2"/>
        <v>-1.6130066285054756E-2</v>
      </c>
      <c r="H10">
        <v>315.4851074</v>
      </c>
      <c r="I10">
        <f t="shared" si="3"/>
        <v>-3.2744627184547737E-3</v>
      </c>
      <c r="J10">
        <v>511.125</v>
      </c>
      <c r="K10">
        <f t="shared" si="4"/>
        <v>-3.1691857630423703E-3</v>
      </c>
      <c r="L10">
        <v>280.2999878</v>
      </c>
      <c r="M10">
        <f t="shared" si="5"/>
        <v>-8.6649414677276715E-3</v>
      </c>
      <c r="N10">
        <v>688.15002440000001</v>
      </c>
      <c r="O10">
        <f t="shared" si="6"/>
        <v>1.6011012583267981E-3</v>
      </c>
      <c r="P10">
        <v>185</v>
      </c>
      <c r="Q10">
        <f t="shared" si="7"/>
        <v>5.9815450597466846E-3</v>
      </c>
      <c r="R10">
        <v>465.85000609999997</v>
      </c>
      <c r="S10">
        <f t="shared" si="8"/>
        <v>-5.4440389265770772E-3</v>
      </c>
      <c r="T10">
        <v>637.84997559999999</v>
      </c>
      <c r="U10">
        <f t="shared" si="9"/>
        <v>9.4959250323660704E-3</v>
      </c>
      <c r="W10">
        <f t="shared" si="10"/>
        <v>1.6173612484051028E-3</v>
      </c>
      <c r="X10">
        <v>-4.1332141026740619E-2</v>
      </c>
      <c r="Z10" s="2" t="s">
        <v>32</v>
      </c>
      <c r="AA10" s="2">
        <f>AVERAGE(X3:X1802)</f>
        <v>7.8399435167572607E-4</v>
      </c>
      <c r="AB10" s="2"/>
    </row>
    <row r="11" spans="1:28" x14ac:dyDescent="0.35">
      <c r="A11" s="1">
        <v>42828</v>
      </c>
      <c r="B11">
        <v>628.44372559999999</v>
      </c>
      <c r="C11">
        <f t="shared" si="0"/>
        <v>4.0691955019156456E-2</v>
      </c>
      <c r="D11">
        <v>1205.849976</v>
      </c>
      <c r="E11">
        <f t="shared" si="1"/>
        <v>-8.2655216725285863E-3</v>
      </c>
      <c r="F11">
        <v>716.59997559999999</v>
      </c>
      <c r="G11">
        <f t="shared" si="2"/>
        <v>-6.4816452003020331E-3</v>
      </c>
      <c r="H11">
        <v>308.04974370000002</v>
      </c>
      <c r="I11">
        <f t="shared" si="3"/>
        <v>-2.356803388051143E-2</v>
      </c>
      <c r="J11">
        <v>504.39999390000003</v>
      </c>
      <c r="K11">
        <f t="shared" si="4"/>
        <v>-1.3157263096111427E-2</v>
      </c>
      <c r="L11">
        <v>281.5499878</v>
      </c>
      <c r="M11">
        <f t="shared" si="5"/>
        <v>4.4595078644522612E-3</v>
      </c>
      <c r="N11">
        <v>692.40002440000001</v>
      </c>
      <c r="O11">
        <f t="shared" si="6"/>
        <v>6.1759788553457096E-3</v>
      </c>
      <c r="P11">
        <v>185.8000031</v>
      </c>
      <c r="Q11">
        <f t="shared" si="7"/>
        <v>4.3243410810811511E-3</v>
      </c>
      <c r="R11">
        <v>470.39999390000003</v>
      </c>
      <c r="S11">
        <f t="shared" si="8"/>
        <v>9.7670660951398869E-3</v>
      </c>
      <c r="T11">
        <v>634.25</v>
      </c>
      <c r="U11">
        <f t="shared" si="9"/>
        <v>-5.6439221411173079E-3</v>
      </c>
      <c r="W11">
        <f t="shared" si="10"/>
        <v>8.3024629246046761E-4</v>
      </c>
      <c r="X11">
        <v>-3.9132397420540241E-2</v>
      </c>
      <c r="Z11" s="2" t="s">
        <v>33</v>
      </c>
      <c r="AA11" s="2">
        <f>_xlfn.STDEV.S(X4:X1803)</f>
        <v>1.0544881956147433E-2</v>
      </c>
      <c r="AB11" s="2"/>
    </row>
    <row r="12" spans="1:28" x14ac:dyDescent="0.35">
      <c r="A12" s="1">
        <v>42830</v>
      </c>
      <c r="B12">
        <v>646.89038089999997</v>
      </c>
      <c r="C12">
        <f t="shared" si="0"/>
        <v>2.9352915063935558E-2</v>
      </c>
      <c r="D12">
        <v>1200.625</v>
      </c>
      <c r="E12">
        <f t="shared" si="1"/>
        <v>-4.3330232649106959E-3</v>
      </c>
      <c r="F12">
        <v>716.17498780000005</v>
      </c>
      <c r="G12">
        <f t="shared" si="2"/>
        <v>-5.9306142125403749E-4</v>
      </c>
      <c r="H12">
        <v>310.48312379999999</v>
      </c>
      <c r="I12">
        <f t="shared" si="3"/>
        <v>7.8993089582628517E-3</v>
      </c>
      <c r="J12">
        <v>497.97500609999997</v>
      </c>
      <c r="K12">
        <f t="shared" si="4"/>
        <v>-1.2737882390366995E-2</v>
      </c>
      <c r="L12">
        <v>278.9500122</v>
      </c>
      <c r="M12">
        <f t="shared" si="5"/>
        <v>-9.234507947650461E-3</v>
      </c>
      <c r="N12">
        <v>690.70001219999995</v>
      </c>
      <c r="O12">
        <f t="shared" si="6"/>
        <v>-2.4552457251474369E-3</v>
      </c>
      <c r="P12">
        <v>186.25</v>
      </c>
      <c r="Q12">
        <f t="shared" si="7"/>
        <v>2.4219423707856347E-3</v>
      </c>
      <c r="R12">
        <v>473.5</v>
      </c>
      <c r="S12">
        <f t="shared" si="8"/>
        <v>6.5901491075677221E-3</v>
      </c>
      <c r="T12">
        <v>632.15002440000001</v>
      </c>
      <c r="U12">
        <f t="shared" si="9"/>
        <v>-3.3109587702010446E-3</v>
      </c>
      <c r="W12">
        <f t="shared" si="10"/>
        <v>1.3599635981021096E-3</v>
      </c>
      <c r="X12">
        <v>-3.7365070623713449E-2</v>
      </c>
      <c r="Z12" s="2" t="s">
        <v>23</v>
      </c>
      <c r="AA12" s="2">
        <f>AA10+(-1.65*AA11)</f>
        <v>-1.6615060875967536E-2</v>
      </c>
      <c r="AB12" s="2" t="s">
        <v>30</v>
      </c>
    </row>
    <row r="13" spans="1:28" x14ac:dyDescent="0.35">
      <c r="A13" s="1">
        <v>42831</v>
      </c>
      <c r="B13">
        <v>657.63378909999994</v>
      </c>
      <c r="C13">
        <f t="shared" si="0"/>
        <v>1.6607772378765207E-2</v>
      </c>
      <c r="D13">
        <v>1200.025024</v>
      </c>
      <c r="E13">
        <f t="shared" si="1"/>
        <v>-4.9971972930762387E-4</v>
      </c>
      <c r="F13">
        <v>719.25</v>
      </c>
      <c r="G13">
        <f t="shared" si="2"/>
        <v>4.2936604215206842E-3</v>
      </c>
      <c r="H13">
        <v>308.04974370000002</v>
      </c>
      <c r="I13">
        <f t="shared" si="3"/>
        <v>-7.837398922742933E-3</v>
      </c>
      <c r="J13">
        <v>499.7999878</v>
      </c>
      <c r="K13">
        <f t="shared" si="4"/>
        <v>3.6648058188557542E-3</v>
      </c>
      <c r="L13">
        <v>274.10000609999997</v>
      </c>
      <c r="M13">
        <f t="shared" si="5"/>
        <v>-1.7386649535339305E-2</v>
      </c>
      <c r="N13">
        <v>686.90002440000001</v>
      </c>
      <c r="O13">
        <f t="shared" si="6"/>
        <v>-5.5016472171418584E-3</v>
      </c>
      <c r="P13">
        <v>187.5500031</v>
      </c>
      <c r="Q13">
        <f t="shared" si="7"/>
        <v>6.9798824161073636E-3</v>
      </c>
      <c r="R13">
        <v>473.2000122</v>
      </c>
      <c r="S13">
        <f t="shared" si="8"/>
        <v>-6.3355395987330088E-4</v>
      </c>
      <c r="T13">
        <v>664.40002440000001</v>
      </c>
      <c r="U13">
        <f t="shared" si="9"/>
        <v>5.1016370727201776E-2</v>
      </c>
      <c r="W13">
        <f t="shared" si="10"/>
        <v>5.0703522398045766E-3</v>
      </c>
      <c r="X13">
        <v>-3.4996136934208291E-2</v>
      </c>
      <c r="Z13" s="2" t="s">
        <v>24</v>
      </c>
      <c r="AA13" s="2">
        <f>AA10+(-2.33*AA11)</f>
        <v>-2.3785580606147792E-2</v>
      </c>
      <c r="AB13" s="2" t="s">
        <v>31</v>
      </c>
    </row>
    <row r="14" spans="1:28" x14ac:dyDescent="0.35">
      <c r="A14" s="1">
        <v>42832</v>
      </c>
      <c r="B14">
        <v>643.05017090000001</v>
      </c>
      <c r="C14">
        <f t="shared" si="0"/>
        <v>-2.2175895523796396E-2</v>
      </c>
      <c r="D14">
        <v>1214.525024</v>
      </c>
      <c r="E14">
        <f t="shared" si="1"/>
        <v>1.2083081360809933E-2</v>
      </c>
      <c r="F14">
        <v>719.42498780000005</v>
      </c>
      <c r="G14">
        <f t="shared" si="2"/>
        <v>2.4329204031992013E-4</v>
      </c>
      <c r="H14">
        <v>310.66339110000001</v>
      </c>
      <c r="I14">
        <f t="shared" si="3"/>
        <v>8.48449788857919E-3</v>
      </c>
      <c r="J14">
        <v>490.77499390000003</v>
      </c>
      <c r="K14">
        <f t="shared" si="4"/>
        <v>-1.805721112504588E-2</v>
      </c>
      <c r="L14">
        <v>272.64999390000003</v>
      </c>
      <c r="M14">
        <f t="shared" si="5"/>
        <v>-5.2900845229129079E-3</v>
      </c>
      <c r="N14">
        <v>665.95001219999995</v>
      </c>
      <c r="O14">
        <f t="shared" si="6"/>
        <v>-3.0499361560366367E-2</v>
      </c>
      <c r="P14">
        <v>186.3999939</v>
      </c>
      <c r="Q14">
        <f t="shared" si="7"/>
        <v>-6.1317471660441436E-3</v>
      </c>
      <c r="R14">
        <v>468.2999878</v>
      </c>
      <c r="S14">
        <f t="shared" si="8"/>
        <v>-1.0355080882645806E-2</v>
      </c>
      <c r="T14">
        <v>751.20001219999995</v>
      </c>
      <c r="U14">
        <f t="shared" si="9"/>
        <v>0.13064416708651749</v>
      </c>
      <c r="W14">
        <f t="shared" si="10"/>
        <v>5.8945657595415053E-3</v>
      </c>
      <c r="X14">
        <v>-3.4082610723548977E-2</v>
      </c>
    </row>
    <row r="15" spans="1:28" x14ac:dyDescent="0.35">
      <c r="A15" s="1">
        <v>42835</v>
      </c>
      <c r="B15">
        <v>631.50677489999998</v>
      </c>
      <c r="C15">
        <f t="shared" si="0"/>
        <v>-1.7951003704491875E-2</v>
      </c>
      <c r="D15">
        <v>1211.125</v>
      </c>
      <c r="E15">
        <f t="shared" si="1"/>
        <v>-2.7994680494949353E-3</v>
      </c>
      <c r="F15">
        <v>717.07501219999995</v>
      </c>
      <c r="G15">
        <f t="shared" si="2"/>
        <v>-3.2664636895450849E-3</v>
      </c>
      <c r="H15">
        <v>311.5646362</v>
      </c>
      <c r="I15">
        <f t="shared" si="3"/>
        <v>2.9010341283175478E-3</v>
      </c>
      <c r="J15">
        <v>476.7000122</v>
      </c>
      <c r="K15">
        <f t="shared" si="4"/>
        <v>-2.8679093016030777E-2</v>
      </c>
      <c r="L15">
        <v>273.5499878</v>
      </c>
      <c r="M15">
        <f t="shared" si="5"/>
        <v>3.3009129658372327E-3</v>
      </c>
      <c r="N15">
        <v>667.75</v>
      </c>
      <c r="O15">
        <f t="shared" si="6"/>
        <v>2.7028872543357618E-3</v>
      </c>
      <c r="P15">
        <v>186.4499969</v>
      </c>
      <c r="Q15">
        <f t="shared" si="7"/>
        <v>2.6825644654704384E-4</v>
      </c>
      <c r="R15">
        <v>474.89999390000003</v>
      </c>
      <c r="S15">
        <f t="shared" si="8"/>
        <v>1.4093543181595614E-2</v>
      </c>
      <c r="T15">
        <v>774.09997559999999</v>
      </c>
      <c r="U15">
        <f t="shared" si="9"/>
        <v>3.0484508823334755E-2</v>
      </c>
      <c r="W15">
        <f t="shared" si="10"/>
        <v>1.0551143404052788E-4</v>
      </c>
      <c r="X15">
        <v>-3.2262834862986166E-2</v>
      </c>
    </row>
    <row r="16" spans="1:28" x14ac:dyDescent="0.35">
      <c r="A16" s="1">
        <v>42836</v>
      </c>
      <c r="B16">
        <v>627.39227289999997</v>
      </c>
      <c r="C16">
        <f t="shared" si="0"/>
        <v>-6.5153726983396831E-3</v>
      </c>
      <c r="D16">
        <v>1209.650024</v>
      </c>
      <c r="E16">
        <f t="shared" si="1"/>
        <v>-1.2178561255030695E-3</v>
      </c>
      <c r="F16">
        <v>719.75</v>
      </c>
      <c r="G16">
        <f t="shared" si="2"/>
        <v>3.7304155834312347E-3</v>
      </c>
      <c r="H16">
        <v>315.6203003</v>
      </c>
      <c r="I16">
        <f t="shared" si="3"/>
        <v>1.3017087399471716E-2</v>
      </c>
      <c r="J16">
        <v>483.5750122</v>
      </c>
      <c r="K16">
        <f t="shared" si="4"/>
        <v>1.4422068017727607E-2</v>
      </c>
      <c r="L16">
        <v>282.0499878</v>
      </c>
      <c r="M16">
        <f t="shared" si="5"/>
        <v>3.1072931380331736E-2</v>
      </c>
      <c r="N16">
        <v>670.40002440000001</v>
      </c>
      <c r="O16">
        <f t="shared" si="6"/>
        <v>3.9685876450767932E-3</v>
      </c>
      <c r="P16">
        <v>187.8500061</v>
      </c>
      <c r="Q16">
        <f t="shared" si="7"/>
        <v>7.5087649411487156E-3</v>
      </c>
      <c r="R16">
        <v>472.25</v>
      </c>
      <c r="S16">
        <f t="shared" si="8"/>
        <v>-5.5801093578410343E-3</v>
      </c>
      <c r="T16">
        <v>778.54998780000005</v>
      </c>
      <c r="U16">
        <f t="shared" si="9"/>
        <v>5.7486272319682286E-3</v>
      </c>
      <c r="W16">
        <f>0.1*C16+0.1*E16+0.1*G16+0.1*I16+0.1*K16+0.1*M16+0.1*O16+0.1*Q16+0.1*S16+0.1*U16</f>
        <v>6.6155144017472243E-3</v>
      </c>
      <c r="X16">
        <v>-3.1296751989194266E-2</v>
      </c>
    </row>
    <row r="17" spans="1:24" x14ac:dyDescent="0.35">
      <c r="A17" s="1">
        <v>42837</v>
      </c>
      <c r="B17">
        <v>619.00323490000005</v>
      </c>
      <c r="C17">
        <f t="shared" si="0"/>
        <v>-1.3371280397227681E-2</v>
      </c>
      <c r="D17">
        <v>1196.625</v>
      </c>
      <c r="E17">
        <f t="shared" si="1"/>
        <v>-1.0767597025236775E-2</v>
      </c>
      <c r="F17">
        <v>721.84997559999999</v>
      </c>
      <c r="G17">
        <f t="shared" si="2"/>
        <v>2.9176458492532475E-3</v>
      </c>
      <c r="H17">
        <v>316.16104130000002</v>
      </c>
      <c r="I17">
        <f t="shared" si="3"/>
        <v>1.7132643226245303E-3</v>
      </c>
      <c r="J17">
        <v>484.4249878</v>
      </c>
      <c r="K17">
        <f t="shared" si="4"/>
        <v>1.7576913168715347E-3</v>
      </c>
      <c r="L17">
        <v>281.89999390000003</v>
      </c>
      <c r="M17">
        <f t="shared" si="5"/>
        <v>-5.3179899481625714E-4</v>
      </c>
      <c r="N17">
        <v>683.25</v>
      </c>
      <c r="O17">
        <f t="shared" si="6"/>
        <v>1.9167624004042372E-2</v>
      </c>
      <c r="P17">
        <v>186.6999969</v>
      </c>
      <c r="Q17">
        <f t="shared" si="7"/>
        <v>-6.121954552334663E-3</v>
      </c>
      <c r="R17">
        <v>464.5499878</v>
      </c>
      <c r="S17">
        <f t="shared" si="8"/>
        <v>-1.630494907358393E-2</v>
      </c>
      <c r="T17">
        <v>762.20001219999995</v>
      </c>
      <c r="U17">
        <f t="shared" si="9"/>
        <v>-2.1000546986329471E-2</v>
      </c>
      <c r="W17">
        <f t="shared" si="10"/>
        <v>-4.2541901536737089E-3</v>
      </c>
      <c r="X17">
        <v>-3.0252327142491969E-2</v>
      </c>
    </row>
    <row r="18" spans="1:24" x14ac:dyDescent="0.35">
      <c r="A18" s="1">
        <v>42838</v>
      </c>
      <c r="B18">
        <v>623.94067380000001</v>
      </c>
      <c r="C18">
        <f t="shared" si="0"/>
        <v>7.9764347286450654E-3</v>
      </c>
      <c r="D18">
        <v>1164.3249510000001</v>
      </c>
      <c r="E18">
        <f t="shared" si="1"/>
        <v>-2.6992624255719133E-2</v>
      </c>
      <c r="F18">
        <v>720.15002440000001</v>
      </c>
      <c r="G18">
        <f t="shared" si="2"/>
        <v>-2.3549923910255455E-3</v>
      </c>
      <c r="H18">
        <v>306.65277099999997</v>
      </c>
      <c r="I18">
        <f t="shared" si="3"/>
        <v>-3.0074136461923584E-2</v>
      </c>
      <c r="J18">
        <v>465.7000122</v>
      </c>
      <c r="K18">
        <f t="shared" si="4"/>
        <v>-3.8654025022612615E-2</v>
      </c>
      <c r="L18">
        <v>279.14999390000003</v>
      </c>
      <c r="M18">
        <f t="shared" si="5"/>
        <v>-9.7552325629901571E-3</v>
      </c>
      <c r="N18">
        <v>692.75</v>
      </c>
      <c r="O18">
        <f t="shared" si="6"/>
        <v>1.3904134650567057E-2</v>
      </c>
      <c r="P18">
        <v>184.8000031</v>
      </c>
      <c r="Q18">
        <f t="shared" si="7"/>
        <v>-1.0176721111664899E-2</v>
      </c>
      <c r="R18">
        <v>453.35000609999997</v>
      </c>
      <c r="S18">
        <f t="shared" si="8"/>
        <v>-2.4109314377642188E-2</v>
      </c>
      <c r="T18">
        <v>783.25</v>
      </c>
      <c r="U18">
        <f t="shared" si="9"/>
        <v>2.7617406800141353E-2</v>
      </c>
      <c r="W18">
        <f t="shared" si="10"/>
        <v>-9.2619070004224657E-3</v>
      </c>
      <c r="X18">
        <v>-2.9767121615345803E-2</v>
      </c>
    </row>
    <row r="19" spans="1:24" x14ac:dyDescent="0.35">
      <c r="A19" s="1">
        <v>42842</v>
      </c>
      <c r="B19">
        <v>636.30700679999995</v>
      </c>
      <c r="C19">
        <f t="shared" si="0"/>
        <v>1.981972568751611E-2</v>
      </c>
      <c r="D19">
        <v>1157.4250489999999</v>
      </c>
      <c r="E19">
        <f t="shared" si="1"/>
        <v>-5.9260964854133125E-3</v>
      </c>
      <c r="F19">
        <v>718.40002440000001</v>
      </c>
      <c r="G19">
        <f t="shared" si="2"/>
        <v>-2.4300492129512019E-3</v>
      </c>
      <c r="H19">
        <v>307.59909060000001</v>
      </c>
      <c r="I19">
        <f t="shared" si="3"/>
        <v>3.0859646137031405E-3</v>
      </c>
      <c r="J19">
        <v>462.4500122</v>
      </c>
      <c r="K19">
        <f t="shared" si="4"/>
        <v>-6.9787414963696781E-3</v>
      </c>
      <c r="L19">
        <v>279.10000609999997</v>
      </c>
      <c r="M19">
        <f t="shared" si="5"/>
        <v>-1.7907147086648756E-4</v>
      </c>
      <c r="N19">
        <v>677.04998780000005</v>
      </c>
      <c r="O19">
        <f t="shared" si="6"/>
        <v>-2.2663316059184369E-2</v>
      </c>
      <c r="P19">
        <v>183.1000061</v>
      </c>
      <c r="Q19">
        <f t="shared" si="7"/>
        <v>-9.1991178110537586E-3</v>
      </c>
      <c r="R19">
        <v>449.2000122</v>
      </c>
      <c r="S19">
        <f t="shared" si="8"/>
        <v>-9.1540616392636887E-3</v>
      </c>
      <c r="T19">
        <v>774.04998780000005</v>
      </c>
      <c r="U19">
        <f t="shared" si="9"/>
        <v>-1.1745945994254603E-2</v>
      </c>
      <c r="W19">
        <f t="shared" si="10"/>
        <v>-4.5370709868137859E-3</v>
      </c>
      <c r="X19">
        <v>-2.9569052962758632E-2</v>
      </c>
    </row>
    <row r="20" spans="1:24" x14ac:dyDescent="0.35">
      <c r="A20" s="1">
        <v>42843</v>
      </c>
      <c r="B20">
        <v>626.40936280000005</v>
      </c>
      <c r="C20">
        <f t="shared" si="0"/>
        <v>-1.5554824784619781E-2</v>
      </c>
      <c r="D20">
        <v>1154.400024</v>
      </c>
      <c r="E20">
        <f t="shared" si="1"/>
        <v>-2.6135817629084901E-3</v>
      </c>
      <c r="F20">
        <v>723.65002440000001</v>
      </c>
      <c r="G20">
        <f t="shared" si="2"/>
        <v>7.3079062105889658E-3</v>
      </c>
      <c r="H20">
        <v>305.34594729999998</v>
      </c>
      <c r="I20">
        <f t="shared" si="3"/>
        <v>-7.3249348546676751E-3</v>
      </c>
      <c r="J20">
        <v>461.3250122</v>
      </c>
      <c r="K20">
        <f t="shared" si="4"/>
        <v>-2.4326953623551306E-3</v>
      </c>
      <c r="L20">
        <v>279.0499878</v>
      </c>
      <c r="M20">
        <f t="shared" si="5"/>
        <v>-1.7921282302679753E-4</v>
      </c>
      <c r="N20">
        <v>665.15002440000001</v>
      </c>
      <c r="O20">
        <f t="shared" si="6"/>
        <v>-1.757619616635353E-2</v>
      </c>
      <c r="P20">
        <v>180.9499969</v>
      </c>
      <c r="Q20">
        <f t="shared" si="7"/>
        <v>-1.1742267222130898E-2</v>
      </c>
      <c r="R20">
        <v>443.7000122</v>
      </c>
      <c r="S20">
        <f t="shared" si="8"/>
        <v>-1.2243988981797238E-2</v>
      </c>
      <c r="T20">
        <v>730.15002440000001</v>
      </c>
      <c r="U20">
        <f t="shared" si="9"/>
        <v>-5.6714636124176265E-2</v>
      </c>
      <c r="W20">
        <f t="shared" si="10"/>
        <v>-1.1907443187144685E-2</v>
      </c>
      <c r="X20">
        <v>-2.8425932904017993E-2</v>
      </c>
    </row>
    <row r="21" spans="1:24" x14ac:dyDescent="0.35">
      <c r="A21" s="1">
        <v>42844</v>
      </c>
      <c r="B21">
        <v>625.76928710000004</v>
      </c>
      <c r="C21">
        <f t="shared" si="0"/>
        <v>-1.0218169427400614E-3</v>
      </c>
      <c r="D21">
        <v>1149.5749510000001</v>
      </c>
      <c r="E21">
        <f t="shared" si="1"/>
        <v>-4.1797235790771436E-3</v>
      </c>
      <c r="F21">
        <v>724.5</v>
      </c>
      <c r="G21">
        <f t="shared" si="2"/>
        <v>1.1745672235756732E-3</v>
      </c>
      <c r="H21">
        <v>306.38241579999999</v>
      </c>
      <c r="I21">
        <f t="shared" si="3"/>
        <v>3.3944072589300323E-3</v>
      </c>
      <c r="J21">
        <v>459.60000609999997</v>
      </c>
      <c r="K21">
        <f t="shared" si="4"/>
        <v>-3.7392425174904709E-3</v>
      </c>
      <c r="L21">
        <v>278.7000122</v>
      </c>
      <c r="M21">
        <f t="shared" si="5"/>
        <v>-1.2541681250701764E-3</v>
      </c>
      <c r="N21">
        <v>663.34997559999999</v>
      </c>
      <c r="O21">
        <f t="shared" si="6"/>
        <v>-2.7062297736871743E-3</v>
      </c>
      <c r="P21">
        <v>179.8500061</v>
      </c>
      <c r="Q21">
        <f t="shared" si="7"/>
        <v>-6.0789766169927484E-3</v>
      </c>
      <c r="R21">
        <v>443.0499878</v>
      </c>
      <c r="S21">
        <f t="shared" si="8"/>
        <v>-1.4650087494408881E-3</v>
      </c>
      <c r="T21">
        <v>732.79998780000005</v>
      </c>
      <c r="U21">
        <f t="shared" si="9"/>
        <v>3.6293409730112636E-3</v>
      </c>
      <c r="W21">
        <f t="shared" si="10"/>
        <v>-1.2246850848981695E-3</v>
      </c>
      <c r="X21">
        <v>-2.7249038595272161E-2</v>
      </c>
    </row>
    <row r="22" spans="1:24" x14ac:dyDescent="0.35">
      <c r="A22" s="1">
        <v>42845</v>
      </c>
      <c r="B22">
        <v>626.11218259999998</v>
      </c>
      <c r="C22">
        <f t="shared" si="0"/>
        <v>5.4795834034782054E-4</v>
      </c>
      <c r="D22">
        <v>1162.75</v>
      </c>
      <c r="E22">
        <f t="shared" si="1"/>
        <v>1.1460800349328393E-2</v>
      </c>
      <c r="F22">
        <v>731.07501219999995</v>
      </c>
      <c r="G22">
        <f t="shared" si="2"/>
        <v>9.075241131814904E-3</v>
      </c>
      <c r="H22">
        <v>308.90591430000001</v>
      </c>
      <c r="I22">
        <f t="shared" si="3"/>
        <v>8.2364338482379118E-3</v>
      </c>
      <c r="J22">
        <v>463.64999390000003</v>
      </c>
      <c r="K22">
        <f t="shared" si="4"/>
        <v>8.8119837820865854E-3</v>
      </c>
      <c r="L22">
        <v>279.5</v>
      </c>
      <c r="M22">
        <f t="shared" si="5"/>
        <v>2.8704261391490071E-3</v>
      </c>
      <c r="N22">
        <v>655.95001219999995</v>
      </c>
      <c r="O22">
        <f t="shared" si="6"/>
        <v>-1.1155443841400325E-2</v>
      </c>
      <c r="P22">
        <v>179.1000061</v>
      </c>
      <c r="Q22">
        <f t="shared" si="7"/>
        <v>-4.1701416433813643E-3</v>
      </c>
      <c r="R22">
        <v>443.9500122</v>
      </c>
      <c r="S22">
        <f t="shared" si="8"/>
        <v>2.0314285628788564E-3</v>
      </c>
      <c r="T22">
        <v>756.29998780000005</v>
      </c>
      <c r="U22">
        <f t="shared" si="9"/>
        <v>3.206877782647255E-2</v>
      </c>
      <c r="W22">
        <f t="shared" si="10"/>
        <v>5.9777464495534335E-3</v>
      </c>
      <c r="X22">
        <v>-2.6615806798146027E-2</v>
      </c>
    </row>
    <row r="23" spans="1:24" x14ac:dyDescent="0.35">
      <c r="A23" s="1">
        <v>42846</v>
      </c>
      <c r="B23">
        <v>641.1758423</v>
      </c>
      <c r="C23">
        <f t="shared" si="0"/>
        <v>2.4059042642241124E-2</v>
      </c>
      <c r="D23">
        <v>1155.400024</v>
      </c>
      <c r="E23">
        <f t="shared" si="1"/>
        <v>-6.3212006020210154E-3</v>
      </c>
      <c r="F23">
        <v>748.29998780000005</v>
      </c>
      <c r="G23">
        <f t="shared" si="2"/>
        <v>2.3561160363237743E-2</v>
      </c>
      <c r="H23">
        <v>308.9509888</v>
      </c>
      <c r="I23">
        <f t="shared" si="3"/>
        <v>1.4591659762208664E-4</v>
      </c>
      <c r="J23">
        <v>461.85000609999997</v>
      </c>
      <c r="K23">
        <f t="shared" si="4"/>
        <v>-3.8822124958083348E-3</v>
      </c>
      <c r="L23">
        <v>274.35000609999997</v>
      </c>
      <c r="M23">
        <f t="shared" si="5"/>
        <v>-1.842573846153861E-2</v>
      </c>
      <c r="N23">
        <v>639.59997559999999</v>
      </c>
      <c r="O23">
        <f t="shared" si="6"/>
        <v>-2.4925735644341751E-2</v>
      </c>
      <c r="P23">
        <v>180.25</v>
      </c>
      <c r="Q23">
        <f t="shared" si="7"/>
        <v>6.4209595803024211E-3</v>
      </c>
      <c r="R23">
        <v>440.60000609999997</v>
      </c>
      <c r="S23">
        <f t="shared" si="8"/>
        <v>-7.5459083408940808E-3</v>
      </c>
      <c r="T23">
        <v>743.20001219999995</v>
      </c>
      <c r="U23">
        <f t="shared" si="9"/>
        <v>-1.7321136865421138E-2</v>
      </c>
      <c r="W23">
        <f t="shared" si="10"/>
        <v>-2.4234853226621556E-3</v>
      </c>
      <c r="X23">
        <v>-2.6477328900021038E-2</v>
      </c>
    </row>
    <row r="24" spans="1:24" x14ac:dyDescent="0.35">
      <c r="A24" s="1">
        <v>42849</v>
      </c>
      <c r="B24">
        <v>647.98760990000005</v>
      </c>
      <c r="C24">
        <f t="shared" si="0"/>
        <v>1.062386813508942E-2</v>
      </c>
      <c r="D24">
        <v>1164.0500489999999</v>
      </c>
      <c r="E24">
        <f t="shared" si="1"/>
        <v>7.4866062145761969E-3</v>
      </c>
      <c r="F24">
        <v>766.52502440000001</v>
      </c>
      <c r="G24">
        <f t="shared" si="2"/>
        <v>2.4355254439575091E-2</v>
      </c>
      <c r="H24">
        <v>310.61831669999998</v>
      </c>
      <c r="I24">
        <f t="shared" si="3"/>
        <v>5.396739160719477E-3</v>
      </c>
      <c r="J24">
        <v>463.27499390000003</v>
      </c>
      <c r="K24">
        <f t="shared" si="4"/>
        <v>3.0853908870394076E-3</v>
      </c>
      <c r="L24">
        <v>276.75</v>
      </c>
      <c r="M24">
        <f t="shared" si="5"/>
        <v>8.7479272704125144E-3</v>
      </c>
      <c r="N24">
        <v>642.84997559999999</v>
      </c>
      <c r="O24">
        <f t="shared" si="6"/>
        <v>5.0813010068537778E-3</v>
      </c>
      <c r="P24">
        <v>181.4499969</v>
      </c>
      <c r="Q24">
        <f t="shared" si="7"/>
        <v>6.6574030513175675E-3</v>
      </c>
      <c r="R24">
        <v>443.85000609999997</v>
      </c>
      <c r="S24">
        <f t="shared" si="8"/>
        <v>7.3763049364605759E-3</v>
      </c>
      <c r="T24">
        <v>726.29998780000005</v>
      </c>
      <c r="U24">
        <f t="shared" si="9"/>
        <v>-2.2739537301638246E-2</v>
      </c>
      <c r="W24">
        <f t="shared" si="10"/>
        <v>5.6071257800405774E-3</v>
      </c>
      <c r="X24">
        <v>-2.627670040620652E-2</v>
      </c>
    </row>
    <row r="25" spans="1:24" x14ac:dyDescent="0.35">
      <c r="A25" s="1">
        <v>42850</v>
      </c>
      <c r="B25">
        <v>655.02795409999999</v>
      </c>
      <c r="C25">
        <f t="shared" si="0"/>
        <v>1.0864936446989271E-2</v>
      </c>
      <c r="D25">
        <v>1155.75</v>
      </c>
      <c r="E25">
        <f t="shared" si="1"/>
        <v>-7.1303197032895893E-3</v>
      </c>
      <c r="F25">
        <v>768.52502440000001</v>
      </c>
      <c r="G25">
        <f t="shared" si="2"/>
        <v>2.6091776997958505E-3</v>
      </c>
      <c r="H25">
        <v>319</v>
      </c>
      <c r="I25">
        <f t="shared" si="3"/>
        <v>2.698386685320675E-2</v>
      </c>
      <c r="J25">
        <v>464.6749878</v>
      </c>
      <c r="K25">
        <f t="shared" si="4"/>
        <v>3.0219500694703694E-3</v>
      </c>
      <c r="L25">
        <v>281.2999878</v>
      </c>
      <c r="M25">
        <f t="shared" si="5"/>
        <v>1.6440786991869905E-2</v>
      </c>
      <c r="N25">
        <v>642.54998780000005</v>
      </c>
      <c r="O25">
        <f t="shared" si="6"/>
        <v>-4.6665289163294599E-4</v>
      </c>
      <c r="P25">
        <v>181.5</v>
      </c>
      <c r="Q25">
        <f t="shared" si="7"/>
        <v>2.7557509426445748E-4</v>
      </c>
      <c r="R25">
        <v>445.64999390000003</v>
      </c>
      <c r="S25">
        <f t="shared" si="8"/>
        <v>4.0553965872753839E-3</v>
      </c>
      <c r="T25">
        <v>734.79998780000005</v>
      </c>
      <c r="U25">
        <f t="shared" si="9"/>
        <v>1.1703153163676872E-2</v>
      </c>
      <c r="W25">
        <f t="shared" si="10"/>
        <v>6.8357870311626335E-3</v>
      </c>
      <c r="X25">
        <v>-2.6267722260883652E-2</v>
      </c>
    </row>
    <row r="26" spans="1:24" x14ac:dyDescent="0.35">
      <c r="A26" s="1">
        <v>42851</v>
      </c>
      <c r="B26">
        <v>647.55328369999995</v>
      </c>
      <c r="C26">
        <f t="shared" si="0"/>
        <v>-1.1411223525979342E-2</v>
      </c>
      <c r="D26">
        <v>1155.1750489999999</v>
      </c>
      <c r="E26">
        <f t="shared" si="1"/>
        <v>-4.9747004109890192E-4</v>
      </c>
      <c r="F26">
        <v>775.32501219999995</v>
      </c>
      <c r="G26">
        <f t="shared" si="2"/>
        <v>8.8481019929165239E-3</v>
      </c>
      <c r="H26">
        <v>322.24453740000001</v>
      </c>
      <c r="I26">
        <f t="shared" si="3"/>
        <v>1.0170963636363606E-2</v>
      </c>
      <c r="J26">
        <v>457.125</v>
      </c>
      <c r="K26">
        <f t="shared" si="4"/>
        <v>-1.6247889381232561E-2</v>
      </c>
      <c r="L26">
        <v>290.89999390000003</v>
      </c>
      <c r="M26">
        <f t="shared" si="5"/>
        <v>3.4127289428911967E-2</v>
      </c>
      <c r="N26">
        <v>642.79998780000005</v>
      </c>
      <c r="O26">
        <f t="shared" si="6"/>
        <v>3.8907478756011749E-4</v>
      </c>
      <c r="P26">
        <v>180.1000061</v>
      </c>
      <c r="Q26">
        <f t="shared" si="7"/>
        <v>-7.7134650137741234E-3</v>
      </c>
      <c r="R26">
        <v>450.7999878</v>
      </c>
      <c r="S26">
        <f t="shared" si="8"/>
        <v>1.1556140402765536E-2</v>
      </c>
      <c r="T26">
        <v>747.90002440000001</v>
      </c>
      <c r="U26">
        <f t="shared" si="9"/>
        <v>1.7828030508304282E-2</v>
      </c>
      <c r="W26">
        <f t="shared" si="10"/>
        <v>4.70495527947371E-3</v>
      </c>
      <c r="X26">
        <v>-2.6082739257841218E-2</v>
      </c>
    </row>
    <row r="27" spans="1:24" x14ac:dyDescent="0.35">
      <c r="A27" s="1">
        <v>42852</v>
      </c>
      <c r="B27">
        <v>644.37597659999994</v>
      </c>
      <c r="C27">
        <f t="shared" si="0"/>
        <v>-4.9066342183387013E-3</v>
      </c>
      <c r="D27">
        <v>1151.3249510000001</v>
      </c>
      <c r="E27">
        <f t="shared" si="1"/>
        <v>-3.3329130535955098E-3</v>
      </c>
      <c r="F27">
        <v>784.29998780000005</v>
      </c>
      <c r="G27">
        <f t="shared" si="2"/>
        <v>1.1575759144585529E-2</v>
      </c>
      <c r="H27">
        <v>322.55996699999997</v>
      </c>
      <c r="I27">
        <f t="shared" si="3"/>
        <v>9.7885165888289549E-4</v>
      </c>
      <c r="J27">
        <v>462.625</v>
      </c>
      <c r="K27">
        <f t="shared" si="4"/>
        <v>1.2031719989062051E-2</v>
      </c>
      <c r="L27">
        <v>285.7999878</v>
      </c>
      <c r="M27">
        <f t="shared" si="5"/>
        <v>-1.7531819205720667E-2</v>
      </c>
      <c r="N27">
        <v>637</v>
      </c>
      <c r="O27">
        <f t="shared" si="6"/>
        <v>-9.0230054606109666E-3</v>
      </c>
      <c r="P27">
        <v>179.1000061</v>
      </c>
      <c r="Q27">
        <f t="shared" si="7"/>
        <v>-5.5524706614654695E-3</v>
      </c>
      <c r="R27">
        <v>455.35000609999997</v>
      </c>
      <c r="S27">
        <f t="shared" si="8"/>
        <v>1.0093208569514456E-2</v>
      </c>
      <c r="T27">
        <v>740.09997559999999</v>
      </c>
      <c r="U27">
        <f t="shared" si="9"/>
        <v>-1.0429266674055193E-2</v>
      </c>
      <c r="W27">
        <f t="shared" si="10"/>
        <v>-1.6096569911741574E-3</v>
      </c>
      <c r="X27">
        <v>-2.5467865203253195E-2</v>
      </c>
    </row>
    <row r="28" spans="1:24" x14ac:dyDescent="0.35">
      <c r="A28" s="1">
        <v>42853</v>
      </c>
      <c r="B28">
        <v>637.83850099999995</v>
      </c>
      <c r="C28">
        <f t="shared" si="0"/>
        <v>-1.014543657337208E-2</v>
      </c>
      <c r="D28">
        <v>1136.5749510000001</v>
      </c>
      <c r="E28">
        <f t="shared" si="1"/>
        <v>-1.2811326626065656E-2</v>
      </c>
      <c r="F28">
        <v>773.25</v>
      </c>
      <c r="G28">
        <f t="shared" si="2"/>
        <v>-1.4088981221325514E-2</v>
      </c>
      <c r="H28">
        <v>320.39694209999999</v>
      </c>
      <c r="I28">
        <f t="shared" si="3"/>
        <v>-6.7058070476551102E-3</v>
      </c>
      <c r="J28">
        <v>459.47500609999997</v>
      </c>
      <c r="K28">
        <f t="shared" si="4"/>
        <v>-6.8089573628749012E-3</v>
      </c>
      <c r="L28">
        <v>278</v>
      </c>
      <c r="M28">
        <f t="shared" si="5"/>
        <v>-2.7291770934078419E-2</v>
      </c>
      <c r="N28">
        <v>641.95001219999995</v>
      </c>
      <c r="O28">
        <f t="shared" si="6"/>
        <v>7.7708197802197621E-3</v>
      </c>
      <c r="P28">
        <v>186.5500031</v>
      </c>
      <c r="Q28">
        <f t="shared" si="7"/>
        <v>4.1596855087991047E-2</v>
      </c>
      <c r="R28">
        <v>458.89999390000003</v>
      </c>
      <c r="S28">
        <f t="shared" si="8"/>
        <v>7.79617382770037E-3</v>
      </c>
      <c r="T28">
        <v>736.5</v>
      </c>
      <c r="U28">
        <f t="shared" si="9"/>
        <v>-4.8641747313685757E-3</v>
      </c>
      <c r="W28">
        <f t="shared" si="10"/>
        <v>-2.5552605800829068E-3</v>
      </c>
      <c r="X28">
        <v>-2.4724297815788165E-2</v>
      </c>
    </row>
    <row r="29" spans="1:24" x14ac:dyDescent="0.35">
      <c r="A29" s="1">
        <v>42857</v>
      </c>
      <c r="B29">
        <v>626.56933590000006</v>
      </c>
      <c r="C29">
        <f t="shared" si="0"/>
        <v>-1.766774047401054E-2</v>
      </c>
      <c r="D29">
        <v>1144.9499510000001</v>
      </c>
      <c r="E29">
        <f t="shared" si="1"/>
        <v>7.368629752601441E-3</v>
      </c>
      <c r="F29">
        <v>770.29998780000005</v>
      </c>
      <c r="G29">
        <f t="shared" si="2"/>
        <v>-3.815082056256025E-3</v>
      </c>
      <c r="H29">
        <v>313.27703860000003</v>
      </c>
      <c r="I29">
        <f t="shared" si="3"/>
        <v>-2.2222133124409682E-2</v>
      </c>
      <c r="J29">
        <v>461.2999878</v>
      </c>
      <c r="K29">
        <f t="shared" si="4"/>
        <v>3.9718845982295026E-3</v>
      </c>
      <c r="L29">
        <v>279.2000122</v>
      </c>
      <c r="M29">
        <f t="shared" si="5"/>
        <v>4.3165906474820215E-3</v>
      </c>
      <c r="N29">
        <v>632.79998780000005</v>
      </c>
      <c r="O29">
        <f t="shared" si="6"/>
        <v>-1.4253484268412442E-2</v>
      </c>
      <c r="P29">
        <v>192.3999939</v>
      </c>
      <c r="Q29">
        <f t="shared" si="7"/>
        <v>3.1358835179778222E-2</v>
      </c>
      <c r="R29">
        <v>451.25</v>
      </c>
      <c r="S29">
        <f t="shared" si="8"/>
        <v>-1.6670285468923018E-2</v>
      </c>
      <c r="T29">
        <v>752.29998780000005</v>
      </c>
      <c r="U29">
        <f t="shared" si="9"/>
        <v>2.1452800814663942E-2</v>
      </c>
      <c r="W29">
        <f t="shared" si="10"/>
        <v>-6.1599843992565751E-4</v>
      </c>
      <c r="X29">
        <v>-2.4416936472292452E-2</v>
      </c>
    </row>
    <row r="30" spans="1:24" x14ac:dyDescent="0.35">
      <c r="A30" s="1">
        <v>42858</v>
      </c>
      <c r="B30">
        <v>626.36364749999996</v>
      </c>
      <c r="C30">
        <f t="shared" si="0"/>
        <v>-3.2827715659700107E-4</v>
      </c>
      <c r="D30">
        <v>1168.650024</v>
      </c>
      <c r="E30">
        <f t="shared" si="1"/>
        <v>2.0699658512846275E-2</v>
      </c>
      <c r="F30">
        <v>772.15002440000001</v>
      </c>
      <c r="G30">
        <f t="shared" si="2"/>
        <v>2.4017092422443653E-3</v>
      </c>
      <c r="H30">
        <v>312.15045170000002</v>
      </c>
      <c r="I30">
        <f t="shared" si="3"/>
        <v>-3.5961362027507882E-3</v>
      </c>
      <c r="J30">
        <v>467.14999390000003</v>
      </c>
      <c r="K30">
        <f t="shared" si="4"/>
        <v>1.2681565694158126E-2</v>
      </c>
      <c r="L30">
        <v>277.25</v>
      </c>
      <c r="M30">
        <f t="shared" si="5"/>
        <v>-6.9842840787669447E-3</v>
      </c>
      <c r="N30">
        <v>628.84997559999999</v>
      </c>
      <c r="O30">
        <f t="shared" si="6"/>
        <v>-6.2421180090928008E-3</v>
      </c>
      <c r="P30">
        <v>191.1000061</v>
      </c>
      <c r="Q30">
        <f t="shared" si="7"/>
        <v>-6.7566935614128409E-3</v>
      </c>
      <c r="R30">
        <v>446.60000609999997</v>
      </c>
      <c r="S30">
        <f t="shared" si="8"/>
        <v>-1.0304695623268745E-2</v>
      </c>
      <c r="T30">
        <v>756.84997559999999</v>
      </c>
      <c r="U30">
        <f t="shared" si="9"/>
        <v>6.0481029825691923E-3</v>
      </c>
      <c r="W30">
        <f t="shared" si="10"/>
        <v>7.6188317999288397E-4</v>
      </c>
      <c r="X30">
        <v>-2.3927672581737901E-2</v>
      </c>
    </row>
    <row r="31" spans="1:24" x14ac:dyDescent="0.35">
      <c r="A31" s="1">
        <v>42859</v>
      </c>
      <c r="B31">
        <v>620.80908199999999</v>
      </c>
      <c r="C31">
        <f t="shared" si="0"/>
        <v>-8.8679563735377664E-3</v>
      </c>
      <c r="D31">
        <v>1165.0500489999999</v>
      </c>
      <c r="E31">
        <f t="shared" si="1"/>
        <v>-3.0804560185420105E-3</v>
      </c>
      <c r="F31">
        <v>767.40002440000001</v>
      </c>
      <c r="G31">
        <f t="shared" si="2"/>
        <v>-6.151654276888685E-3</v>
      </c>
      <c r="H31">
        <v>311.83502199999998</v>
      </c>
      <c r="I31">
        <f t="shared" si="3"/>
        <v>-1.0105053453620672E-3</v>
      </c>
      <c r="J31">
        <v>468.8250122</v>
      </c>
      <c r="K31">
        <f t="shared" si="4"/>
        <v>3.5856113065872997E-3</v>
      </c>
      <c r="L31">
        <v>281.2000122</v>
      </c>
      <c r="M31">
        <f t="shared" si="5"/>
        <v>1.4247113435527536E-2</v>
      </c>
      <c r="N31">
        <v>631.5</v>
      </c>
      <c r="O31">
        <f t="shared" si="6"/>
        <v>4.2140804688297617E-3</v>
      </c>
      <c r="P31">
        <v>188.8999939</v>
      </c>
      <c r="Q31">
        <f t="shared" si="7"/>
        <v>-1.1512360700024038E-2</v>
      </c>
      <c r="R31">
        <v>436.5</v>
      </c>
      <c r="S31">
        <f t="shared" si="8"/>
        <v>-2.2615329068621737E-2</v>
      </c>
      <c r="T31">
        <v>773.25</v>
      </c>
      <c r="U31">
        <f t="shared" si="9"/>
        <v>2.1668791608269178E-2</v>
      </c>
      <c r="W31">
        <f t="shared" si="10"/>
        <v>-9.5226649637625239E-4</v>
      </c>
      <c r="X31">
        <v>-2.3838576485519736E-2</v>
      </c>
    </row>
    <row r="32" spans="1:24" x14ac:dyDescent="0.35">
      <c r="A32" s="1">
        <v>42860</v>
      </c>
      <c r="B32">
        <v>607.23120119999999</v>
      </c>
      <c r="C32">
        <f t="shared" si="0"/>
        <v>-2.1871266374289267E-2</v>
      </c>
      <c r="D32">
        <v>1160.25</v>
      </c>
      <c r="E32">
        <f t="shared" si="1"/>
        <v>-4.1200367350054945E-3</v>
      </c>
      <c r="F32">
        <v>766.09997559999999</v>
      </c>
      <c r="G32">
        <f t="shared" si="2"/>
        <v>-1.6940953331562314E-3</v>
      </c>
      <c r="H32">
        <v>310.70843509999997</v>
      </c>
      <c r="I32">
        <f t="shared" si="3"/>
        <v>-3.6127657912651268E-3</v>
      </c>
      <c r="J32">
        <v>465.75</v>
      </c>
      <c r="K32">
        <f t="shared" si="4"/>
        <v>-6.5589764197312439E-3</v>
      </c>
      <c r="L32">
        <v>277.14999390000003</v>
      </c>
      <c r="M32">
        <f t="shared" si="5"/>
        <v>-1.4402624908563144E-2</v>
      </c>
      <c r="N32">
        <v>630.20001219999995</v>
      </c>
      <c r="O32">
        <f t="shared" si="6"/>
        <v>-2.0585713380839588E-3</v>
      </c>
      <c r="P32">
        <v>183.8000031</v>
      </c>
      <c r="Q32">
        <f t="shared" si="7"/>
        <v>-2.6998364026945554E-2</v>
      </c>
      <c r="R32">
        <v>419.60000609999997</v>
      </c>
      <c r="S32">
        <f t="shared" si="8"/>
        <v>-3.8717053608247509E-2</v>
      </c>
      <c r="T32">
        <v>808.90002440000001</v>
      </c>
      <c r="U32">
        <f t="shared" si="9"/>
        <v>4.6104137601034711E-2</v>
      </c>
      <c r="W32">
        <f t="shared" si="10"/>
        <v>-7.3929616934252816E-3</v>
      </c>
      <c r="X32">
        <v>-2.364895730137536E-2</v>
      </c>
    </row>
    <row r="33" spans="1:24" x14ac:dyDescent="0.35">
      <c r="A33" s="1">
        <v>42863</v>
      </c>
      <c r="B33">
        <v>604.09960939999996</v>
      </c>
      <c r="C33">
        <f t="shared" si="0"/>
        <v>-5.1571654977732306E-3</v>
      </c>
      <c r="D33">
        <v>1171.224976</v>
      </c>
      <c r="E33">
        <f t="shared" si="1"/>
        <v>9.4591475975005501E-3</v>
      </c>
      <c r="F33">
        <v>767.40002440000001</v>
      </c>
      <c r="G33">
        <f t="shared" si="2"/>
        <v>1.6969701623887889E-3</v>
      </c>
      <c r="H33">
        <v>316.61166379999997</v>
      </c>
      <c r="I33">
        <f t="shared" si="3"/>
        <v>1.8999254713184976E-2</v>
      </c>
      <c r="J33">
        <v>472.75</v>
      </c>
      <c r="K33">
        <f t="shared" si="4"/>
        <v>1.5029522275899154E-2</v>
      </c>
      <c r="L33">
        <v>272.9500122</v>
      </c>
      <c r="M33">
        <f t="shared" si="5"/>
        <v>-1.515418290615389E-2</v>
      </c>
      <c r="N33">
        <v>637.15002440000001</v>
      </c>
      <c r="O33">
        <f t="shared" si="6"/>
        <v>1.102826414702518E-2</v>
      </c>
      <c r="P33">
        <v>185.9499969</v>
      </c>
      <c r="Q33">
        <f t="shared" si="7"/>
        <v>1.1697463350042847E-2</v>
      </c>
      <c r="R33">
        <v>422.64999390000003</v>
      </c>
      <c r="S33">
        <f t="shared" si="8"/>
        <v>7.2687982737378309E-3</v>
      </c>
      <c r="T33">
        <v>780.15002440000001</v>
      </c>
      <c r="U33">
        <f t="shared" si="9"/>
        <v>-3.5542093129896091E-2</v>
      </c>
      <c r="W33">
        <f t="shared" si="10"/>
        <v>1.9325978985956114E-3</v>
      </c>
      <c r="X33">
        <v>-2.354871084561222E-2</v>
      </c>
    </row>
    <row r="34" spans="1:24" x14ac:dyDescent="0.35">
      <c r="A34" s="1">
        <v>42864</v>
      </c>
      <c r="B34">
        <v>608.19128420000004</v>
      </c>
      <c r="C34">
        <f t="shared" si="0"/>
        <v>6.7731790193739094E-3</v>
      </c>
      <c r="D34">
        <v>1176.275024</v>
      </c>
      <c r="E34">
        <f t="shared" si="1"/>
        <v>4.3117659744988934E-3</v>
      </c>
      <c r="F34">
        <v>767.875</v>
      </c>
      <c r="G34">
        <f t="shared" si="2"/>
        <v>6.1894134075823892E-4</v>
      </c>
      <c r="H34">
        <v>311.15905759999998</v>
      </c>
      <c r="I34">
        <f t="shared" si="3"/>
        <v>-1.7221747722611869E-2</v>
      </c>
      <c r="J34">
        <v>473.3250122</v>
      </c>
      <c r="K34">
        <f t="shared" si="4"/>
        <v>1.2163134849285662E-3</v>
      </c>
      <c r="L34">
        <v>271.5</v>
      </c>
      <c r="M34">
        <f t="shared" si="5"/>
        <v>-5.3123727246348063E-3</v>
      </c>
      <c r="N34">
        <v>640.29998780000005</v>
      </c>
      <c r="O34">
        <f t="shared" si="6"/>
        <v>4.9438331309274997E-3</v>
      </c>
      <c r="P34">
        <v>186.1000061</v>
      </c>
      <c r="Q34">
        <f t="shared" si="7"/>
        <v>8.0671794837772204E-4</v>
      </c>
      <c r="R34">
        <v>426.7999878</v>
      </c>
      <c r="S34">
        <f t="shared" si="8"/>
        <v>9.8189848808607483E-3</v>
      </c>
      <c r="T34">
        <v>780.04998780000005</v>
      </c>
      <c r="U34">
        <f t="shared" si="9"/>
        <v>-1.2822738815765344E-4</v>
      </c>
      <c r="W34">
        <f t="shared" si="10"/>
        <v>5.8273879443212508E-4</v>
      </c>
      <c r="X34">
        <v>-2.3378940182001075E-2</v>
      </c>
    </row>
    <row r="35" spans="1:24" x14ac:dyDescent="0.35">
      <c r="A35" s="1">
        <v>42865</v>
      </c>
      <c r="B35">
        <v>621.33477779999998</v>
      </c>
      <c r="C35">
        <f t="shared" si="0"/>
        <v>2.1610789140604991E-2</v>
      </c>
      <c r="D35">
        <v>1166.224976</v>
      </c>
      <c r="E35">
        <f t="shared" si="1"/>
        <v>-8.543961059229388E-3</v>
      </c>
      <c r="F35">
        <v>775.90002440000001</v>
      </c>
      <c r="G35">
        <f t="shared" si="2"/>
        <v>1.0450951522057661E-2</v>
      </c>
      <c r="H35">
        <v>335.94363399999997</v>
      </c>
      <c r="I35">
        <f t="shared" si="3"/>
        <v>7.96524343246372E-2</v>
      </c>
      <c r="J35">
        <v>471.8250122</v>
      </c>
      <c r="K35">
        <f t="shared" si="4"/>
        <v>-3.1690697963077108E-3</v>
      </c>
      <c r="L35">
        <v>273.9500122</v>
      </c>
      <c r="M35">
        <f t="shared" si="5"/>
        <v>9.0239860036831487E-3</v>
      </c>
      <c r="N35">
        <v>642.79998780000005</v>
      </c>
      <c r="O35">
        <f t="shared" si="6"/>
        <v>3.9044198776103656E-3</v>
      </c>
      <c r="P35">
        <v>187.9499969</v>
      </c>
      <c r="Q35">
        <f t="shared" si="7"/>
        <v>9.9408422319229306E-3</v>
      </c>
      <c r="R35">
        <v>432.2999878</v>
      </c>
      <c r="S35">
        <f t="shared" si="8"/>
        <v>1.2886598306505403E-2</v>
      </c>
      <c r="T35">
        <v>790.84997559999999</v>
      </c>
      <c r="U35">
        <f t="shared" si="9"/>
        <v>1.3845250905598405E-2</v>
      </c>
      <c r="W35">
        <f t="shared" si="10"/>
        <v>1.4960224145708301E-2</v>
      </c>
      <c r="X35">
        <v>-2.2967798780569103E-2</v>
      </c>
    </row>
    <row r="36" spans="1:24" x14ac:dyDescent="0.35">
      <c r="A36" s="1">
        <v>42866</v>
      </c>
      <c r="B36">
        <v>621.54052730000001</v>
      </c>
      <c r="C36">
        <f t="shared" si="0"/>
        <v>3.3114112930965334E-4</v>
      </c>
      <c r="D36">
        <v>1174.724976</v>
      </c>
      <c r="E36">
        <f t="shared" si="1"/>
        <v>7.2884736435279152E-3</v>
      </c>
      <c r="F36">
        <v>773.20001219999995</v>
      </c>
      <c r="G36">
        <f t="shared" si="2"/>
        <v>-3.4798454892277508E-3</v>
      </c>
      <c r="H36">
        <v>329.86016849999999</v>
      </c>
      <c r="I36">
        <f t="shared" si="3"/>
        <v>-1.810858990707942E-2</v>
      </c>
      <c r="J36">
        <v>472.0499878</v>
      </c>
      <c r="K36">
        <f t="shared" si="4"/>
        <v>4.7681999508886186E-4</v>
      </c>
      <c r="L36">
        <v>276.64999390000003</v>
      </c>
      <c r="M36">
        <f t="shared" si="5"/>
        <v>9.8557458651575836E-3</v>
      </c>
      <c r="N36">
        <v>648.45001219999995</v>
      </c>
      <c r="O36">
        <f t="shared" si="6"/>
        <v>8.7897083186594394E-3</v>
      </c>
      <c r="P36">
        <v>183.6000061</v>
      </c>
      <c r="Q36">
        <f t="shared" si="7"/>
        <v>-2.3144404744600444E-2</v>
      </c>
      <c r="R36">
        <v>427.4500122</v>
      </c>
      <c r="S36">
        <f t="shared" si="8"/>
        <v>-1.1219004711709113E-2</v>
      </c>
      <c r="T36">
        <v>761.79998780000005</v>
      </c>
      <c r="U36">
        <f t="shared" si="9"/>
        <v>-3.6732615156193638E-2</v>
      </c>
      <c r="W36">
        <f t="shared" si="10"/>
        <v>-6.5942571057066917E-3</v>
      </c>
      <c r="X36">
        <v>-2.2965014407424402E-2</v>
      </c>
    </row>
    <row r="37" spans="1:24" x14ac:dyDescent="0.35">
      <c r="A37" s="1">
        <v>42867</v>
      </c>
      <c r="B37">
        <v>617.38031009999997</v>
      </c>
      <c r="C37">
        <f t="shared" si="0"/>
        <v>-6.6933965160279607E-3</v>
      </c>
      <c r="D37">
        <v>1180.3249510000001</v>
      </c>
      <c r="E37">
        <f t="shared" si="1"/>
        <v>4.7670519605944595E-3</v>
      </c>
      <c r="F37">
        <v>775.82501219999995</v>
      </c>
      <c r="G37">
        <f t="shared" si="2"/>
        <v>3.3949818398619769E-3</v>
      </c>
      <c r="H37">
        <v>329.04904169999998</v>
      </c>
      <c r="I37">
        <f t="shared" si="3"/>
        <v>-2.4590019573703659E-3</v>
      </c>
      <c r="J37">
        <v>482.125</v>
      </c>
      <c r="K37">
        <f t="shared" si="4"/>
        <v>2.1343104460090911E-2</v>
      </c>
      <c r="L37">
        <v>274.9500122</v>
      </c>
      <c r="M37">
        <f t="shared" si="5"/>
        <v>-6.1448824778015387E-3</v>
      </c>
      <c r="N37">
        <v>655.09997559999999</v>
      </c>
      <c r="O37">
        <f t="shared" si="6"/>
        <v>1.0255167360454953E-2</v>
      </c>
      <c r="P37">
        <v>184.8500061</v>
      </c>
      <c r="Q37">
        <f t="shared" si="7"/>
        <v>6.8082786409013885E-3</v>
      </c>
      <c r="R37">
        <v>430.85000609999997</v>
      </c>
      <c r="S37">
        <f t="shared" si="8"/>
        <v>7.9541321861260617E-3</v>
      </c>
      <c r="T37">
        <v>751.79998780000005</v>
      </c>
      <c r="U37">
        <f t="shared" si="9"/>
        <v>-1.3126805145900478E-2</v>
      </c>
      <c r="W37">
        <f t="shared" si="10"/>
        <v>2.6098630350929412E-3</v>
      </c>
      <c r="X37">
        <v>-2.2728582597249115E-2</v>
      </c>
    </row>
    <row r="38" spans="1:24" x14ac:dyDescent="0.35">
      <c r="A38" s="1">
        <v>42870</v>
      </c>
      <c r="B38">
        <v>614.47729489999995</v>
      </c>
      <c r="C38">
        <f t="shared" si="0"/>
        <v>-4.7021506071838193E-3</v>
      </c>
      <c r="D38">
        <v>1182.5500489999999</v>
      </c>
      <c r="E38">
        <f t="shared" si="1"/>
        <v>1.8851571324614014E-3</v>
      </c>
      <c r="F38">
        <v>776.70001219999995</v>
      </c>
      <c r="G38">
        <f t="shared" si="2"/>
        <v>1.1278316453329218E-3</v>
      </c>
      <c r="H38">
        <v>328.19284060000001</v>
      </c>
      <c r="I38">
        <f t="shared" si="3"/>
        <v>-2.6020470856760181E-3</v>
      </c>
      <c r="J38">
        <v>475.77499390000003</v>
      </c>
      <c r="K38">
        <f t="shared" si="4"/>
        <v>-1.317087083225299E-2</v>
      </c>
      <c r="L38">
        <v>277.9500122</v>
      </c>
      <c r="M38">
        <f t="shared" si="5"/>
        <v>1.0911074256719111E-2</v>
      </c>
      <c r="N38">
        <v>654.45001219999995</v>
      </c>
      <c r="O38">
        <f t="shared" si="6"/>
        <v>-9.9215909663974422E-4</v>
      </c>
      <c r="P38">
        <v>186.75</v>
      </c>
      <c r="Q38">
        <f t="shared" si="7"/>
        <v>1.0278570934815878E-2</v>
      </c>
      <c r="R38">
        <v>431.89999390000003</v>
      </c>
      <c r="S38">
        <f t="shared" si="8"/>
        <v>2.4370147038046408E-3</v>
      </c>
      <c r="T38">
        <v>752.15002440000001</v>
      </c>
      <c r="U38">
        <f t="shared" si="9"/>
        <v>4.6559803894696827E-4</v>
      </c>
      <c r="W38">
        <f t="shared" si="10"/>
        <v>5.6380190903283507E-4</v>
      </c>
      <c r="X38">
        <v>-2.2592288548682959E-2</v>
      </c>
    </row>
    <row r="39" spans="1:24" x14ac:dyDescent="0.35">
      <c r="A39" s="1">
        <v>42871</v>
      </c>
      <c r="B39">
        <v>620.05474849999996</v>
      </c>
      <c r="C39">
        <f t="shared" si="0"/>
        <v>9.076744814318527E-3</v>
      </c>
      <c r="D39">
        <v>1214.5749510000001</v>
      </c>
      <c r="E39">
        <f t="shared" si="1"/>
        <v>2.708122335040386E-2</v>
      </c>
      <c r="F39">
        <v>779.82501219999995</v>
      </c>
      <c r="G39">
        <f t="shared" si="2"/>
        <v>4.0234324075114625E-3</v>
      </c>
      <c r="H39">
        <v>337.38565060000002</v>
      </c>
      <c r="I39">
        <f t="shared" si="3"/>
        <v>2.8010391644113231E-2</v>
      </c>
      <c r="J39">
        <v>477.5</v>
      </c>
      <c r="K39">
        <f t="shared" si="4"/>
        <v>3.6256762589808034E-3</v>
      </c>
      <c r="L39">
        <v>283.4500122</v>
      </c>
      <c r="M39">
        <f t="shared" si="5"/>
        <v>1.9787730737865328E-2</v>
      </c>
      <c r="N39">
        <v>652.34997559999999</v>
      </c>
      <c r="O39">
        <f t="shared" si="6"/>
        <v>-3.2088571485245909E-3</v>
      </c>
      <c r="P39">
        <v>185.1499939</v>
      </c>
      <c r="Q39">
        <f t="shared" si="7"/>
        <v>-8.5676364123159487E-3</v>
      </c>
      <c r="R39">
        <v>437.25</v>
      </c>
      <c r="S39">
        <f t="shared" si="8"/>
        <v>1.238714094827853E-2</v>
      </c>
      <c r="T39">
        <v>750.40002440000001</v>
      </c>
      <c r="U39">
        <f t="shared" si="9"/>
        <v>-2.3266634889708149E-3</v>
      </c>
      <c r="W39">
        <f t="shared" si="10"/>
        <v>8.9889183111660394E-3</v>
      </c>
      <c r="X39">
        <v>-2.2395619187004116E-2</v>
      </c>
    </row>
    <row r="40" spans="1:24" x14ac:dyDescent="0.35">
      <c r="A40" s="1">
        <v>42872</v>
      </c>
      <c r="B40">
        <v>618.59179689999996</v>
      </c>
      <c r="C40">
        <f t="shared" si="0"/>
        <v>-2.3593910110987215E-3</v>
      </c>
      <c r="D40">
        <v>1227.6750489999999</v>
      </c>
      <c r="E40">
        <f t="shared" si="1"/>
        <v>1.0785746889653947E-2</v>
      </c>
      <c r="F40">
        <v>778.57501219999995</v>
      </c>
      <c r="G40">
        <f t="shared" si="2"/>
        <v>-1.6029237078117875E-3</v>
      </c>
      <c r="H40">
        <v>338.82766720000001</v>
      </c>
      <c r="I40">
        <f t="shared" si="3"/>
        <v>4.2740898951556527E-3</v>
      </c>
      <c r="J40">
        <v>476.39999390000003</v>
      </c>
      <c r="K40">
        <f t="shared" si="4"/>
        <v>-2.3036776963349936E-3</v>
      </c>
      <c r="L40">
        <v>281.64999390000003</v>
      </c>
      <c r="M40">
        <f t="shared" si="5"/>
        <v>-6.3503906245376829E-3</v>
      </c>
      <c r="N40">
        <v>650.90002440000001</v>
      </c>
      <c r="O40">
        <f t="shared" si="6"/>
        <v>-2.2226584720362874E-3</v>
      </c>
      <c r="P40">
        <v>184.5</v>
      </c>
      <c r="Q40">
        <f t="shared" si="7"/>
        <v>-3.5106341961375076E-3</v>
      </c>
      <c r="R40">
        <v>449.10000609999997</v>
      </c>
      <c r="S40">
        <f t="shared" si="8"/>
        <v>2.7101214636935378E-2</v>
      </c>
      <c r="T40">
        <v>744.90002440000001</v>
      </c>
      <c r="U40">
        <f t="shared" si="9"/>
        <v>-7.329424068712731E-3</v>
      </c>
      <c r="W40">
        <f t="shared" si="10"/>
        <v>1.6481951645075264E-3</v>
      </c>
      <c r="X40">
        <v>-2.2232622021331548E-2</v>
      </c>
    </row>
    <row r="41" spans="1:24" x14ac:dyDescent="0.35">
      <c r="A41" s="1">
        <v>42873</v>
      </c>
      <c r="B41">
        <v>606.81976320000001</v>
      </c>
      <c r="C41">
        <f t="shared" si="0"/>
        <v>-1.9030374730143684E-2</v>
      </c>
      <c r="D41">
        <v>1268.099976</v>
      </c>
      <c r="E41">
        <f t="shared" si="1"/>
        <v>3.2928035014581525E-2</v>
      </c>
      <c r="F41">
        <v>778.54998780000005</v>
      </c>
      <c r="G41">
        <f t="shared" si="2"/>
        <v>-3.2141283251796438E-5</v>
      </c>
      <c r="H41">
        <v>334.14114380000001</v>
      </c>
      <c r="I41">
        <f t="shared" si="3"/>
        <v>-1.3831584175898137E-2</v>
      </c>
      <c r="J41">
        <v>480.875</v>
      </c>
      <c r="K41">
        <f t="shared" si="4"/>
        <v>9.393379843198213E-3</v>
      </c>
      <c r="L41">
        <v>277.89999390000003</v>
      </c>
      <c r="M41">
        <f t="shared" si="5"/>
        <v>-1.3314397589979876E-2</v>
      </c>
      <c r="N41">
        <v>653.95001219999995</v>
      </c>
      <c r="O41">
        <f t="shared" si="6"/>
        <v>4.6858007154193526E-3</v>
      </c>
      <c r="P41">
        <v>180.8999939</v>
      </c>
      <c r="Q41">
        <f t="shared" si="7"/>
        <v>-1.9512228184281888E-2</v>
      </c>
      <c r="R41">
        <v>437.9500122</v>
      </c>
      <c r="S41">
        <f t="shared" si="8"/>
        <v>-2.4827418723118888E-2</v>
      </c>
      <c r="T41">
        <v>727.45001219999995</v>
      </c>
      <c r="U41">
        <f t="shared" si="9"/>
        <v>-2.3425978827233407E-2</v>
      </c>
      <c r="W41">
        <f t="shared" si="10"/>
        <v>-6.6966907940708593E-3</v>
      </c>
      <c r="X41">
        <v>-2.1512534362636771E-2</v>
      </c>
    </row>
    <row r="42" spans="1:24" x14ac:dyDescent="0.35">
      <c r="A42" s="1">
        <v>42874</v>
      </c>
      <c r="B42">
        <v>602.93383789999996</v>
      </c>
      <c r="C42">
        <f t="shared" si="0"/>
        <v>-6.403755341632289E-3</v>
      </c>
      <c r="D42">
        <v>1253.5749510000001</v>
      </c>
      <c r="E42">
        <f t="shared" si="1"/>
        <v>-1.1454163926267524E-2</v>
      </c>
      <c r="F42">
        <v>780.625</v>
      </c>
      <c r="G42">
        <f t="shared" si="2"/>
        <v>2.6652266810296421E-3</v>
      </c>
      <c r="H42">
        <v>335.94363399999997</v>
      </c>
      <c r="I42">
        <f t="shared" si="3"/>
        <v>5.3943976473571631E-3</v>
      </c>
      <c r="J42">
        <v>478.97500609999997</v>
      </c>
      <c r="K42">
        <f t="shared" si="4"/>
        <v>-3.9511180660255496E-3</v>
      </c>
      <c r="L42">
        <v>286.2000122</v>
      </c>
      <c r="M42">
        <f t="shared" si="5"/>
        <v>2.9866925088838592E-2</v>
      </c>
      <c r="N42">
        <v>653.15002440000001</v>
      </c>
      <c r="O42">
        <f t="shared" si="6"/>
        <v>-1.2233164386810103E-3</v>
      </c>
      <c r="P42">
        <v>180.0500031</v>
      </c>
      <c r="Q42">
        <f t="shared" si="7"/>
        <v>-4.6986778809393615E-3</v>
      </c>
      <c r="R42">
        <v>443.35000609999997</v>
      </c>
      <c r="S42">
        <f t="shared" si="8"/>
        <v>1.2330160405461754E-2</v>
      </c>
      <c r="T42">
        <v>722.90002440000001</v>
      </c>
      <c r="U42">
        <f t="shared" si="9"/>
        <v>-6.2547085348717557E-3</v>
      </c>
      <c r="W42">
        <f t="shared" si="10"/>
        <v>1.6270969634269662E-3</v>
      </c>
      <c r="X42">
        <v>-2.1334231673325186E-2</v>
      </c>
    </row>
    <row r="43" spans="1:24" x14ac:dyDescent="0.35">
      <c r="A43" s="1">
        <v>42877</v>
      </c>
      <c r="B43">
        <v>605.35681150000005</v>
      </c>
      <c r="C43">
        <f t="shared" si="0"/>
        <v>4.0186392729908427E-3</v>
      </c>
      <c r="D43">
        <v>1265.6750489999999</v>
      </c>
      <c r="E43">
        <f t="shared" si="1"/>
        <v>9.6524727064364324E-3</v>
      </c>
      <c r="F43">
        <v>788</v>
      </c>
      <c r="G43">
        <f t="shared" si="2"/>
        <v>9.4475580464370434E-3</v>
      </c>
      <c r="H43">
        <v>335.76339719999999</v>
      </c>
      <c r="I43">
        <f t="shared" si="3"/>
        <v>-5.365090502057468E-4</v>
      </c>
      <c r="J43">
        <v>480.72500609999997</v>
      </c>
      <c r="K43">
        <f t="shared" si="4"/>
        <v>3.6536353206593208E-3</v>
      </c>
      <c r="L43">
        <v>303.60000609999997</v>
      </c>
      <c r="M43">
        <f t="shared" si="5"/>
        <v>6.0796621796929351E-2</v>
      </c>
      <c r="N43">
        <v>640.15002440000001</v>
      </c>
      <c r="O43">
        <f t="shared" si="6"/>
        <v>-1.9903543618393194E-2</v>
      </c>
      <c r="P43">
        <v>177.1499939</v>
      </c>
      <c r="Q43">
        <f t="shared" si="7"/>
        <v>-1.6106687864866798E-2</v>
      </c>
      <c r="R43">
        <v>449.64999390000003</v>
      </c>
      <c r="S43">
        <f t="shared" si="8"/>
        <v>1.4209964392284391E-2</v>
      </c>
      <c r="T43">
        <v>721.54998780000005</v>
      </c>
      <c r="U43">
        <f t="shared" si="9"/>
        <v>-1.8675287791288797E-3</v>
      </c>
      <c r="W43">
        <f t="shared" si="10"/>
        <v>6.3364622223142774E-3</v>
      </c>
      <c r="X43">
        <v>-2.1258772642295011E-2</v>
      </c>
    </row>
    <row r="44" spans="1:24" x14ac:dyDescent="0.35">
      <c r="A44" s="1">
        <v>42878</v>
      </c>
      <c r="B44">
        <v>596.85351560000004</v>
      </c>
      <c r="C44">
        <f t="shared" si="0"/>
        <v>-1.4046750178510203E-2</v>
      </c>
      <c r="D44">
        <v>1260.849976</v>
      </c>
      <c r="E44">
        <f t="shared" si="1"/>
        <v>-3.812252602919064E-3</v>
      </c>
      <c r="F44">
        <v>784.54998780000005</v>
      </c>
      <c r="G44">
        <f t="shared" si="2"/>
        <v>-4.378188071065936E-3</v>
      </c>
      <c r="H44">
        <v>335.17758179999998</v>
      </c>
      <c r="I44">
        <f t="shared" si="3"/>
        <v>-1.7447268072852129E-3</v>
      </c>
      <c r="J44">
        <v>478.64999390000003</v>
      </c>
      <c r="K44">
        <f t="shared" si="4"/>
        <v>-4.3164224320968447E-3</v>
      </c>
      <c r="L44">
        <v>300.14999390000003</v>
      </c>
      <c r="M44">
        <f t="shared" si="5"/>
        <v>-1.1363676319767868E-2</v>
      </c>
      <c r="N44">
        <v>614.09997559999999</v>
      </c>
      <c r="O44">
        <f t="shared" si="6"/>
        <v>-4.0693662121494389E-2</v>
      </c>
      <c r="P44">
        <v>174.6499939</v>
      </c>
      <c r="Q44">
        <f t="shared" si="7"/>
        <v>-1.4112334666018911E-2</v>
      </c>
      <c r="R44">
        <v>450.5</v>
      </c>
      <c r="S44">
        <f t="shared" si="8"/>
        <v>1.8903727599939302E-3</v>
      </c>
      <c r="T44">
        <v>708.40002440000001</v>
      </c>
      <c r="U44">
        <f t="shared" si="9"/>
        <v>-1.8224604840052949E-2</v>
      </c>
      <c r="W44">
        <f t="shared" si="10"/>
        <v>-1.1080224527921744E-2</v>
      </c>
      <c r="X44">
        <v>-2.0574971062195791E-2</v>
      </c>
    </row>
    <row r="45" spans="1:24" x14ac:dyDescent="0.35">
      <c r="A45" s="1">
        <v>42879</v>
      </c>
      <c r="B45">
        <v>593.26477050000005</v>
      </c>
      <c r="C45">
        <f t="shared" si="0"/>
        <v>-6.0127736642253682E-3</v>
      </c>
      <c r="D45">
        <v>1279.5749510000001</v>
      </c>
      <c r="E45">
        <f t="shared" si="1"/>
        <v>1.4851072971745927E-2</v>
      </c>
      <c r="F45">
        <v>783.375</v>
      </c>
      <c r="G45">
        <f t="shared" si="2"/>
        <v>-1.4976582987336062E-3</v>
      </c>
      <c r="H45">
        <v>331.97811890000003</v>
      </c>
      <c r="I45">
        <f t="shared" si="3"/>
        <v>-9.5455754612761012E-3</v>
      </c>
      <c r="J45">
        <v>477.39999390000003</v>
      </c>
      <c r="K45">
        <f t="shared" si="4"/>
        <v>-2.6115115761625729E-3</v>
      </c>
      <c r="L45">
        <v>299.89999390000003</v>
      </c>
      <c r="M45">
        <f t="shared" si="5"/>
        <v>-8.3291689182340978E-4</v>
      </c>
      <c r="N45">
        <v>603.5</v>
      </c>
      <c r="O45">
        <f t="shared" si="6"/>
        <v>-1.7260993358033216E-2</v>
      </c>
      <c r="P45">
        <v>173.6999969</v>
      </c>
      <c r="Q45">
        <f t="shared" si="7"/>
        <v>-5.4394333420013652E-3</v>
      </c>
      <c r="R45">
        <v>469.5499878</v>
      </c>
      <c r="S45">
        <f t="shared" si="8"/>
        <v>4.2286321420643702E-2</v>
      </c>
      <c r="T45">
        <v>714.20001219999995</v>
      </c>
      <c r="U45">
        <f t="shared" si="9"/>
        <v>8.1874472052883007E-3</v>
      </c>
      <c r="W45">
        <f t="shared" si="10"/>
        <v>2.212397900542229E-3</v>
      </c>
      <c r="X45">
        <v>-2.0096237324929645E-2</v>
      </c>
    </row>
    <row r="46" spans="1:24" x14ac:dyDescent="0.35">
      <c r="A46" s="1">
        <v>42880</v>
      </c>
      <c r="B46">
        <v>595.43634029999998</v>
      </c>
      <c r="C46">
        <f t="shared" si="0"/>
        <v>3.660372076652596E-3</v>
      </c>
      <c r="D46">
        <v>1312.3000489999999</v>
      </c>
      <c r="E46">
        <f t="shared" si="1"/>
        <v>2.5574975482620221E-2</v>
      </c>
      <c r="F46">
        <v>808.57501219999995</v>
      </c>
      <c r="G46">
        <f t="shared" si="2"/>
        <v>3.2168517249082429E-2</v>
      </c>
      <c r="H46">
        <v>334.09606930000001</v>
      </c>
      <c r="I46">
        <f t="shared" si="3"/>
        <v>6.3797891470007695E-3</v>
      </c>
      <c r="J46">
        <v>491.64999390000003</v>
      </c>
      <c r="K46">
        <f t="shared" si="4"/>
        <v>2.9849183456388761E-2</v>
      </c>
      <c r="L46">
        <v>300.0499878</v>
      </c>
      <c r="M46">
        <f t="shared" si="5"/>
        <v>5.0014639230022695E-4</v>
      </c>
      <c r="N46">
        <v>591.54998780000005</v>
      </c>
      <c r="O46">
        <f t="shared" si="6"/>
        <v>-1.9801180115989969E-2</v>
      </c>
      <c r="P46">
        <v>174.1499939</v>
      </c>
      <c r="Q46">
        <f t="shared" si="7"/>
        <v>2.5906563502073876E-3</v>
      </c>
      <c r="R46">
        <v>476</v>
      </c>
      <c r="S46">
        <f t="shared" si="8"/>
        <v>1.3736582616518556E-2</v>
      </c>
      <c r="T46">
        <v>712.40002440000001</v>
      </c>
      <c r="U46">
        <f t="shared" si="9"/>
        <v>-2.5202853111907508E-3</v>
      </c>
      <c r="W46">
        <f t="shared" si="10"/>
        <v>9.2138757343590231E-3</v>
      </c>
      <c r="X46">
        <v>-2.0061344221720085E-2</v>
      </c>
    </row>
    <row r="47" spans="1:24" x14ac:dyDescent="0.35">
      <c r="A47" s="1">
        <v>42881</v>
      </c>
      <c r="B47">
        <v>611.36859130000005</v>
      </c>
      <c r="C47">
        <f t="shared" si="0"/>
        <v>2.6757270125590482E-2</v>
      </c>
      <c r="D47">
        <v>1289.125</v>
      </c>
      <c r="E47">
        <f t="shared" si="1"/>
        <v>-1.7659870559069035E-2</v>
      </c>
      <c r="F47">
        <v>813</v>
      </c>
      <c r="G47">
        <f t="shared" si="2"/>
        <v>5.4725754979250141E-3</v>
      </c>
      <c r="H47">
        <v>336.70971680000002</v>
      </c>
      <c r="I47">
        <f t="shared" si="3"/>
        <v>7.8230417540563479E-3</v>
      </c>
      <c r="J47">
        <v>497.85000609999997</v>
      </c>
      <c r="K47">
        <f t="shared" si="4"/>
        <v>1.2610621940251754E-2</v>
      </c>
      <c r="L47">
        <v>309.10000609999997</v>
      </c>
      <c r="M47">
        <f t="shared" si="5"/>
        <v>3.0161701942918562E-2</v>
      </c>
      <c r="N47">
        <v>567.65002440000001</v>
      </c>
      <c r="O47">
        <f t="shared" si="6"/>
        <v>-4.040227181625855E-2</v>
      </c>
      <c r="P47">
        <v>175.75</v>
      </c>
      <c r="Q47">
        <f t="shared" si="7"/>
        <v>9.1875174047881814E-3</v>
      </c>
      <c r="R47">
        <v>481.10000609999997</v>
      </c>
      <c r="S47">
        <f t="shared" si="8"/>
        <v>1.0714298529411748E-2</v>
      </c>
      <c r="T47">
        <v>714.90002440000001</v>
      </c>
      <c r="U47">
        <f t="shared" si="9"/>
        <v>3.5092643379757149E-3</v>
      </c>
      <c r="W47">
        <f t="shared" si="10"/>
        <v>4.8174149157590223E-3</v>
      </c>
      <c r="X47">
        <v>-1.9855728074054266E-2</v>
      </c>
    </row>
    <row r="48" spans="1:24" x14ac:dyDescent="0.35">
      <c r="A48" s="1">
        <v>42884</v>
      </c>
      <c r="B48">
        <v>620.32904050000002</v>
      </c>
      <c r="C48">
        <f t="shared" si="0"/>
        <v>1.4656378046747021E-2</v>
      </c>
      <c r="D48">
        <v>1286.4250489999999</v>
      </c>
      <c r="E48">
        <f t="shared" si="1"/>
        <v>-2.0944058954718292E-3</v>
      </c>
      <c r="F48">
        <v>815.95001219999995</v>
      </c>
      <c r="G48">
        <f t="shared" si="2"/>
        <v>3.6285512915128493E-3</v>
      </c>
      <c r="H48">
        <v>336.25909419999999</v>
      </c>
      <c r="I48">
        <f t="shared" si="3"/>
        <v>-1.3383118381097292E-3</v>
      </c>
      <c r="J48">
        <v>492.5750122</v>
      </c>
      <c r="K48">
        <f t="shared" si="4"/>
        <v>-1.0595548529410692E-2</v>
      </c>
      <c r="L48">
        <v>315.85000609999997</v>
      </c>
      <c r="M48">
        <f t="shared" si="5"/>
        <v>2.18375925810117E-2</v>
      </c>
      <c r="N48">
        <v>502.60000609999997</v>
      </c>
      <c r="O48">
        <f t="shared" si="6"/>
        <v>-0.11459528847683431</v>
      </c>
      <c r="P48">
        <v>175.75</v>
      </c>
      <c r="Q48">
        <f t="shared" si="7"/>
        <v>0</v>
      </c>
      <c r="R48">
        <v>481.5</v>
      </c>
      <c r="S48">
        <f t="shared" si="8"/>
        <v>8.3141528773311713E-4</v>
      </c>
      <c r="T48">
        <v>714.79998780000005</v>
      </c>
      <c r="U48">
        <f t="shared" si="9"/>
        <v>-1.3993089465047515E-4</v>
      </c>
      <c r="W48">
        <f t="shared" si="10"/>
        <v>-8.7809548427472354E-3</v>
      </c>
      <c r="X48">
        <v>-1.9442557940818107E-2</v>
      </c>
    </row>
    <row r="49" spans="1:24" x14ac:dyDescent="0.35">
      <c r="A49" s="1">
        <v>42885</v>
      </c>
      <c r="B49">
        <v>621.44909670000004</v>
      </c>
      <c r="C49">
        <f t="shared" si="0"/>
        <v>1.8055840156978586E-3</v>
      </c>
      <c r="D49">
        <v>1275.5500489999999</v>
      </c>
      <c r="E49">
        <f t="shared" si="1"/>
        <v>-8.4536600157573139E-3</v>
      </c>
      <c r="F49">
        <v>814.52502440000001</v>
      </c>
      <c r="G49">
        <f t="shared" si="2"/>
        <v>-1.7464155630781963E-3</v>
      </c>
      <c r="H49">
        <v>334.09606930000001</v>
      </c>
      <c r="I49">
        <f t="shared" si="3"/>
        <v>-6.4326138305524916E-3</v>
      </c>
      <c r="J49">
        <v>498.10000609999997</v>
      </c>
      <c r="K49">
        <f t="shared" si="4"/>
        <v>1.1216553343466495E-2</v>
      </c>
      <c r="L49">
        <v>311.4500122</v>
      </c>
      <c r="M49">
        <f t="shared" si="5"/>
        <v>-1.3930643707529056E-2</v>
      </c>
      <c r="N49">
        <v>508</v>
      </c>
      <c r="O49">
        <f t="shared" si="6"/>
        <v>1.0744118254000901E-2</v>
      </c>
      <c r="P49">
        <v>178.6499939</v>
      </c>
      <c r="Q49">
        <f t="shared" si="7"/>
        <v>1.6500676529160652E-2</v>
      </c>
      <c r="R49">
        <v>481.2999878</v>
      </c>
      <c r="S49">
        <f t="shared" si="8"/>
        <v>-4.1539397715473214E-4</v>
      </c>
      <c r="T49">
        <v>727.84997559999999</v>
      </c>
      <c r="U49">
        <f t="shared" si="9"/>
        <v>1.8256838308244872E-2</v>
      </c>
      <c r="W49">
        <f t="shared" si="10"/>
        <v>2.7545043356498986E-3</v>
      </c>
      <c r="X49">
        <v>-1.9333576840089531E-2</v>
      </c>
    </row>
    <row r="50" spans="1:24" x14ac:dyDescent="0.35">
      <c r="A50" s="1">
        <v>42886</v>
      </c>
      <c r="B50">
        <v>612.92291260000002</v>
      </c>
      <c r="C50">
        <f t="shared" si="0"/>
        <v>-1.371984309781038E-2</v>
      </c>
      <c r="D50">
        <v>1273.3000489999999</v>
      </c>
      <c r="E50">
        <f t="shared" si="1"/>
        <v>-1.7639448971554783E-3</v>
      </c>
      <c r="F50">
        <v>818.09997559999999</v>
      </c>
      <c r="G50">
        <f t="shared" si="2"/>
        <v>4.3890010655391887E-3</v>
      </c>
      <c r="H50">
        <v>334.8621521</v>
      </c>
      <c r="I50">
        <f t="shared" si="3"/>
        <v>2.2930015357711664E-3</v>
      </c>
      <c r="J50">
        <v>488.52499390000003</v>
      </c>
      <c r="K50">
        <f t="shared" si="4"/>
        <v>-1.9223071838464612E-2</v>
      </c>
      <c r="L50">
        <v>311.7999878</v>
      </c>
      <c r="M50">
        <f t="shared" si="5"/>
        <v>1.1236974997299587E-3</v>
      </c>
      <c r="N50">
        <v>501.60000609999997</v>
      </c>
      <c r="O50">
        <f t="shared" si="6"/>
        <v>-1.2598413188976476E-2</v>
      </c>
      <c r="P50">
        <v>177</v>
      </c>
      <c r="Q50">
        <f t="shared" si="7"/>
        <v>-9.2359023584607236E-3</v>
      </c>
      <c r="R50">
        <v>476.14999390000003</v>
      </c>
      <c r="S50">
        <f t="shared" si="8"/>
        <v>-1.0700174590779321E-2</v>
      </c>
      <c r="T50">
        <v>745.15002440000001</v>
      </c>
      <c r="U50">
        <f t="shared" si="9"/>
        <v>2.3768701490631816E-2</v>
      </c>
      <c r="W50">
        <f t="shared" si="10"/>
        <v>-3.566694837997487E-3</v>
      </c>
      <c r="X50">
        <v>-1.9073249325331842E-2</v>
      </c>
    </row>
    <row r="51" spans="1:24" x14ac:dyDescent="0.35">
      <c r="A51" s="1">
        <v>42887</v>
      </c>
      <c r="B51">
        <v>607.23120119999999</v>
      </c>
      <c r="C51">
        <f t="shared" si="0"/>
        <v>-9.2861782175118757E-3</v>
      </c>
      <c r="D51">
        <v>1276.8000489999999</v>
      </c>
      <c r="E51">
        <f t="shared" si="1"/>
        <v>2.7487629508446965E-3</v>
      </c>
      <c r="F51">
        <v>814.29998780000005</v>
      </c>
      <c r="G51">
        <f t="shared" si="2"/>
        <v>-4.644894161270452E-3</v>
      </c>
      <c r="H51">
        <v>330.67129519999997</v>
      </c>
      <c r="I51">
        <f t="shared" si="3"/>
        <v>-1.2515170417791821E-2</v>
      </c>
      <c r="J51">
        <v>485.7000122</v>
      </c>
      <c r="K51">
        <f t="shared" si="4"/>
        <v>-5.7826758820415103E-3</v>
      </c>
      <c r="L51">
        <v>314.2000122</v>
      </c>
      <c r="M51">
        <f t="shared" si="5"/>
        <v>7.6973203781505184E-3</v>
      </c>
      <c r="N51">
        <v>507.4500122</v>
      </c>
      <c r="O51">
        <f t="shared" si="6"/>
        <v>1.1662691445091022E-2</v>
      </c>
      <c r="P51">
        <v>174</v>
      </c>
      <c r="Q51">
        <f t="shared" si="7"/>
        <v>-1.6949152542372836E-2</v>
      </c>
      <c r="R51">
        <v>476.64999390000003</v>
      </c>
      <c r="S51">
        <f t="shared" si="8"/>
        <v>1.050089271039667E-3</v>
      </c>
      <c r="T51">
        <v>776.84997559999999</v>
      </c>
      <c r="U51">
        <f t="shared" si="9"/>
        <v>4.2541703230198458E-2</v>
      </c>
      <c r="W51">
        <f t="shared" si="10"/>
        <v>1.6522496054335867E-3</v>
      </c>
      <c r="X51">
        <v>-1.9020439411048296E-2</v>
      </c>
    </row>
    <row r="52" spans="1:24" x14ac:dyDescent="0.35">
      <c r="A52" s="1">
        <v>42888</v>
      </c>
      <c r="B52">
        <v>605.63110349999999</v>
      </c>
      <c r="C52">
        <f t="shared" si="0"/>
        <v>-2.6350716116660955E-3</v>
      </c>
      <c r="D52">
        <v>1282.4499510000001</v>
      </c>
      <c r="E52">
        <f t="shared" si="1"/>
        <v>4.4250483890764247E-3</v>
      </c>
      <c r="F52">
        <v>817.125</v>
      </c>
      <c r="G52">
        <f t="shared" si="2"/>
        <v>3.469252415970514E-3</v>
      </c>
      <c r="H52">
        <v>336.39428709999999</v>
      </c>
      <c r="I52">
        <f t="shared" si="3"/>
        <v>1.7307192922622949E-2</v>
      </c>
      <c r="J52">
        <v>484.72500609999997</v>
      </c>
      <c r="K52">
        <f t="shared" si="4"/>
        <v>-2.0074244914750627E-3</v>
      </c>
      <c r="L52">
        <v>319.2000122</v>
      </c>
      <c r="M52">
        <f t="shared" si="5"/>
        <v>1.5913430317810784E-2</v>
      </c>
      <c r="N52">
        <v>514.84997559999999</v>
      </c>
      <c r="O52">
        <f t="shared" si="6"/>
        <v>1.4582645033188957E-2</v>
      </c>
      <c r="P52">
        <v>174</v>
      </c>
      <c r="Q52">
        <f t="shared" si="7"/>
        <v>0</v>
      </c>
      <c r="R52">
        <v>478.75</v>
      </c>
      <c r="S52">
        <f t="shared" si="8"/>
        <v>4.4057613067767232E-3</v>
      </c>
      <c r="T52">
        <v>779.65002440000001</v>
      </c>
      <c r="U52">
        <f t="shared" si="9"/>
        <v>3.6043623453001494E-3</v>
      </c>
      <c r="W52">
        <f t="shared" si="10"/>
        <v>5.9065196627605347E-3</v>
      </c>
      <c r="X52">
        <v>-1.8790173211039807E-2</v>
      </c>
    </row>
    <row r="53" spans="1:24" x14ac:dyDescent="0.35">
      <c r="A53" s="1">
        <v>42891</v>
      </c>
      <c r="B53">
        <v>607.73406980000004</v>
      </c>
      <c r="C53">
        <f t="shared" si="0"/>
        <v>3.4723551809787701E-3</v>
      </c>
      <c r="D53">
        <v>1301.974976</v>
      </c>
      <c r="E53">
        <f t="shared" si="1"/>
        <v>1.5224785173702182E-2</v>
      </c>
      <c r="F53">
        <v>817.77502440000001</v>
      </c>
      <c r="G53">
        <f t="shared" si="2"/>
        <v>7.9550178981180331E-4</v>
      </c>
      <c r="H53">
        <v>335.62820429999999</v>
      </c>
      <c r="I53">
        <f t="shared" si="3"/>
        <v>-2.2773359399300697E-3</v>
      </c>
      <c r="J53">
        <v>479.375</v>
      </c>
      <c r="K53">
        <f t="shared" si="4"/>
        <v>-1.1037198478875743E-2</v>
      </c>
      <c r="L53">
        <v>317.4500122</v>
      </c>
      <c r="M53">
        <f t="shared" si="5"/>
        <v>-5.4824559308084275E-3</v>
      </c>
      <c r="N53">
        <v>512.79998780000005</v>
      </c>
      <c r="O53">
        <f t="shared" si="6"/>
        <v>-3.9817187475068572E-3</v>
      </c>
      <c r="P53">
        <v>175.75</v>
      </c>
      <c r="Q53">
        <f t="shared" si="7"/>
        <v>1.0057471264367734E-2</v>
      </c>
      <c r="R53">
        <v>478.14999390000003</v>
      </c>
      <c r="S53">
        <f t="shared" si="8"/>
        <v>-1.253276449086127E-3</v>
      </c>
      <c r="T53">
        <v>789.75</v>
      </c>
      <c r="U53">
        <f t="shared" si="9"/>
        <v>1.2954499177721068E-2</v>
      </c>
      <c r="W53">
        <f t="shared" si="10"/>
        <v>1.8472627040374339E-3</v>
      </c>
      <c r="X53">
        <v>-1.8701994813829191E-2</v>
      </c>
    </row>
    <row r="54" spans="1:24" x14ac:dyDescent="0.35">
      <c r="A54" s="1">
        <v>42892</v>
      </c>
      <c r="B54">
        <v>600.16796880000004</v>
      </c>
      <c r="C54">
        <f t="shared" si="0"/>
        <v>-1.2449690376071798E-2</v>
      </c>
      <c r="D54">
        <v>1348</v>
      </c>
      <c r="E54">
        <f t="shared" si="1"/>
        <v>3.5350160216904181E-2</v>
      </c>
      <c r="F54">
        <v>819.47497559999999</v>
      </c>
      <c r="G54">
        <f t="shared" si="2"/>
        <v>2.0787516728666411E-3</v>
      </c>
      <c r="H54">
        <v>332.56393430000003</v>
      </c>
      <c r="I54">
        <f t="shared" si="3"/>
        <v>-9.1299538022763249E-3</v>
      </c>
      <c r="J54">
        <v>489.6749878</v>
      </c>
      <c r="K54">
        <f t="shared" si="4"/>
        <v>2.1486284850065207E-2</v>
      </c>
      <c r="L54">
        <v>311.0499878</v>
      </c>
      <c r="M54">
        <f t="shared" si="5"/>
        <v>-2.0160731308990654E-2</v>
      </c>
      <c r="N54">
        <v>504.2999878</v>
      </c>
      <c r="O54">
        <f t="shared" si="6"/>
        <v>-1.6575663420872022E-2</v>
      </c>
      <c r="P54">
        <v>171.4499969</v>
      </c>
      <c r="Q54">
        <f t="shared" si="7"/>
        <v>-2.4466589473684186E-2</v>
      </c>
      <c r="R54">
        <v>461</v>
      </c>
      <c r="S54">
        <f t="shared" si="8"/>
        <v>-3.5867393325925145E-2</v>
      </c>
      <c r="T54">
        <v>775.34997559999999</v>
      </c>
      <c r="U54">
        <f t="shared" si="9"/>
        <v>-1.8233649129471341E-2</v>
      </c>
      <c r="W54">
        <f t="shared" si="10"/>
        <v>-7.7968474097455439E-3</v>
      </c>
      <c r="X54">
        <v>-1.8323495918859154E-2</v>
      </c>
    </row>
    <row r="55" spans="1:24" x14ac:dyDescent="0.35">
      <c r="A55" s="1">
        <v>42893</v>
      </c>
      <c r="B55">
        <v>612.14575200000002</v>
      </c>
      <c r="C55">
        <f t="shared" si="0"/>
        <v>1.9957384969992331E-2</v>
      </c>
      <c r="D55">
        <v>1307.625</v>
      </c>
      <c r="E55">
        <f t="shared" si="1"/>
        <v>-2.9951780415430229E-2</v>
      </c>
      <c r="F55">
        <v>820.40002440000001</v>
      </c>
      <c r="G55">
        <f t="shared" si="2"/>
        <v>1.1288310534713908E-3</v>
      </c>
      <c r="H55">
        <v>335.98870849999997</v>
      </c>
      <c r="I55">
        <f t="shared" si="3"/>
        <v>1.0298092627538225E-2</v>
      </c>
      <c r="J55">
        <v>480.64999390000003</v>
      </c>
      <c r="K55">
        <f t="shared" si="4"/>
        <v>-1.843057972094353E-2</v>
      </c>
      <c r="L55">
        <v>312.25</v>
      </c>
      <c r="M55">
        <f t="shared" si="5"/>
        <v>3.857940032364171E-3</v>
      </c>
      <c r="N55">
        <v>511.5499878</v>
      </c>
      <c r="O55">
        <f t="shared" si="6"/>
        <v>1.4376363623620048E-2</v>
      </c>
      <c r="P55">
        <v>172.0500031</v>
      </c>
      <c r="Q55">
        <f t="shared" si="7"/>
        <v>3.499598780103641E-3</v>
      </c>
      <c r="R55">
        <v>458</v>
      </c>
      <c r="S55">
        <f t="shared" si="8"/>
        <v>-6.5075921908893664E-3</v>
      </c>
      <c r="T55">
        <v>774.29998780000005</v>
      </c>
      <c r="U55">
        <f t="shared" si="9"/>
        <v>-1.3542114310217679E-3</v>
      </c>
      <c r="W55">
        <f t="shared" si="10"/>
        <v>-3.1259526711950879E-4</v>
      </c>
      <c r="X55">
        <v>-1.8221143096013304E-2</v>
      </c>
    </row>
    <row r="56" spans="1:24" x14ac:dyDescent="0.35">
      <c r="A56" s="1">
        <v>42894</v>
      </c>
      <c r="B56">
        <v>608.8084106</v>
      </c>
      <c r="C56">
        <f t="shared" si="0"/>
        <v>-5.4518738210569406E-3</v>
      </c>
      <c r="D56">
        <v>1260.8000489999999</v>
      </c>
      <c r="E56">
        <f t="shared" si="1"/>
        <v>-3.5809158589045098E-2</v>
      </c>
      <c r="F56">
        <v>822.375</v>
      </c>
      <c r="G56">
        <f t="shared" si="2"/>
        <v>2.4073324491236114E-3</v>
      </c>
      <c r="H56">
        <v>331.39230350000003</v>
      </c>
      <c r="I56">
        <f t="shared" si="3"/>
        <v>-1.3680236519019617E-2</v>
      </c>
      <c r="J56">
        <v>478.22500609999997</v>
      </c>
      <c r="K56">
        <f t="shared" si="4"/>
        <v>-5.0452259040381087E-3</v>
      </c>
      <c r="L56">
        <v>311.60000609999997</v>
      </c>
      <c r="M56">
        <f t="shared" si="5"/>
        <v>-2.081645796637388E-3</v>
      </c>
      <c r="N56">
        <v>528.84997559999999</v>
      </c>
      <c r="O56">
        <f t="shared" si="6"/>
        <v>3.3818762999880514E-2</v>
      </c>
      <c r="P56">
        <v>170.5500031</v>
      </c>
      <c r="Q56">
        <f t="shared" si="7"/>
        <v>-8.7183956580817457E-3</v>
      </c>
      <c r="R56">
        <v>460.7999878</v>
      </c>
      <c r="S56">
        <f t="shared" si="8"/>
        <v>6.1135104803493601E-3</v>
      </c>
      <c r="T56">
        <v>790.25</v>
      </c>
      <c r="U56">
        <f t="shared" si="9"/>
        <v>2.0599267017061829E-2</v>
      </c>
      <c r="W56">
        <f t="shared" si="10"/>
        <v>-7.8476633414635913E-4</v>
      </c>
      <c r="X56">
        <v>-1.7690702444394638E-2</v>
      </c>
    </row>
    <row r="57" spans="1:24" x14ac:dyDescent="0.35">
      <c r="A57" s="1">
        <v>42895</v>
      </c>
      <c r="B57">
        <v>610.63708499999996</v>
      </c>
      <c r="C57">
        <f t="shared" si="0"/>
        <v>3.0036943776741154E-3</v>
      </c>
      <c r="D57">
        <v>1253.5</v>
      </c>
      <c r="E57">
        <f t="shared" si="1"/>
        <v>-5.7900132584781661E-3</v>
      </c>
      <c r="F57">
        <v>833.40002440000001</v>
      </c>
      <c r="G57">
        <f t="shared" si="2"/>
        <v>1.3406322419820649E-2</v>
      </c>
      <c r="H57">
        <v>331.48242190000002</v>
      </c>
      <c r="I57">
        <f t="shared" si="3"/>
        <v>2.7193872352548887E-4</v>
      </c>
      <c r="J57">
        <v>474.2999878</v>
      </c>
      <c r="K57">
        <f t="shared" si="4"/>
        <v>-8.2074719011645536E-3</v>
      </c>
      <c r="L57">
        <v>306</v>
      </c>
      <c r="M57">
        <f t="shared" si="5"/>
        <v>-1.7971777889512652E-2</v>
      </c>
      <c r="N57">
        <v>524.70001219999995</v>
      </c>
      <c r="O57">
        <f t="shared" si="6"/>
        <v>-7.8471468118945786E-3</v>
      </c>
      <c r="P57">
        <v>169.1999969</v>
      </c>
      <c r="Q57">
        <f t="shared" si="7"/>
        <v>-7.9156034914196205E-3</v>
      </c>
      <c r="R57">
        <v>467.10000609999997</v>
      </c>
      <c r="S57">
        <f t="shared" si="8"/>
        <v>1.3671915075515129E-2</v>
      </c>
      <c r="T57">
        <v>802.34997559999999</v>
      </c>
      <c r="U57">
        <f t="shared" si="9"/>
        <v>1.5311579373616047E-2</v>
      </c>
      <c r="W57">
        <f t="shared" si="10"/>
        <v>-2.0665633823181402E-4</v>
      </c>
      <c r="X57">
        <v>-1.7668574722411366E-2</v>
      </c>
    </row>
    <row r="58" spans="1:24" x14ac:dyDescent="0.35">
      <c r="A58" s="1">
        <v>42898</v>
      </c>
      <c r="B58">
        <v>603.20812990000002</v>
      </c>
      <c r="C58">
        <f t="shared" si="0"/>
        <v>-1.2165908822913907E-2</v>
      </c>
      <c r="D58">
        <v>1243.599976</v>
      </c>
      <c r="E58">
        <f t="shared" si="1"/>
        <v>-7.8979050658157801E-3</v>
      </c>
      <c r="F58">
        <v>834.375</v>
      </c>
      <c r="G58">
        <f t="shared" si="2"/>
        <v>1.1698770955783644E-3</v>
      </c>
      <c r="H58">
        <v>329.13916019999999</v>
      </c>
      <c r="I58">
        <f t="shared" si="3"/>
        <v>-7.0690375874801203E-3</v>
      </c>
      <c r="J58">
        <v>481.9249878</v>
      </c>
      <c r="K58">
        <f t="shared" si="4"/>
        <v>1.6076323415836313E-2</v>
      </c>
      <c r="L58">
        <v>304.39999390000003</v>
      </c>
      <c r="M58">
        <f t="shared" si="5"/>
        <v>-5.2287781045751158E-3</v>
      </c>
      <c r="N58">
        <v>532.54998780000005</v>
      </c>
      <c r="O58">
        <f t="shared" si="6"/>
        <v>1.4960883204645281E-2</v>
      </c>
      <c r="P58">
        <v>168.5</v>
      </c>
      <c r="Q58">
        <f t="shared" si="7"/>
        <v>-4.1370975935284271E-3</v>
      </c>
      <c r="R58">
        <v>456.25</v>
      </c>
      <c r="S58">
        <f t="shared" si="8"/>
        <v>-2.3228443498836349E-2</v>
      </c>
      <c r="T58">
        <v>804.09997559999999</v>
      </c>
      <c r="U58">
        <f t="shared" si="9"/>
        <v>2.1810931055259442E-3</v>
      </c>
      <c r="W58">
        <f t="shared" si="10"/>
        <v>-2.5338993851563795E-3</v>
      </c>
      <c r="X58">
        <v>-1.7617859132333571E-2</v>
      </c>
    </row>
    <row r="59" spans="1:24" x14ac:dyDescent="0.35">
      <c r="A59" s="1">
        <v>42899</v>
      </c>
      <c r="B59">
        <v>600.87658690000001</v>
      </c>
      <c r="C59">
        <f t="shared" si="0"/>
        <v>-3.8652380238749506E-3</v>
      </c>
      <c r="D59">
        <v>1225.775024</v>
      </c>
      <c r="E59">
        <f t="shared" si="1"/>
        <v>-1.4333348620135355E-2</v>
      </c>
      <c r="F59">
        <v>838.34997559999999</v>
      </c>
      <c r="G59">
        <f t="shared" si="2"/>
        <v>4.7640157003745465E-3</v>
      </c>
      <c r="H59">
        <v>327.33663940000002</v>
      </c>
      <c r="I59">
        <f t="shared" si="3"/>
        <v>-5.4764701924397974E-3</v>
      </c>
      <c r="J59">
        <v>478.89999390000003</v>
      </c>
      <c r="K59">
        <f t="shared" si="4"/>
        <v>-6.2768978089497995E-3</v>
      </c>
      <c r="L59">
        <v>305.25</v>
      </c>
      <c r="M59">
        <f t="shared" si="5"/>
        <v>2.7923985447884103E-3</v>
      </c>
      <c r="N59">
        <v>537.20001219999995</v>
      </c>
      <c r="O59">
        <f t="shared" si="6"/>
        <v>8.7316205173704198E-3</v>
      </c>
      <c r="P59">
        <v>169.1000061</v>
      </c>
      <c r="Q59">
        <f t="shared" si="7"/>
        <v>3.560867062314621E-3</v>
      </c>
      <c r="R59">
        <v>449.5499878</v>
      </c>
      <c r="S59">
        <f t="shared" si="8"/>
        <v>-1.4684958246575341E-2</v>
      </c>
      <c r="T59">
        <v>798.65002440000001</v>
      </c>
      <c r="U59">
        <f t="shared" si="9"/>
        <v>-6.777703476403385E-3</v>
      </c>
      <c r="W59">
        <f t="shared" si="10"/>
        <v>-3.1565714543530638E-3</v>
      </c>
      <c r="X59">
        <v>-1.7592585535551809E-2</v>
      </c>
    </row>
    <row r="60" spans="1:24" x14ac:dyDescent="0.35">
      <c r="A60" s="1">
        <v>42900</v>
      </c>
      <c r="B60">
        <v>620.60333249999996</v>
      </c>
      <c r="C60">
        <f t="shared" si="0"/>
        <v>3.2829945499745383E-2</v>
      </c>
      <c r="D60">
        <v>1235.099976</v>
      </c>
      <c r="E60">
        <f t="shared" si="1"/>
        <v>7.6073927249475926E-3</v>
      </c>
      <c r="F60">
        <v>835.59997559999999</v>
      </c>
      <c r="G60">
        <f t="shared" si="2"/>
        <v>-3.2802529731474905E-3</v>
      </c>
      <c r="H60">
        <v>329.40951539999998</v>
      </c>
      <c r="I60">
        <f t="shared" si="3"/>
        <v>6.3325511125167377E-3</v>
      </c>
      <c r="J60">
        <v>479.2999878</v>
      </c>
      <c r="K60">
        <f t="shared" si="4"/>
        <v>8.3523471516988579E-4</v>
      </c>
      <c r="L60">
        <v>299.85000609999997</v>
      </c>
      <c r="M60">
        <f t="shared" si="5"/>
        <v>-1.7690397706797811E-2</v>
      </c>
      <c r="N60">
        <v>539.54998780000005</v>
      </c>
      <c r="O60">
        <f t="shared" si="6"/>
        <v>4.3744891039303457E-3</v>
      </c>
      <c r="P60">
        <v>169.5</v>
      </c>
      <c r="Q60">
        <f t="shared" si="7"/>
        <v>2.3654280636953295E-3</v>
      </c>
      <c r="R60">
        <v>451.9500122</v>
      </c>
      <c r="S60">
        <f t="shared" si="8"/>
        <v>5.3387264267210632E-3</v>
      </c>
      <c r="T60">
        <v>798.54998780000005</v>
      </c>
      <c r="U60">
        <f t="shared" si="9"/>
        <v>-1.2525711756550262E-4</v>
      </c>
      <c r="W60">
        <f t="shared" si="10"/>
        <v>3.858785984921554E-3</v>
      </c>
      <c r="X60">
        <v>-1.717838371570184E-2</v>
      </c>
    </row>
    <row r="61" spans="1:24" x14ac:dyDescent="0.35">
      <c r="A61" s="1">
        <v>42901</v>
      </c>
      <c r="B61">
        <v>632.69537349999996</v>
      </c>
      <c r="C61">
        <f t="shared" si="0"/>
        <v>1.9484331402619404E-2</v>
      </c>
      <c r="D61">
        <v>1205.599976</v>
      </c>
      <c r="E61">
        <f t="shared" si="1"/>
        <v>-2.3884706155965496E-2</v>
      </c>
      <c r="F61">
        <v>832.17498780000005</v>
      </c>
      <c r="G61">
        <f t="shared" si="2"/>
        <v>-4.0988366443412971E-3</v>
      </c>
      <c r="H61">
        <v>329.22927859999999</v>
      </c>
      <c r="I61">
        <f t="shared" si="3"/>
        <v>-5.4715116465631208E-4</v>
      </c>
      <c r="J61">
        <v>476.0499878</v>
      </c>
      <c r="K61">
        <f t="shared" si="4"/>
        <v>-6.7807220586789674E-3</v>
      </c>
      <c r="L61">
        <v>301.89999390000003</v>
      </c>
      <c r="M61">
        <f t="shared" si="5"/>
        <v>6.8367108830953427E-3</v>
      </c>
      <c r="N61">
        <v>544</v>
      </c>
      <c r="O61">
        <f t="shared" si="6"/>
        <v>8.2476365501271687E-3</v>
      </c>
      <c r="P61">
        <v>167.1499939</v>
      </c>
      <c r="Q61">
        <f t="shared" si="7"/>
        <v>-1.3864342772861415E-2</v>
      </c>
      <c r="R61">
        <v>448.2999878</v>
      </c>
      <c r="S61">
        <f t="shared" si="8"/>
        <v>-8.0761683847123678E-3</v>
      </c>
      <c r="T61">
        <v>797.95001219999995</v>
      </c>
      <c r="U61">
        <f t="shared" si="9"/>
        <v>-7.5133129943816268E-4</v>
      </c>
      <c r="W61">
        <f t="shared" si="10"/>
        <v>-2.3434579644812108E-3</v>
      </c>
      <c r="X61">
        <v>-1.7174516232584969E-2</v>
      </c>
    </row>
    <row r="62" spans="1:24" x14ac:dyDescent="0.35">
      <c r="A62" s="1">
        <v>42902</v>
      </c>
      <c r="B62">
        <v>634.91265869999995</v>
      </c>
      <c r="C62">
        <f t="shared" si="0"/>
        <v>3.5045067387393658E-3</v>
      </c>
      <c r="D62">
        <v>1199.849976</v>
      </c>
      <c r="E62">
        <f t="shared" si="1"/>
        <v>-4.769409517639156E-3</v>
      </c>
      <c r="F62">
        <v>834.625</v>
      </c>
      <c r="G62">
        <f t="shared" si="2"/>
        <v>2.94410699182035E-3</v>
      </c>
      <c r="H62">
        <v>328.82369999999997</v>
      </c>
      <c r="I62">
        <f t="shared" si="3"/>
        <v>-1.2319031944081349E-3</v>
      </c>
      <c r="J62">
        <v>470.125</v>
      </c>
      <c r="K62">
        <f t="shared" si="4"/>
        <v>-1.2446146312032336E-2</v>
      </c>
      <c r="L62">
        <v>306.7999878</v>
      </c>
      <c r="M62">
        <f t="shared" si="5"/>
        <v>1.6230520036456308E-2</v>
      </c>
      <c r="N62">
        <v>529.15002440000001</v>
      </c>
      <c r="O62">
        <f t="shared" si="6"/>
        <v>-2.7297749264705851E-2</v>
      </c>
      <c r="P62">
        <v>167.1499939</v>
      </c>
      <c r="Q62">
        <f t="shared" si="7"/>
        <v>0</v>
      </c>
      <c r="R62">
        <v>455.75</v>
      </c>
      <c r="S62">
        <f t="shared" si="8"/>
        <v>1.6618363601927477E-2</v>
      </c>
      <c r="T62">
        <v>800.09997559999999</v>
      </c>
      <c r="U62">
        <f t="shared" si="9"/>
        <v>2.6943585025740457E-3</v>
      </c>
      <c r="W62">
        <f t="shared" si="10"/>
        <v>-3.7533524172679274E-4</v>
      </c>
      <c r="X62">
        <v>-1.7144874659692069E-2</v>
      </c>
    </row>
    <row r="63" spans="1:24" x14ac:dyDescent="0.35">
      <c r="A63" s="1">
        <v>42905</v>
      </c>
      <c r="B63">
        <v>644.26171880000004</v>
      </c>
      <c r="C63">
        <f t="shared" si="0"/>
        <v>1.4724954640442212E-2</v>
      </c>
      <c r="D63">
        <v>1215.849976</v>
      </c>
      <c r="E63">
        <f t="shared" si="1"/>
        <v>1.3335000475092729E-2</v>
      </c>
      <c r="F63">
        <v>846.45001219999995</v>
      </c>
      <c r="G63">
        <f t="shared" si="2"/>
        <v>1.4168054156058041E-2</v>
      </c>
      <c r="H63">
        <v>331.21203609999998</v>
      </c>
      <c r="I63">
        <f t="shared" si="3"/>
        <v>7.2632723857799508E-3</v>
      </c>
      <c r="J63">
        <v>464.9249878</v>
      </c>
      <c r="K63">
        <f t="shared" si="4"/>
        <v>-1.1060914012230749E-2</v>
      </c>
      <c r="L63">
        <v>310.89999390000003</v>
      </c>
      <c r="M63">
        <f t="shared" si="5"/>
        <v>1.3363775303253167E-2</v>
      </c>
      <c r="N63">
        <v>524.84997559999999</v>
      </c>
      <c r="O63">
        <f t="shared" si="6"/>
        <v>-8.1263320451998577E-3</v>
      </c>
      <c r="P63">
        <v>166.0500031</v>
      </c>
      <c r="Q63">
        <f t="shared" si="7"/>
        <v>-6.5808605452781777E-3</v>
      </c>
      <c r="R63">
        <v>452.35000609999997</v>
      </c>
      <c r="S63">
        <f t="shared" si="8"/>
        <v>-7.460217004936931E-3</v>
      </c>
      <c r="T63">
        <v>796.40002440000001</v>
      </c>
      <c r="U63">
        <f t="shared" si="9"/>
        <v>-4.6243610959060266E-3</v>
      </c>
      <c r="W63">
        <f t="shared" si="10"/>
        <v>2.5002372257074373E-3</v>
      </c>
      <c r="X63">
        <v>-1.7006211994377067E-2</v>
      </c>
    </row>
    <row r="64" spans="1:24" x14ac:dyDescent="0.35">
      <c r="A64" s="1">
        <v>42906</v>
      </c>
      <c r="B64">
        <v>645.67889400000001</v>
      </c>
      <c r="C64">
        <f t="shared" si="0"/>
        <v>2.199688664786148E-3</v>
      </c>
      <c r="D64">
        <v>1222.5</v>
      </c>
      <c r="E64">
        <f t="shared" si="1"/>
        <v>5.4694445295608851E-3</v>
      </c>
      <c r="F64">
        <v>843.27502440000001</v>
      </c>
      <c r="G64">
        <f t="shared" si="2"/>
        <v>-3.7509454241105855E-3</v>
      </c>
      <c r="H64">
        <v>330.40090939999999</v>
      </c>
      <c r="I64">
        <f t="shared" si="3"/>
        <v>-2.4489650483446868E-3</v>
      </c>
      <c r="J64">
        <v>471.77499390000003</v>
      </c>
      <c r="K64">
        <f t="shared" si="4"/>
        <v>1.4733572683227614E-2</v>
      </c>
      <c r="L64">
        <v>308.7000122</v>
      </c>
      <c r="M64">
        <f t="shared" si="5"/>
        <v>-7.0761715765991218E-3</v>
      </c>
      <c r="N64">
        <v>523.79998780000005</v>
      </c>
      <c r="O64">
        <f t="shared" si="6"/>
        <v>-2.0005484401511842E-3</v>
      </c>
      <c r="P64">
        <v>169.1000061</v>
      </c>
      <c r="Q64">
        <f t="shared" si="7"/>
        <v>1.8367979181326488E-2</v>
      </c>
      <c r="R64">
        <v>467.39999390000003</v>
      </c>
      <c r="S64">
        <f t="shared" si="8"/>
        <v>3.3270670049848405E-2</v>
      </c>
      <c r="T64">
        <v>822.04998780000005</v>
      </c>
      <c r="U64">
        <f t="shared" si="9"/>
        <v>3.2207386506956093E-2</v>
      </c>
      <c r="W64">
        <f t="shared" si="10"/>
        <v>9.0972111126500048E-3</v>
      </c>
      <c r="X64">
        <v>-1.7001666977437744E-2</v>
      </c>
    </row>
    <row r="65" spans="1:24" x14ac:dyDescent="0.35">
      <c r="A65" s="1">
        <v>42907</v>
      </c>
      <c r="B65">
        <v>650.09057619999999</v>
      </c>
      <c r="C65">
        <f t="shared" si="0"/>
        <v>6.8326256921136252E-3</v>
      </c>
      <c r="D65">
        <v>1203.150024</v>
      </c>
      <c r="E65">
        <f t="shared" si="1"/>
        <v>-1.5828201226993799E-2</v>
      </c>
      <c r="F65">
        <v>849.34997559999999</v>
      </c>
      <c r="G65">
        <f t="shared" si="2"/>
        <v>7.203997538433482E-3</v>
      </c>
      <c r="H65">
        <v>331.03179929999999</v>
      </c>
      <c r="I65">
        <f t="shared" si="3"/>
        <v>1.909467807294174E-3</v>
      </c>
      <c r="J65">
        <v>471.6749878</v>
      </c>
      <c r="K65">
        <f t="shared" si="4"/>
        <v>-2.119783822650545E-4</v>
      </c>
      <c r="L65">
        <v>308.9500122</v>
      </c>
      <c r="M65">
        <f t="shared" si="5"/>
        <v>8.0984771661762878E-4</v>
      </c>
      <c r="N65">
        <v>528</v>
      </c>
      <c r="O65">
        <f t="shared" si="6"/>
        <v>8.0183510840470262E-3</v>
      </c>
      <c r="P65">
        <v>164.8000031</v>
      </c>
      <c r="Q65">
        <f t="shared" si="7"/>
        <v>-2.54287572139833E-2</v>
      </c>
      <c r="R65">
        <v>457.2999878</v>
      </c>
      <c r="S65">
        <f t="shared" si="8"/>
        <v>-2.1608913632465532E-2</v>
      </c>
      <c r="T65">
        <v>817.79998780000005</v>
      </c>
      <c r="U65">
        <f t="shared" si="9"/>
        <v>-5.1700019014342402E-3</v>
      </c>
      <c r="W65">
        <f t="shared" si="10"/>
        <v>-4.3473562518635987E-3</v>
      </c>
      <c r="X65">
        <v>-1.6932961836100945E-2</v>
      </c>
    </row>
    <row r="66" spans="1:24" x14ac:dyDescent="0.35">
      <c r="A66" s="1">
        <v>42908</v>
      </c>
      <c r="B66">
        <v>654.95941159999995</v>
      </c>
      <c r="C66">
        <f t="shared" si="0"/>
        <v>7.4894723570060329E-3</v>
      </c>
      <c r="D66">
        <v>1197.4250489999999</v>
      </c>
      <c r="E66">
        <f t="shared" si="1"/>
        <v>-4.7583218100821778E-3</v>
      </c>
      <c r="F66">
        <v>849</v>
      </c>
      <c r="G66">
        <f t="shared" si="2"/>
        <v>-4.1205110973574488E-4</v>
      </c>
      <c r="H66">
        <v>330.04040529999997</v>
      </c>
      <c r="I66">
        <f t="shared" si="3"/>
        <v>-2.9948603188467704E-3</v>
      </c>
      <c r="J66">
        <v>470.0750122</v>
      </c>
      <c r="K66">
        <f t="shared" si="4"/>
        <v>-3.3921145733477598E-3</v>
      </c>
      <c r="L66">
        <v>311.2999878</v>
      </c>
      <c r="M66">
        <f t="shared" si="5"/>
        <v>7.6063295264696684E-3</v>
      </c>
      <c r="N66">
        <v>538.70001219999995</v>
      </c>
      <c r="O66">
        <f t="shared" si="6"/>
        <v>2.0265174621211912E-2</v>
      </c>
      <c r="P66">
        <v>160.4499969</v>
      </c>
      <c r="Q66">
        <f t="shared" si="7"/>
        <v>-2.6395668192799926E-2</v>
      </c>
      <c r="R66">
        <v>452.7000122</v>
      </c>
      <c r="S66">
        <f t="shared" si="8"/>
        <v>-1.0058989115940609E-2</v>
      </c>
      <c r="T66">
        <v>803.90002440000001</v>
      </c>
      <c r="U66">
        <f t="shared" si="9"/>
        <v>-1.6996776237907407E-2</v>
      </c>
      <c r="W66">
        <f t="shared" si="10"/>
        <v>-2.9647804853972781E-3</v>
      </c>
      <c r="X66">
        <v>-1.6872850298187983E-2</v>
      </c>
    </row>
    <row r="67" spans="1:24" x14ac:dyDescent="0.35">
      <c r="A67" s="1">
        <v>42909</v>
      </c>
      <c r="B67">
        <v>656.42230219999999</v>
      </c>
      <c r="C67">
        <f t="shared" si="0"/>
        <v>2.2335591703710467E-3</v>
      </c>
      <c r="D67">
        <v>1180.849976</v>
      </c>
      <c r="E67">
        <f t="shared" si="1"/>
        <v>-1.3842263458445414E-2</v>
      </c>
      <c r="F67">
        <v>839.32501219999995</v>
      </c>
      <c r="G67">
        <f t="shared" si="2"/>
        <v>-1.1395745347467678E-2</v>
      </c>
      <c r="H67">
        <v>330.04040529999997</v>
      </c>
      <c r="I67">
        <f t="shared" si="3"/>
        <v>0</v>
      </c>
      <c r="J67">
        <v>471.625</v>
      </c>
      <c r="K67">
        <f t="shared" si="4"/>
        <v>3.2973201292829657E-3</v>
      </c>
      <c r="L67">
        <v>311</v>
      </c>
      <c r="M67">
        <f t="shared" si="5"/>
        <v>-9.6366145761861421E-4</v>
      </c>
      <c r="N67">
        <v>543.79998780000005</v>
      </c>
      <c r="O67">
        <f t="shared" si="6"/>
        <v>9.4671904297389808E-3</v>
      </c>
      <c r="P67">
        <v>158.1000061</v>
      </c>
      <c r="Q67">
        <f t="shared" si="7"/>
        <v>-1.4646250205069378E-2</v>
      </c>
      <c r="R67">
        <v>443.14999390000003</v>
      </c>
      <c r="S67">
        <f t="shared" si="8"/>
        <v>-2.1095688187834249E-2</v>
      </c>
      <c r="T67">
        <v>801.59997559999999</v>
      </c>
      <c r="U67">
        <f t="shared" si="9"/>
        <v>-2.8611129869248186E-3</v>
      </c>
      <c r="W67">
        <f t="shared" si="10"/>
        <v>-4.9806651913967158E-3</v>
      </c>
      <c r="X67">
        <v>-1.6818251570603782E-2</v>
      </c>
    </row>
    <row r="68" spans="1:24" x14ac:dyDescent="0.35">
      <c r="A68" s="1">
        <v>42913</v>
      </c>
      <c r="B68">
        <v>657.01660159999994</v>
      </c>
      <c r="C68">
        <f t="shared" ref="C68:C131" si="11">B68/B67 - 1</f>
        <v>9.0536137789376525E-4</v>
      </c>
      <c r="D68">
        <v>1171.4250489999999</v>
      </c>
      <c r="E68">
        <f t="shared" ref="E68:E131" si="12">D68/D67 - 1</f>
        <v>-7.9814770644497379E-3</v>
      </c>
      <c r="F68">
        <v>833.82501219999995</v>
      </c>
      <c r="G68">
        <f t="shared" ref="G68:G131" si="13">F68/F67 - 1</f>
        <v>-6.5528846633363669E-3</v>
      </c>
      <c r="H68">
        <v>334.77200319999997</v>
      </c>
      <c r="I68">
        <f t="shared" ref="I68:I131" si="14">H68/H67 - 1</f>
        <v>1.4336420098924219E-2</v>
      </c>
      <c r="J68">
        <v>463.52499390000003</v>
      </c>
      <c r="K68">
        <f t="shared" ref="K68:K131" si="15">J68/J67 -1</f>
        <v>-1.717467500662595E-2</v>
      </c>
      <c r="L68">
        <v>312.35000609999997</v>
      </c>
      <c r="M68">
        <f t="shared" ref="M68:M131" si="16">L68/L67 -1</f>
        <v>4.3408556270094767E-3</v>
      </c>
      <c r="N68">
        <v>544.04998780000005</v>
      </c>
      <c r="O68">
        <f t="shared" ref="O68:O131" si="17">N68/N67-1</f>
        <v>4.5972785143200134E-4</v>
      </c>
      <c r="P68">
        <v>159.9499969</v>
      </c>
      <c r="Q68">
        <f t="shared" ref="Q68:Q131" si="18">P68/P67 -1</f>
        <v>1.1701396132963282E-2</v>
      </c>
      <c r="R68">
        <v>442.2999878</v>
      </c>
      <c r="S68">
        <f t="shared" ref="S68:S131" si="19">R68/R67 - 1</f>
        <v>-1.9181002182114826E-3</v>
      </c>
      <c r="T68">
        <v>804.59997559999999</v>
      </c>
      <c r="U68">
        <f t="shared" ref="U68:U131" si="20">T68/T67 - 1</f>
        <v>3.7425150839787147E-3</v>
      </c>
      <c r="W68">
        <f t="shared" ref="W68:W131" si="21">0.1*C68+0.1*E68+0.1*G68+0.1*I68+0.1*K68+0.1*M68+0.1*O68+0.1*Q68+0.1*S68+0.1*U68</f>
        <v>1.859139219577921E-4</v>
      </c>
      <c r="X68">
        <v>-1.6594692570195812E-2</v>
      </c>
    </row>
    <row r="69" spans="1:24" x14ac:dyDescent="0.35">
      <c r="A69" s="1">
        <v>42914</v>
      </c>
      <c r="B69">
        <v>639.34716800000001</v>
      </c>
      <c r="C69">
        <f t="shared" si="11"/>
        <v>-2.6893435503715479E-2</v>
      </c>
      <c r="D69">
        <v>1175.025024</v>
      </c>
      <c r="E69">
        <f t="shared" si="12"/>
        <v>3.0731586310821513E-3</v>
      </c>
      <c r="F69">
        <v>833.22497559999999</v>
      </c>
      <c r="G69">
        <f t="shared" si="13"/>
        <v>-7.1961933405761958E-4</v>
      </c>
      <c r="H69">
        <v>339.95425419999998</v>
      </c>
      <c r="I69">
        <f t="shared" si="14"/>
        <v>1.5479941424205723E-2</v>
      </c>
      <c r="J69">
        <v>462.35000609999997</v>
      </c>
      <c r="K69">
        <f t="shared" si="15"/>
        <v>-2.5348963172707739E-3</v>
      </c>
      <c r="L69">
        <v>308.35000609999997</v>
      </c>
      <c r="M69">
        <f t="shared" si="16"/>
        <v>-1.2806146700440224E-2</v>
      </c>
      <c r="N69">
        <v>545.45001219999995</v>
      </c>
      <c r="O69">
        <f t="shared" si="17"/>
        <v>2.5733378023979903E-3</v>
      </c>
      <c r="P69">
        <v>158.1000061</v>
      </c>
      <c r="Q69">
        <f t="shared" si="18"/>
        <v>-1.1566057116941364E-2</v>
      </c>
      <c r="R69">
        <v>442.5</v>
      </c>
      <c r="S69">
        <f t="shared" si="19"/>
        <v>4.5220937263601435E-4</v>
      </c>
      <c r="T69">
        <v>818.04998780000005</v>
      </c>
      <c r="U69">
        <f t="shared" si="20"/>
        <v>1.6716396480089601E-2</v>
      </c>
      <c r="W69">
        <f t="shared" si="21"/>
        <v>-1.6225111262013988E-3</v>
      </c>
      <c r="X69">
        <v>-1.641227746060079E-2</v>
      </c>
    </row>
    <row r="70" spans="1:24" x14ac:dyDescent="0.35">
      <c r="A70" s="1">
        <v>42915</v>
      </c>
      <c r="B70">
        <v>636.69555660000003</v>
      </c>
      <c r="C70">
        <f t="shared" si="11"/>
        <v>-4.1473733406761637E-3</v>
      </c>
      <c r="D70">
        <v>1166.625</v>
      </c>
      <c r="E70">
        <f t="shared" si="12"/>
        <v>-7.1488043475064211E-3</v>
      </c>
      <c r="F70">
        <v>831.52502440000001</v>
      </c>
      <c r="G70">
        <f t="shared" si="13"/>
        <v>-2.0402067266116486E-3</v>
      </c>
      <c r="H70">
        <v>344.68585209999998</v>
      </c>
      <c r="I70">
        <f t="shared" si="14"/>
        <v>1.3918337074894538E-2</v>
      </c>
      <c r="J70">
        <v>465.10000609999997</v>
      </c>
      <c r="K70">
        <f t="shared" si="15"/>
        <v>5.9478749080090765E-3</v>
      </c>
      <c r="L70">
        <v>311.60000609999997</v>
      </c>
      <c r="M70">
        <f t="shared" si="16"/>
        <v>1.0539970603879345E-2</v>
      </c>
      <c r="N70">
        <v>536.90002440000001</v>
      </c>
      <c r="O70">
        <f t="shared" si="17"/>
        <v>-1.567510790863258E-2</v>
      </c>
      <c r="P70">
        <v>157.8500061</v>
      </c>
      <c r="Q70">
        <f t="shared" si="18"/>
        <v>-1.5812776113485194E-3</v>
      </c>
      <c r="R70">
        <v>435.60000609999997</v>
      </c>
      <c r="S70">
        <f t="shared" si="19"/>
        <v>-1.5593206553672356E-2</v>
      </c>
      <c r="T70">
        <v>815.5</v>
      </c>
      <c r="U70">
        <f t="shared" si="20"/>
        <v>-3.1171540101819772E-3</v>
      </c>
      <c r="W70">
        <f t="shared" si="21"/>
        <v>-1.8896947911846704E-3</v>
      </c>
      <c r="X70">
        <v>-1.6327912719179119E-2</v>
      </c>
    </row>
    <row r="71" spans="1:24" x14ac:dyDescent="0.35">
      <c r="A71" s="1">
        <v>42916</v>
      </c>
      <c r="B71">
        <v>630.88958739999998</v>
      </c>
      <c r="C71">
        <f t="shared" si="11"/>
        <v>-9.1189095633151807E-3</v>
      </c>
      <c r="D71">
        <v>1181.1750489999999</v>
      </c>
      <c r="E71">
        <f t="shared" si="12"/>
        <v>1.2471915996999927E-2</v>
      </c>
      <c r="F71">
        <v>826.02502440000001</v>
      </c>
      <c r="G71">
        <f t="shared" si="13"/>
        <v>-6.6143529522381117E-3</v>
      </c>
      <c r="H71">
        <v>342.20739750000001</v>
      </c>
      <c r="I71">
        <f t="shared" si="14"/>
        <v>-7.1904738326217243E-3</v>
      </c>
      <c r="J71">
        <v>467.77499390000003</v>
      </c>
      <c r="K71">
        <f t="shared" si="15"/>
        <v>5.7514249944450313E-3</v>
      </c>
      <c r="L71">
        <v>323.64999390000003</v>
      </c>
      <c r="M71">
        <f t="shared" si="16"/>
        <v>3.8671333646036254E-2</v>
      </c>
      <c r="N71">
        <v>555.70001219999995</v>
      </c>
      <c r="O71">
        <f t="shared" si="17"/>
        <v>3.5015807311630232E-2</v>
      </c>
      <c r="P71">
        <v>157.3000031</v>
      </c>
      <c r="Q71">
        <f t="shared" si="18"/>
        <v>-3.4843394282263462E-3</v>
      </c>
      <c r="R71">
        <v>432.5499878</v>
      </c>
      <c r="S71">
        <f t="shared" si="19"/>
        <v>-7.0018784602583484E-3</v>
      </c>
      <c r="T71">
        <v>815.09997559999999</v>
      </c>
      <c r="U71">
        <f t="shared" si="20"/>
        <v>-4.9052654812997698E-4</v>
      </c>
      <c r="W71">
        <f t="shared" si="21"/>
        <v>5.8010001164321753E-3</v>
      </c>
      <c r="X71">
        <v>-1.6230688457861756E-2</v>
      </c>
    </row>
    <row r="72" spans="1:24" x14ac:dyDescent="0.35">
      <c r="A72" s="1">
        <v>42919</v>
      </c>
      <c r="B72">
        <v>631.36956789999999</v>
      </c>
      <c r="C72">
        <f t="shared" si="11"/>
        <v>7.6079952750229829E-4</v>
      </c>
      <c r="D72">
        <v>1186.8000489999999</v>
      </c>
      <c r="E72">
        <f t="shared" si="12"/>
        <v>4.7622069267059253E-3</v>
      </c>
      <c r="F72">
        <v>829.29998780000005</v>
      </c>
      <c r="G72">
        <f t="shared" si="13"/>
        <v>3.9647266163380657E-3</v>
      </c>
      <c r="H72">
        <v>344.3253479</v>
      </c>
      <c r="I72">
        <f t="shared" si="14"/>
        <v>6.1890842087946041E-3</v>
      </c>
      <c r="J72">
        <v>475.9500122</v>
      </c>
      <c r="K72">
        <f t="shared" si="15"/>
        <v>1.7476390158956745E-2</v>
      </c>
      <c r="L72">
        <v>342.5</v>
      </c>
      <c r="M72">
        <f t="shared" si="16"/>
        <v>5.824194795388804E-2</v>
      </c>
      <c r="N72">
        <v>552</v>
      </c>
      <c r="O72">
        <f t="shared" si="17"/>
        <v>-6.6582906582126622E-3</v>
      </c>
      <c r="P72">
        <v>159.1000061</v>
      </c>
      <c r="Q72">
        <f t="shared" si="18"/>
        <v>1.1443121198514428E-2</v>
      </c>
      <c r="R72">
        <v>430.25</v>
      </c>
      <c r="S72">
        <f t="shared" si="19"/>
        <v>-5.3172763030188142E-3</v>
      </c>
      <c r="T72">
        <v>840.04998780000005</v>
      </c>
      <c r="U72">
        <f t="shared" si="20"/>
        <v>3.0609757019848027E-2</v>
      </c>
      <c r="W72">
        <f t="shared" si="21"/>
        <v>1.2147246664931666E-2</v>
      </c>
      <c r="X72">
        <v>-1.6201236189285529E-2</v>
      </c>
    </row>
    <row r="73" spans="1:24" x14ac:dyDescent="0.35">
      <c r="A73" s="1">
        <v>42920</v>
      </c>
      <c r="B73">
        <v>650.06768799999998</v>
      </c>
      <c r="C73">
        <f t="shared" si="11"/>
        <v>2.9615174773456099E-2</v>
      </c>
      <c r="D73">
        <v>1183.4250489999999</v>
      </c>
      <c r="E73">
        <f t="shared" si="12"/>
        <v>-2.8437814801607342E-3</v>
      </c>
      <c r="F73">
        <v>826.67498780000005</v>
      </c>
      <c r="G73">
        <f t="shared" si="13"/>
        <v>-3.165320196089394E-3</v>
      </c>
      <c r="H73">
        <v>341.84689329999998</v>
      </c>
      <c r="I73">
        <f t="shared" si="14"/>
        <v>-7.1980021660206228E-3</v>
      </c>
      <c r="J73">
        <v>481.0750122</v>
      </c>
      <c r="K73">
        <f t="shared" si="15"/>
        <v>1.0767937532579319E-2</v>
      </c>
      <c r="L73">
        <v>337.25</v>
      </c>
      <c r="M73">
        <f t="shared" si="16"/>
        <v>-1.532846715328462E-2</v>
      </c>
      <c r="N73">
        <v>552.45001219999995</v>
      </c>
      <c r="O73">
        <f t="shared" si="17"/>
        <v>8.1523949275341678E-4</v>
      </c>
      <c r="P73">
        <v>159.8999939</v>
      </c>
      <c r="Q73">
        <f t="shared" si="18"/>
        <v>5.0282072239342668E-3</v>
      </c>
      <c r="R73">
        <v>426.89999390000003</v>
      </c>
      <c r="S73">
        <f t="shared" si="19"/>
        <v>-7.7861850087157514E-3</v>
      </c>
      <c r="T73">
        <v>836.20001219999995</v>
      </c>
      <c r="U73">
        <f t="shared" si="20"/>
        <v>-4.5830315527802812E-3</v>
      </c>
      <c r="W73">
        <f t="shared" si="21"/>
        <v>5.3217714656716996E-4</v>
      </c>
      <c r="X73">
        <v>-1.6055802520747609E-2</v>
      </c>
    </row>
    <row r="74" spans="1:24" x14ac:dyDescent="0.35">
      <c r="A74" s="1">
        <v>42921</v>
      </c>
      <c r="B74">
        <v>659.53106690000004</v>
      </c>
      <c r="C74">
        <f t="shared" si="11"/>
        <v>1.4557528507708417E-2</v>
      </c>
      <c r="D74">
        <v>1178</v>
      </c>
      <c r="E74">
        <f t="shared" si="12"/>
        <v>-4.5841931473261655E-3</v>
      </c>
      <c r="F74">
        <v>824.375</v>
      </c>
      <c r="G74">
        <f t="shared" si="13"/>
        <v>-2.7822153009865458E-3</v>
      </c>
      <c r="H74">
        <v>339.14309689999999</v>
      </c>
      <c r="I74">
        <f t="shared" si="14"/>
        <v>-7.909378300615888E-3</v>
      </c>
      <c r="J74">
        <v>475.4500122</v>
      </c>
      <c r="K74">
        <f t="shared" si="15"/>
        <v>-1.1692563233073328E-2</v>
      </c>
      <c r="L74">
        <v>331.0499878</v>
      </c>
      <c r="M74">
        <f t="shared" si="16"/>
        <v>-1.8384024314306857E-2</v>
      </c>
      <c r="N74">
        <v>550.65002440000001</v>
      </c>
      <c r="O74">
        <f t="shared" si="17"/>
        <v>-3.2581912575798677E-3</v>
      </c>
      <c r="P74">
        <v>162.8000031</v>
      </c>
      <c r="Q74">
        <f t="shared" si="18"/>
        <v>1.8136393437348408E-2</v>
      </c>
      <c r="R74">
        <v>431.75</v>
      </c>
      <c r="S74">
        <f t="shared" si="19"/>
        <v>1.1360988918486692E-2</v>
      </c>
      <c r="T74">
        <v>846.04998780000005</v>
      </c>
      <c r="U74">
        <f t="shared" si="20"/>
        <v>1.1779449242155904E-2</v>
      </c>
      <c r="W74">
        <f t="shared" si="21"/>
        <v>7.2237945518107728E-4</v>
      </c>
      <c r="X74">
        <v>-1.5801719967028616E-2</v>
      </c>
    </row>
    <row r="75" spans="1:24" x14ac:dyDescent="0.35">
      <c r="A75" s="1">
        <v>42922</v>
      </c>
      <c r="B75">
        <v>659.48535159999994</v>
      </c>
      <c r="C75">
        <f t="shared" si="11"/>
        <v>-6.9314854590496466E-5</v>
      </c>
      <c r="D75">
        <v>1173.775024</v>
      </c>
      <c r="E75">
        <f t="shared" si="12"/>
        <v>-3.5865670628183466E-3</v>
      </c>
      <c r="F75">
        <v>829.07501219999995</v>
      </c>
      <c r="G75">
        <f t="shared" si="13"/>
        <v>5.7013036542834516E-3</v>
      </c>
      <c r="H75">
        <v>343.6493835</v>
      </c>
      <c r="I75">
        <f t="shared" si="14"/>
        <v>1.3287272072439515E-2</v>
      </c>
      <c r="J75">
        <v>473.5</v>
      </c>
      <c r="K75">
        <f t="shared" si="15"/>
        <v>-4.1014031968932274E-3</v>
      </c>
      <c r="L75">
        <v>337.10000609999997</v>
      </c>
      <c r="M75">
        <f t="shared" si="16"/>
        <v>1.8275240969514828E-2</v>
      </c>
      <c r="N75">
        <v>545.59997559999999</v>
      </c>
      <c r="O75">
        <f t="shared" si="17"/>
        <v>-9.1710679673584483E-3</v>
      </c>
      <c r="P75">
        <v>161.6999969</v>
      </c>
      <c r="Q75">
        <f t="shared" si="18"/>
        <v>-6.7567947116334848E-3</v>
      </c>
      <c r="R75">
        <v>437.10000609999997</v>
      </c>
      <c r="S75">
        <f t="shared" si="19"/>
        <v>1.2391444354371783E-2</v>
      </c>
      <c r="T75">
        <v>880.29998780000005</v>
      </c>
      <c r="U75">
        <f t="shared" si="20"/>
        <v>4.0482241586056844E-2</v>
      </c>
      <c r="W75">
        <f t="shared" si="21"/>
        <v>6.6452354843372424E-3</v>
      </c>
      <c r="X75">
        <v>-1.5766289882815077E-2</v>
      </c>
    </row>
    <row r="76" spans="1:24" x14ac:dyDescent="0.35">
      <c r="A76" s="1">
        <v>42923</v>
      </c>
      <c r="B76">
        <v>681.70361330000003</v>
      </c>
      <c r="C76">
        <f t="shared" si="11"/>
        <v>3.3690303577017522E-2</v>
      </c>
      <c r="D76">
        <v>1165.974976</v>
      </c>
      <c r="E76">
        <f t="shared" si="12"/>
        <v>-6.6452666316062503E-3</v>
      </c>
      <c r="F76">
        <v>833.59997559999999</v>
      </c>
      <c r="G76">
        <f t="shared" si="13"/>
        <v>5.457845591067656E-3</v>
      </c>
      <c r="H76">
        <v>347.79516599999999</v>
      </c>
      <c r="I76">
        <f t="shared" si="14"/>
        <v>1.2063989342206982E-2</v>
      </c>
      <c r="J76">
        <v>467.7000122</v>
      </c>
      <c r="K76">
        <f t="shared" si="15"/>
        <v>-1.2249182259767677E-2</v>
      </c>
      <c r="L76">
        <v>334.2999878</v>
      </c>
      <c r="M76">
        <f t="shared" si="16"/>
        <v>-8.306194747351503E-3</v>
      </c>
      <c r="N76">
        <v>549</v>
      </c>
      <c r="O76">
        <f t="shared" si="17"/>
        <v>6.2317165543510633E-3</v>
      </c>
      <c r="P76">
        <v>159.6000061</v>
      </c>
      <c r="Q76">
        <f t="shared" si="18"/>
        <v>-1.2986956340504396E-2</v>
      </c>
      <c r="R76">
        <v>436.85000609999997</v>
      </c>
      <c r="S76">
        <f t="shared" si="19"/>
        <v>-5.7195149053101968E-4</v>
      </c>
      <c r="T76">
        <v>895.45001219999995</v>
      </c>
      <c r="U76">
        <f t="shared" si="20"/>
        <v>1.7210069987461996E-2</v>
      </c>
      <c r="W76">
        <f t="shared" si="21"/>
        <v>3.3894373582344373E-3</v>
      </c>
      <c r="X76">
        <v>-1.5739499472273932E-2</v>
      </c>
    </row>
    <row r="77" spans="1:24" x14ac:dyDescent="0.35">
      <c r="A77" s="1">
        <v>42926</v>
      </c>
      <c r="B77">
        <v>682.48077390000003</v>
      </c>
      <c r="C77">
        <f t="shared" si="11"/>
        <v>1.1400271097843362E-3</v>
      </c>
      <c r="D77">
        <v>1217.474976</v>
      </c>
      <c r="E77">
        <f t="shared" si="12"/>
        <v>4.4169043984696899E-2</v>
      </c>
      <c r="F77">
        <v>838.17498780000005</v>
      </c>
      <c r="G77">
        <f t="shared" si="13"/>
        <v>5.4882585579576482E-3</v>
      </c>
      <c r="H77">
        <v>365.64007570000001</v>
      </c>
      <c r="I77">
        <f t="shared" si="14"/>
        <v>5.1308676613406545E-2</v>
      </c>
      <c r="J77">
        <v>478.52499390000003</v>
      </c>
      <c r="K77">
        <f t="shared" si="15"/>
        <v>2.3145138801858645E-2</v>
      </c>
      <c r="L77">
        <v>333.2999878</v>
      </c>
      <c r="M77">
        <f t="shared" si="16"/>
        <v>-2.9913252662104872E-3</v>
      </c>
      <c r="N77">
        <v>563.70001219999995</v>
      </c>
      <c r="O77">
        <f t="shared" si="17"/>
        <v>2.6775978506375031E-2</v>
      </c>
      <c r="P77">
        <v>162.3999939</v>
      </c>
      <c r="Q77">
        <f t="shared" si="18"/>
        <v>1.7543782537486896E-2</v>
      </c>
      <c r="R77">
        <v>446.9500122</v>
      </c>
      <c r="S77">
        <f t="shared" si="19"/>
        <v>2.3120077735990785E-2</v>
      </c>
      <c r="T77">
        <v>934.59997559999999</v>
      </c>
      <c r="U77">
        <f t="shared" si="20"/>
        <v>4.372099264794671E-2</v>
      </c>
      <c r="W77">
        <f t="shared" si="21"/>
        <v>2.3342065122929301E-2</v>
      </c>
      <c r="X77">
        <v>-1.5659434579036437E-2</v>
      </c>
    </row>
    <row r="78" spans="1:24" x14ac:dyDescent="0.35">
      <c r="A78" s="1">
        <v>42927</v>
      </c>
      <c r="B78">
        <v>683.16656490000003</v>
      </c>
      <c r="C78">
        <f t="shared" si="11"/>
        <v>1.0048502847648244E-3</v>
      </c>
      <c r="D78">
        <v>1237.900024</v>
      </c>
      <c r="E78">
        <f t="shared" si="12"/>
        <v>1.6776564941898275E-2</v>
      </c>
      <c r="F78">
        <v>840.20001219999995</v>
      </c>
      <c r="G78">
        <f t="shared" si="13"/>
        <v>2.4159923995288324E-3</v>
      </c>
      <c r="H78">
        <v>356.4021912</v>
      </c>
      <c r="I78">
        <f t="shared" si="14"/>
        <v>-2.5264967146488293E-2</v>
      </c>
      <c r="J78">
        <v>487.6749878</v>
      </c>
      <c r="K78">
        <f t="shared" si="15"/>
        <v>1.9121245528738395E-2</v>
      </c>
      <c r="L78">
        <v>330.39999390000003</v>
      </c>
      <c r="M78">
        <f t="shared" si="16"/>
        <v>-8.7008521036614495E-3</v>
      </c>
      <c r="N78">
        <v>563.79998780000005</v>
      </c>
      <c r="O78">
        <f t="shared" si="17"/>
        <v>1.7735603660873345E-4</v>
      </c>
      <c r="P78">
        <v>160.25</v>
      </c>
      <c r="Q78">
        <f t="shared" si="18"/>
        <v>-1.3238879191854402E-2</v>
      </c>
      <c r="R78">
        <v>456.9500122</v>
      </c>
      <c r="S78">
        <f t="shared" si="19"/>
        <v>2.2373866712247059E-2</v>
      </c>
      <c r="T78">
        <v>913.95001219999995</v>
      </c>
      <c r="U78">
        <f t="shared" si="20"/>
        <v>-2.2094975325398503E-2</v>
      </c>
      <c r="W78">
        <f t="shared" si="21"/>
        <v>-7.4297978636165239E-4</v>
      </c>
      <c r="X78">
        <v>-1.564377320592647E-2</v>
      </c>
    </row>
    <row r="79" spans="1:24" x14ac:dyDescent="0.35">
      <c r="A79" s="1">
        <v>42928</v>
      </c>
      <c r="B79">
        <v>690.82409670000004</v>
      </c>
      <c r="C79">
        <f t="shared" si="11"/>
        <v>1.1208879639946767E-2</v>
      </c>
      <c r="D79">
        <v>1219.724976</v>
      </c>
      <c r="E79">
        <f t="shared" si="12"/>
        <v>-1.4682161440849995E-2</v>
      </c>
      <c r="F79">
        <v>840.625</v>
      </c>
      <c r="G79">
        <f t="shared" si="13"/>
        <v>5.0581741707822481E-4</v>
      </c>
      <c r="H79">
        <v>357.88925169999999</v>
      </c>
      <c r="I79">
        <f t="shared" si="14"/>
        <v>4.1724224393600018E-3</v>
      </c>
      <c r="J79">
        <v>486.1749878</v>
      </c>
      <c r="K79">
        <f t="shared" si="15"/>
        <v>-3.0758190137386565E-3</v>
      </c>
      <c r="L79">
        <v>328.85000609999997</v>
      </c>
      <c r="M79">
        <f t="shared" si="16"/>
        <v>-4.6912464546509103E-3</v>
      </c>
      <c r="N79">
        <v>562.40002440000001</v>
      </c>
      <c r="O79">
        <f t="shared" si="17"/>
        <v>-2.4830851903044904E-3</v>
      </c>
      <c r="P79">
        <v>162.8500061</v>
      </c>
      <c r="Q79">
        <f t="shared" si="18"/>
        <v>1.6224687051482167E-2</v>
      </c>
      <c r="R79">
        <v>461</v>
      </c>
      <c r="S79">
        <f t="shared" si="19"/>
        <v>8.8630871908750297E-3</v>
      </c>
      <c r="T79">
        <v>910.29998780000005</v>
      </c>
      <c r="U79">
        <f t="shared" si="20"/>
        <v>-3.9936805637912354E-3</v>
      </c>
      <c r="W79">
        <f t="shared" si="21"/>
        <v>1.2048901075406905E-3</v>
      </c>
      <c r="X79">
        <v>-1.5638948658554575E-2</v>
      </c>
    </row>
    <row r="80" spans="1:24" x14ac:dyDescent="0.35">
      <c r="A80" s="1">
        <v>42929</v>
      </c>
      <c r="B80">
        <v>695.85290529999997</v>
      </c>
      <c r="C80">
        <f t="shared" si="11"/>
        <v>7.2794342641231413E-3</v>
      </c>
      <c r="D80">
        <v>1223.1999510000001</v>
      </c>
      <c r="E80">
        <f t="shared" si="12"/>
        <v>2.8489824086377347E-3</v>
      </c>
      <c r="F80">
        <v>841.77502440000001</v>
      </c>
      <c r="G80">
        <f t="shared" si="13"/>
        <v>1.3680587657993737E-3</v>
      </c>
      <c r="H80">
        <v>363.34185789999998</v>
      </c>
      <c r="I80">
        <f t="shared" si="14"/>
        <v>1.5235456706508277E-2</v>
      </c>
      <c r="J80">
        <v>488.52499390000003</v>
      </c>
      <c r="K80">
        <f t="shared" si="15"/>
        <v>4.8336631027319221E-3</v>
      </c>
      <c r="L80">
        <v>338.75</v>
      </c>
      <c r="M80">
        <f t="shared" si="16"/>
        <v>3.0104891945750945E-2</v>
      </c>
      <c r="N80">
        <v>569.29998780000005</v>
      </c>
      <c r="O80">
        <f t="shared" si="17"/>
        <v>1.2268782184640337E-2</v>
      </c>
      <c r="P80">
        <v>158.8999939</v>
      </c>
      <c r="Q80">
        <f t="shared" si="18"/>
        <v>-2.4255523807438228E-2</v>
      </c>
      <c r="R80">
        <v>459.0499878</v>
      </c>
      <c r="S80">
        <f t="shared" si="19"/>
        <v>-4.2299613882863518E-3</v>
      </c>
      <c r="T80">
        <v>915.15002440000001</v>
      </c>
      <c r="U80">
        <f t="shared" si="20"/>
        <v>5.3279541524782204E-3</v>
      </c>
      <c r="W80">
        <f t="shared" si="21"/>
        <v>5.0781738334945373E-3</v>
      </c>
      <c r="X80">
        <v>-1.5565399982417572E-2</v>
      </c>
    </row>
    <row r="81" spans="1:24" x14ac:dyDescent="0.35">
      <c r="A81" s="1">
        <v>42930</v>
      </c>
      <c r="B81">
        <v>701.17889400000001</v>
      </c>
      <c r="C81">
        <f t="shared" si="11"/>
        <v>7.6539002128672706E-3</v>
      </c>
      <c r="D81">
        <v>1198.724976</v>
      </c>
      <c r="E81">
        <f t="shared" si="12"/>
        <v>-2.0008973169097222E-2</v>
      </c>
      <c r="F81">
        <v>839.97497559999999</v>
      </c>
      <c r="G81">
        <f t="shared" si="13"/>
        <v>-2.1383965404331295E-3</v>
      </c>
      <c r="H81">
        <v>366.81170650000001</v>
      </c>
      <c r="I81">
        <f t="shared" si="14"/>
        <v>9.5498179594684096E-3</v>
      </c>
      <c r="J81">
        <v>486.02499390000003</v>
      </c>
      <c r="K81">
        <f t="shared" si="15"/>
        <v>-5.1174454351700094E-3</v>
      </c>
      <c r="L81">
        <v>337.14999390000003</v>
      </c>
      <c r="M81">
        <f t="shared" si="16"/>
        <v>-4.7232652398523367E-3</v>
      </c>
      <c r="N81">
        <v>572.54998780000005</v>
      </c>
      <c r="O81">
        <f t="shared" si="17"/>
        <v>5.708765272522287E-3</v>
      </c>
      <c r="P81">
        <v>158.3500061</v>
      </c>
      <c r="Q81">
        <f t="shared" si="18"/>
        <v>-3.4612197678630663E-3</v>
      </c>
      <c r="R81">
        <v>451.2999878</v>
      </c>
      <c r="S81">
        <f t="shared" si="19"/>
        <v>-1.6882692965839996E-2</v>
      </c>
      <c r="T81">
        <v>891.34997559999999</v>
      </c>
      <c r="U81">
        <f t="shared" si="20"/>
        <v>-2.6006718205142443E-2</v>
      </c>
      <c r="W81">
        <f t="shared" si="21"/>
        <v>-5.5426227878540239E-3</v>
      </c>
      <c r="X81">
        <v>-1.5545121793619898E-2</v>
      </c>
    </row>
    <row r="82" spans="1:24" x14ac:dyDescent="0.35">
      <c r="A82" s="1">
        <v>42933</v>
      </c>
      <c r="B82">
        <v>709.40789789999997</v>
      </c>
      <c r="C82">
        <f t="shared" si="11"/>
        <v>1.1735954933064452E-2</v>
      </c>
      <c r="D82">
        <v>1197.724976</v>
      </c>
      <c r="E82">
        <f t="shared" si="12"/>
        <v>-8.3421970845798388E-4</v>
      </c>
      <c r="F82">
        <v>841.17498780000005</v>
      </c>
      <c r="G82">
        <f t="shared" si="13"/>
        <v>1.4286285125850728E-3</v>
      </c>
      <c r="H82">
        <v>368.11853029999997</v>
      </c>
      <c r="I82">
        <f t="shared" si="14"/>
        <v>3.5626556536847431E-3</v>
      </c>
      <c r="J82">
        <v>492.02499390000003</v>
      </c>
      <c r="K82">
        <f t="shared" si="15"/>
        <v>1.2345044134159266E-2</v>
      </c>
      <c r="L82">
        <v>325.14999390000003</v>
      </c>
      <c r="M82">
        <f t="shared" si="16"/>
        <v>-3.5592466905276732E-2</v>
      </c>
      <c r="N82">
        <v>571.45001219999995</v>
      </c>
      <c r="O82">
        <f t="shared" si="17"/>
        <v>-1.9211870115074525E-3</v>
      </c>
      <c r="P82">
        <v>160.0500031</v>
      </c>
      <c r="Q82">
        <f t="shared" si="18"/>
        <v>1.0735692671375308E-2</v>
      </c>
      <c r="R82">
        <v>454.14999390000003</v>
      </c>
      <c r="S82">
        <f t="shared" si="19"/>
        <v>6.3151034279731455E-3</v>
      </c>
      <c r="T82">
        <v>911.70001219999995</v>
      </c>
      <c r="U82">
        <f t="shared" si="20"/>
        <v>2.2830579634336878E-2</v>
      </c>
      <c r="W82">
        <f t="shared" si="21"/>
        <v>3.0605785341936698E-3</v>
      </c>
      <c r="X82">
        <v>-1.5530932754064976E-2</v>
      </c>
    </row>
    <row r="83" spans="1:24" x14ac:dyDescent="0.35">
      <c r="A83" s="1">
        <v>42934</v>
      </c>
      <c r="B83">
        <v>694.84716800000001</v>
      </c>
      <c r="C83">
        <f t="shared" si="11"/>
        <v>-2.0525187192168115E-2</v>
      </c>
      <c r="D83">
        <v>1204.1750489999999</v>
      </c>
      <c r="E83">
        <f t="shared" si="12"/>
        <v>5.385270516392815E-3</v>
      </c>
      <c r="F83">
        <v>841.77502440000001</v>
      </c>
      <c r="G83">
        <f t="shared" si="13"/>
        <v>7.1333148120489298E-4</v>
      </c>
      <c r="H83">
        <v>367.98333739999998</v>
      </c>
      <c r="I83">
        <f t="shared" si="14"/>
        <v>-3.672537209409299E-4</v>
      </c>
      <c r="J83">
        <v>492.7999878</v>
      </c>
      <c r="K83">
        <f t="shared" si="15"/>
        <v>1.5751108370676281E-3</v>
      </c>
      <c r="L83">
        <v>284.5499878</v>
      </c>
      <c r="M83">
        <f t="shared" si="16"/>
        <v>-0.12486546782001962</v>
      </c>
      <c r="N83">
        <v>578.25</v>
      </c>
      <c r="O83">
        <f t="shared" si="17"/>
        <v>1.1899532163488935E-2</v>
      </c>
      <c r="P83">
        <v>161.6999969</v>
      </c>
      <c r="Q83">
        <f t="shared" si="18"/>
        <v>1.0309239412942039E-2</v>
      </c>
      <c r="R83">
        <v>456.14999390000003</v>
      </c>
      <c r="S83">
        <f t="shared" si="19"/>
        <v>4.4038313924108508E-3</v>
      </c>
      <c r="T83">
        <v>910.65002440000001</v>
      </c>
      <c r="U83">
        <f t="shared" si="20"/>
        <v>-1.1516812393873588E-3</v>
      </c>
      <c r="W83">
        <f t="shared" si="21"/>
        <v>-1.1262327416900888E-2</v>
      </c>
      <c r="X83">
        <v>-1.5462870614757585E-2</v>
      </c>
    </row>
    <row r="84" spans="1:24" x14ac:dyDescent="0.35">
      <c r="A84" s="1">
        <v>42935</v>
      </c>
      <c r="B84">
        <v>700.81317139999999</v>
      </c>
      <c r="C84">
        <f t="shared" si="11"/>
        <v>8.5860656483238706E-3</v>
      </c>
      <c r="D84">
        <v>1224.8000489999999</v>
      </c>
      <c r="E84">
        <f t="shared" si="12"/>
        <v>1.7127908452452933E-2</v>
      </c>
      <c r="F84">
        <v>846.15002440000001</v>
      </c>
      <c r="G84">
        <f t="shared" si="13"/>
        <v>5.1973506853786322E-3</v>
      </c>
      <c r="H84">
        <v>379.65463260000001</v>
      </c>
      <c r="I84">
        <f t="shared" si="14"/>
        <v>3.1716912190818292E-2</v>
      </c>
      <c r="J84">
        <v>489.9249878</v>
      </c>
      <c r="K84">
        <f t="shared" si="15"/>
        <v>-5.8340098846894062E-3</v>
      </c>
      <c r="L84">
        <v>291.4500122</v>
      </c>
      <c r="M84">
        <f t="shared" si="16"/>
        <v>2.4248900705804211E-2</v>
      </c>
      <c r="N84">
        <v>589.15002440000001</v>
      </c>
      <c r="O84">
        <f t="shared" si="17"/>
        <v>1.885002057933427E-2</v>
      </c>
      <c r="P84">
        <v>163</v>
      </c>
      <c r="Q84">
        <f t="shared" si="18"/>
        <v>8.0395987935852897E-3</v>
      </c>
      <c r="R84">
        <v>460.60000609999997</v>
      </c>
      <c r="S84">
        <f t="shared" si="19"/>
        <v>9.7555897391408131E-3</v>
      </c>
      <c r="T84">
        <v>911.70001219999995</v>
      </c>
      <c r="U84">
        <f t="shared" si="20"/>
        <v>1.1530091383809005E-3</v>
      </c>
      <c r="W84">
        <f t="shared" si="21"/>
        <v>1.1884134604852981E-2</v>
      </c>
      <c r="X84">
        <v>-1.5139057461503404E-2</v>
      </c>
    </row>
    <row r="85" spans="1:24" x14ac:dyDescent="0.35">
      <c r="A85" s="1">
        <v>42936</v>
      </c>
      <c r="B85">
        <v>698.96166989999995</v>
      </c>
      <c r="C85">
        <f t="shared" si="11"/>
        <v>-2.6419330793987506E-3</v>
      </c>
      <c r="D85">
        <v>1222.349976</v>
      </c>
      <c r="E85">
        <f t="shared" si="12"/>
        <v>-2.0003861054711525E-3</v>
      </c>
      <c r="F85">
        <v>855.45001219999995</v>
      </c>
      <c r="G85">
        <f t="shared" si="13"/>
        <v>1.0990944314626105E-2</v>
      </c>
      <c r="H85">
        <v>378.3478088</v>
      </c>
      <c r="I85">
        <f t="shared" si="14"/>
        <v>-3.4421384273660705E-3</v>
      </c>
      <c r="J85">
        <v>484.72500609999997</v>
      </c>
      <c r="K85">
        <f t="shared" si="15"/>
        <v>-1.0613832381464072E-2</v>
      </c>
      <c r="L85">
        <v>289.5</v>
      </c>
      <c r="M85">
        <f t="shared" si="16"/>
        <v>-6.6907260880876285E-3</v>
      </c>
      <c r="N85">
        <v>582.04998780000005</v>
      </c>
      <c r="O85">
        <f t="shared" si="17"/>
        <v>-1.2051321914533952E-2</v>
      </c>
      <c r="P85">
        <v>165.8500061</v>
      </c>
      <c r="Q85">
        <f t="shared" si="18"/>
        <v>1.748470000000002E-2</v>
      </c>
      <c r="R85">
        <v>460.14999390000003</v>
      </c>
      <c r="S85">
        <f t="shared" si="19"/>
        <v>-9.7701301354791159E-4</v>
      </c>
      <c r="T85">
        <v>909.20001219999995</v>
      </c>
      <c r="U85">
        <f t="shared" si="20"/>
        <v>-2.7421300499572698E-3</v>
      </c>
      <c r="W85">
        <f t="shared" si="21"/>
        <v>-1.2683836745200682E-3</v>
      </c>
      <c r="X85">
        <v>-1.505666580797217E-2</v>
      </c>
    </row>
    <row r="86" spans="1:24" x14ac:dyDescent="0.35">
      <c r="A86" s="1">
        <v>42937</v>
      </c>
      <c r="B86">
        <v>724.60870360000001</v>
      </c>
      <c r="C86">
        <f t="shared" si="11"/>
        <v>3.6693047422284852E-2</v>
      </c>
      <c r="D86">
        <v>1245.599976</v>
      </c>
      <c r="E86">
        <f t="shared" si="12"/>
        <v>1.9020739114408824E-2</v>
      </c>
      <c r="F86">
        <v>851.52502440000001</v>
      </c>
      <c r="G86">
        <f t="shared" si="13"/>
        <v>-4.588214090857079E-3</v>
      </c>
      <c r="H86">
        <v>370.68710329999999</v>
      </c>
      <c r="I86">
        <f t="shared" si="14"/>
        <v>-2.0247786089464426E-2</v>
      </c>
      <c r="J86">
        <v>490.0499878</v>
      </c>
      <c r="K86">
        <f t="shared" si="15"/>
        <v>1.098557250603549E-2</v>
      </c>
      <c r="L86">
        <v>288.89999390000003</v>
      </c>
      <c r="M86">
        <f t="shared" si="16"/>
        <v>-2.0725599309152631E-3</v>
      </c>
      <c r="N86">
        <v>575.95001219999995</v>
      </c>
      <c r="O86">
        <f t="shared" si="17"/>
        <v>-1.0480157594464412E-2</v>
      </c>
      <c r="P86">
        <v>164.3500061</v>
      </c>
      <c r="Q86">
        <f t="shared" si="18"/>
        <v>-9.0443168214028313E-3</v>
      </c>
      <c r="R86">
        <v>464.60000609999997</v>
      </c>
      <c r="S86">
        <f t="shared" si="19"/>
        <v>9.6707861762288516E-3</v>
      </c>
      <c r="T86">
        <v>914.75</v>
      </c>
      <c r="U86">
        <f t="shared" si="20"/>
        <v>6.1042539876023927E-3</v>
      </c>
      <c r="W86">
        <f t="shared" si="21"/>
        <v>3.6041364679456392E-3</v>
      </c>
      <c r="X86">
        <v>-1.500647815313997E-2</v>
      </c>
    </row>
    <row r="87" spans="1:24" x14ac:dyDescent="0.35">
      <c r="A87" s="1">
        <v>42940</v>
      </c>
      <c r="B87">
        <v>738.43798830000003</v>
      </c>
      <c r="C87">
        <f t="shared" si="11"/>
        <v>1.9085176083717181E-2</v>
      </c>
      <c r="D87">
        <v>1265.349976</v>
      </c>
      <c r="E87">
        <f t="shared" si="12"/>
        <v>1.5855812765365629E-2</v>
      </c>
      <c r="F87">
        <v>867.54998780000005</v>
      </c>
      <c r="G87">
        <f t="shared" si="13"/>
        <v>1.8819133837307378E-2</v>
      </c>
      <c r="H87">
        <v>378.57312009999998</v>
      </c>
      <c r="I87">
        <f t="shared" si="14"/>
        <v>2.1274052239194763E-2</v>
      </c>
      <c r="J87">
        <v>495.27499390000003</v>
      </c>
      <c r="K87">
        <f t="shared" si="15"/>
        <v>1.0662190041993203E-2</v>
      </c>
      <c r="L87">
        <v>293.25</v>
      </c>
      <c r="M87">
        <f t="shared" si="16"/>
        <v>1.5057134620451773E-2</v>
      </c>
      <c r="N87">
        <v>570.79998780000005</v>
      </c>
      <c r="O87">
        <f t="shared" si="17"/>
        <v>-8.9417905910409434E-3</v>
      </c>
      <c r="P87">
        <v>163.25</v>
      </c>
      <c r="Q87">
        <f t="shared" si="18"/>
        <v>-6.6930700284287825E-3</v>
      </c>
      <c r="R87">
        <v>464</v>
      </c>
      <c r="S87">
        <f t="shared" si="19"/>
        <v>-1.2914466037928785E-3</v>
      </c>
      <c r="T87">
        <v>916.54998780000005</v>
      </c>
      <c r="U87">
        <f t="shared" si="20"/>
        <v>1.9677374145941062E-3</v>
      </c>
      <c r="W87">
        <f t="shared" si="21"/>
        <v>8.5794929779361429E-3</v>
      </c>
      <c r="X87">
        <v>-1.4919644669982914E-2</v>
      </c>
    </row>
    <row r="88" spans="1:24" x14ac:dyDescent="0.35">
      <c r="A88" s="1">
        <v>42941</v>
      </c>
      <c r="B88">
        <v>732.44909670000004</v>
      </c>
      <c r="C88">
        <f t="shared" si="11"/>
        <v>-8.110216016631755E-3</v>
      </c>
      <c r="D88">
        <v>1285.75</v>
      </c>
      <c r="E88">
        <f t="shared" si="12"/>
        <v>1.6122040847930563E-2</v>
      </c>
      <c r="F88">
        <v>869.82501219999995</v>
      </c>
      <c r="G88">
        <f t="shared" si="13"/>
        <v>2.6223554054436438E-3</v>
      </c>
      <c r="H88">
        <v>385.55786130000001</v>
      </c>
      <c r="I88">
        <f t="shared" si="14"/>
        <v>1.8450177334711437E-2</v>
      </c>
      <c r="J88">
        <v>496.9249878</v>
      </c>
      <c r="K88">
        <f t="shared" si="15"/>
        <v>3.3314702343585356E-3</v>
      </c>
      <c r="L88">
        <v>291.39999390000003</v>
      </c>
      <c r="M88">
        <f t="shared" si="16"/>
        <v>-6.3086312020459445E-3</v>
      </c>
      <c r="N88">
        <v>565.90002440000001</v>
      </c>
      <c r="O88">
        <f t="shared" si="17"/>
        <v>-8.5843789501216516E-3</v>
      </c>
      <c r="P88">
        <v>163.3000031</v>
      </c>
      <c r="Q88">
        <f t="shared" si="18"/>
        <v>3.0629770290957481E-4</v>
      </c>
      <c r="R88">
        <v>456.10000609999997</v>
      </c>
      <c r="S88">
        <f t="shared" si="19"/>
        <v>-1.7025848922413878E-2</v>
      </c>
      <c r="T88">
        <v>925.65002440000001</v>
      </c>
      <c r="U88">
        <f t="shared" si="20"/>
        <v>9.9285764236851648E-3</v>
      </c>
      <c r="W88">
        <f t="shared" si="21"/>
        <v>1.0731842857825693E-3</v>
      </c>
      <c r="X88">
        <v>-1.483068490738303E-2</v>
      </c>
    </row>
    <row r="89" spans="1:24" x14ac:dyDescent="0.35">
      <c r="A89" s="1">
        <v>42942</v>
      </c>
      <c r="B89">
        <v>741.86669919999997</v>
      </c>
      <c r="C89">
        <f t="shared" si="11"/>
        <v>1.2857688735545381E-2</v>
      </c>
      <c r="D89">
        <v>1278</v>
      </c>
      <c r="E89">
        <f t="shared" si="12"/>
        <v>-6.0276103441571083E-3</v>
      </c>
      <c r="F89">
        <v>873.77502440000001</v>
      </c>
      <c r="G89">
        <f t="shared" si="13"/>
        <v>4.5411572955456059E-3</v>
      </c>
      <c r="H89">
        <v>384.16091920000002</v>
      </c>
      <c r="I89">
        <f t="shared" si="14"/>
        <v>-3.6231710988589017E-3</v>
      </c>
      <c r="J89">
        <v>497.02499390000003</v>
      </c>
      <c r="K89">
        <f t="shared" si="15"/>
        <v>2.0124989174474806E-4</v>
      </c>
      <c r="L89">
        <v>293.64999390000003</v>
      </c>
      <c r="M89">
        <f t="shared" si="16"/>
        <v>7.721345391558776E-3</v>
      </c>
      <c r="N89">
        <v>579.5</v>
      </c>
      <c r="O89">
        <f t="shared" si="17"/>
        <v>2.4032470425177088E-2</v>
      </c>
      <c r="P89">
        <v>164</v>
      </c>
      <c r="Q89">
        <f t="shared" si="18"/>
        <v>4.2865700349763447E-3</v>
      </c>
      <c r="R89">
        <v>457.2999878</v>
      </c>
      <c r="S89">
        <f t="shared" si="19"/>
        <v>2.6309618152842162E-3</v>
      </c>
      <c r="T89">
        <v>909.59997559999999</v>
      </c>
      <c r="U89">
        <f t="shared" si="20"/>
        <v>-1.7339219334438605E-2</v>
      </c>
      <c r="W89">
        <f t="shared" si="21"/>
        <v>2.9281442812377542E-3</v>
      </c>
      <c r="X89">
        <v>-1.4829044006514681E-2</v>
      </c>
    </row>
    <row r="90" spans="1:24" x14ac:dyDescent="0.35">
      <c r="A90" s="1">
        <v>42943</v>
      </c>
      <c r="B90">
        <v>729.08892820000005</v>
      </c>
      <c r="C90">
        <f t="shared" si="11"/>
        <v>-1.7223809902478404E-2</v>
      </c>
      <c r="D90">
        <v>1240.849976</v>
      </c>
      <c r="E90">
        <f t="shared" si="12"/>
        <v>-2.906887636932709E-2</v>
      </c>
      <c r="F90">
        <v>894.82501219999995</v>
      </c>
      <c r="G90">
        <f t="shared" si="13"/>
        <v>2.4090855440111136E-2</v>
      </c>
      <c r="H90">
        <v>374.96807860000001</v>
      </c>
      <c r="I90">
        <f t="shared" si="14"/>
        <v>-2.3929661088753496E-2</v>
      </c>
      <c r="J90">
        <v>485.52499390000003</v>
      </c>
      <c r="K90">
        <f t="shared" si="15"/>
        <v>-2.3137669415300599E-2</v>
      </c>
      <c r="L90">
        <v>288.5499878</v>
      </c>
      <c r="M90">
        <f t="shared" si="16"/>
        <v>-1.7367635640873846E-2</v>
      </c>
      <c r="N90">
        <v>572.09997559999999</v>
      </c>
      <c r="O90">
        <f t="shared" si="17"/>
        <v>-1.2769671095772206E-2</v>
      </c>
      <c r="P90">
        <v>162.8999939</v>
      </c>
      <c r="Q90">
        <f t="shared" si="18"/>
        <v>-6.7073542682927201E-3</v>
      </c>
      <c r="R90">
        <v>445.39999390000003</v>
      </c>
      <c r="S90">
        <f t="shared" si="19"/>
        <v>-2.6022292187780294E-2</v>
      </c>
      <c r="T90">
        <v>896.90002440000001</v>
      </c>
      <c r="U90">
        <f t="shared" si="20"/>
        <v>-1.3962127903117794E-2</v>
      </c>
      <c r="W90">
        <f t="shared" si="21"/>
        <v>-1.4609824243158532E-2</v>
      </c>
      <c r="X90">
        <v>-1.4742320956321445E-2</v>
      </c>
    </row>
    <row r="91" spans="1:24" x14ac:dyDescent="0.35">
      <c r="A91" s="1">
        <v>42944</v>
      </c>
      <c r="B91">
        <v>728.92889400000001</v>
      </c>
      <c r="C91">
        <f t="shared" si="11"/>
        <v>-2.1949887566541371E-4</v>
      </c>
      <c r="D91">
        <v>1242.150024</v>
      </c>
      <c r="E91">
        <f t="shared" si="12"/>
        <v>1.047707640041029E-3</v>
      </c>
      <c r="F91">
        <v>889.25</v>
      </c>
      <c r="G91">
        <f t="shared" si="13"/>
        <v>-6.2302820372592826E-3</v>
      </c>
      <c r="H91">
        <v>372.48962399999999</v>
      </c>
      <c r="I91">
        <f t="shared" si="14"/>
        <v>-6.609774915384059E-3</v>
      </c>
      <c r="J91">
        <v>498.6749878</v>
      </c>
      <c r="K91">
        <f t="shared" si="15"/>
        <v>2.7084072015267635E-2</v>
      </c>
      <c r="L91">
        <v>291.5499878</v>
      </c>
      <c r="M91">
        <f t="shared" si="16"/>
        <v>1.039681208401011E-2</v>
      </c>
      <c r="N91">
        <v>550.79998780000005</v>
      </c>
      <c r="O91">
        <f t="shared" si="17"/>
        <v>-3.7231233540363617E-2</v>
      </c>
      <c r="P91">
        <v>164.75</v>
      </c>
      <c r="Q91">
        <f t="shared" si="18"/>
        <v>1.13566983994835E-2</v>
      </c>
      <c r="R91">
        <v>445.85000609999997</v>
      </c>
      <c r="S91">
        <f t="shared" si="19"/>
        <v>1.0103552001865523E-3</v>
      </c>
      <c r="T91">
        <v>898.54998780000005</v>
      </c>
      <c r="U91">
        <f t="shared" si="20"/>
        <v>1.8396291170845736E-3</v>
      </c>
      <c r="W91">
        <f t="shared" si="21"/>
        <v>2.444485087401027E-4</v>
      </c>
      <c r="X91">
        <v>-1.4725668297384109E-2</v>
      </c>
    </row>
    <row r="92" spans="1:24" x14ac:dyDescent="0.35">
      <c r="A92" s="1">
        <v>42947</v>
      </c>
      <c r="B92">
        <v>738.41510010000002</v>
      </c>
      <c r="C92">
        <f t="shared" si="11"/>
        <v>1.3013897758866966E-2</v>
      </c>
      <c r="D92">
        <v>1245.900024</v>
      </c>
      <c r="E92">
        <f t="shared" si="12"/>
        <v>3.0189590045848202E-3</v>
      </c>
      <c r="F92">
        <v>892.20001219999995</v>
      </c>
      <c r="G92">
        <f t="shared" si="13"/>
        <v>3.3174160247397833E-3</v>
      </c>
      <c r="H92">
        <v>377.58172610000003</v>
      </c>
      <c r="I92">
        <f t="shared" si="14"/>
        <v>1.3670453542620198E-2</v>
      </c>
      <c r="J92">
        <v>505.60000609999997</v>
      </c>
      <c r="K92">
        <f t="shared" si="15"/>
        <v>1.3886837057039969E-2</v>
      </c>
      <c r="L92">
        <v>285.25</v>
      </c>
      <c r="M92">
        <f t="shared" si="16"/>
        <v>-2.1608602516292041E-2</v>
      </c>
      <c r="N92">
        <v>531.65002440000001</v>
      </c>
      <c r="O92">
        <f t="shared" si="17"/>
        <v>-3.4767545069288475E-2</v>
      </c>
      <c r="P92">
        <v>169.3999939</v>
      </c>
      <c r="Q92">
        <f t="shared" si="18"/>
        <v>2.8224545675265444E-2</v>
      </c>
      <c r="R92">
        <v>444.60000609999997</v>
      </c>
      <c r="S92">
        <f t="shared" si="19"/>
        <v>-2.8036334706691424E-3</v>
      </c>
      <c r="T92">
        <v>919.70001219999995</v>
      </c>
      <c r="U92">
        <f t="shared" si="20"/>
        <v>2.3537949682447046E-2</v>
      </c>
      <c r="W92">
        <f t="shared" si="21"/>
        <v>3.9490277689314575E-3</v>
      </c>
      <c r="X92">
        <v>-1.4718505950452723E-2</v>
      </c>
    </row>
    <row r="93" spans="1:24" x14ac:dyDescent="0.35">
      <c r="A93" s="1">
        <v>42948</v>
      </c>
      <c r="B93">
        <v>733.11199950000002</v>
      </c>
      <c r="C93">
        <f t="shared" si="11"/>
        <v>-7.1817336878428062E-3</v>
      </c>
      <c r="D93">
        <v>1250.8249510000001</v>
      </c>
      <c r="E93">
        <f t="shared" si="12"/>
        <v>3.952907059258548E-3</v>
      </c>
      <c r="F93">
        <v>898.59997559999999</v>
      </c>
      <c r="G93">
        <f t="shared" si="13"/>
        <v>7.1732384134572946E-3</v>
      </c>
      <c r="H93">
        <v>375.86935419999998</v>
      </c>
      <c r="I93">
        <f t="shared" si="14"/>
        <v>-4.5351026854157928E-3</v>
      </c>
      <c r="J93">
        <v>502.77499390000003</v>
      </c>
      <c r="K93">
        <f t="shared" si="15"/>
        <v>-5.5874449484109023E-3</v>
      </c>
      <c r="L93">
        <v>287.85000609999997</v>
      </c>
      <c r="M93">
        <f t="shared" si="16"/>
        <v>9.1148329535495343E-3</v>
      </c>
      <c r="N93">
        <v>533.79998780000005</v>
      </c>
      <c r="O93">
        <f t="shared" si="17"/>
        <v>4.043944891052087E-3</v>
      </c>
      <c r="P93">
        <v>167.3999939</v>
      </c>
      <c r="Q93">
        <f t="shared" si="18"/>
        <v>-1.1806375867880137E-2</v>
      </c>
      <c r="R93">
        <v>446.89999390000003</v>
      </c>
      <c r="S93">
        <f t="shared" si="19"/>
        <v>5.1731618723431794E-3</v>
      </c>
      <c r="T93">
        <v>916.04998780000005</v>
      </c>
      <c r="U93">
        <f t="shared" si="20"/>
        <v>-3.9687119186491149E-3</v>
      </c>
      <c r="W93">
        <f t="shared" si="21"/>
        <v>-3.6212839185381104E-4</v>
      </c>
      <c r="X93">
        <v>-1.4635992194205964E-2</v>
      </c>
    </row>
    <row r="94" spans="1:24" x14ac:dyDescent="0.35">
      <c r="A94" s="1">
        <v>42949</v>
      </c>
      <c r="B94">
        <v>744.81542969999998</v>
      </c>
      <c r="C94">
        <f t="shared" si="11"/>
        <v>1.5964041248788696E-2</v>
      </c>
      <c r="D94">
        <v>1236.900024</v>
      </c>
      <c r="E94">
        <f t="shared" si="12"/>
        <v>-1.113259452401183E-2</v>
      </c>
      <c r="F94">
        <v>895.82501219999995</v>
      </c>
      <c r="G94">
        <f t="shared" si="13"/>
        <v>-3.088096455986622E-3</v>
      </c>
      <c r="H94">
        <v>374.78784180000002</v>
      </c>
      <c r="I94">
        <f t="shared" si="14"/>
        <v>-2.8773625407738646E-3</v>
      </c>
      <c r="J94">
        <v>496.6749878</v>
      </c>
      <c r="K94">
        <f t="shared" si="15"/>
        <v>-1.2132675996239572E-2</v>
      </c>
      <c r="L94">
        <v>285.4500122</v>
      </c>
      <c r="M94">
        <f t="shared" si="16"/>
        <v>-8.3376545045693584E-3</v>
      </c>
      <c r="N94">
        <v>523.54998780000005</v>
      </c>
      <c r="O94">
        <f t="shared" si="17"/>
        <v>-1.9201948734102192E-2</v>
      </c>
      <c r="P94">
        <v>165.3999939</v>
      </c>
      <c r="Q94">
        <f t="shared" si="18"/>
        <v>-1.1947431737630465E-2</v>
      </c>
      <c r="R94">
        <v>440.35000609999997</v>
      </c>
      <c r="S94">
        <f t="shared" si="19"/>
        <v>-1.4656495612899278E-2</v>
      </c>
      <c r="T94">
        <v>906.79998780000005</v>
      </c>
      <c r="U94">
        <f t="shared" si="20"/>
        <v>-1.0097702224978966E-2</v>
      </c>
      <c r="W94">
        <f t="shared" si="21"/>
        <v>-7.7507921082403458E-3</v>
      </c>
      <c r="X94">
        <v>-1.4613359992737562E-2</v>
      </c>
    </row>
    <row r="95" spans="1:24" x14ac:dyDescent="0.35">
      <c r="A95" s="1">
        <v>42950</v>
      </c>
      <c r="B95">
        <v>754.37017820000005</v>
      </c>
      <c r="C95">
        <f t="shared" si="11"/>
        <v>1.2828343934615516E-2</v>
      </c>
      <c r="D95">
        <v>1244.724976</v>
      </c>
      <c r="E95">
        <f t="shared" si="12"/>
        <v>6.3262606905729601E-3</v>
      </c>
      <c r="F95">
        <v>889.97497559999999</v>
      </c>
      <c r="G95">
        <f t="shared" si="13"/>
        <v>-6.5303340723130709E-3</v>
      </c>
      <c r="H95">
        <v>382.31332400000002</v>
      </c>
      <c r="I95">
        <f t="shared" si="14"/>
        <v>2.0079312508797686E-2</v>
      </c>
      <c r="J95">
        <v>492</v>
      </c>
      <c r="K95">
        <f t="shared" si="15"/>
        <v>-9.4125694162849882E-3</v>
      </c>
      <c r="L95">
        <v>281.39999390000003</v>
      </c>
      <c r="M95">
        <f t="shared" si="16"/>
        <v>-1.4188187517618078E-2</v>
      </c>
      <c r="N95">
        <v>515.84997559999999</v>
      </c>
      <c r="O95">
        <f t="shared" si="17"/>
        <v>-1.4707310437263366E-2</v>
      </c>
      <c r="P95">
        <v>165.6999969</v>
      </c>
      <c r="Q95">
        <f t="shared" si="18"/>
        <v>1.8138029689491741E-3</v>
      </c>
      <c r="R95">
        <v>431.4500122</v>
      </c>
      <c r="S95">
        <f t="shared" si="19"/>
        <v>-2.0211181507236886E-2</v>
      </c>
      <c r="T95">
        <v>898.09997559999999</v>
      </c>
      <c r="U95">
        <f t="shared" si="20"/>
        <v>-9.5941909098469225E-3</v>
      </c>
      <c r="W95">
        <f t="shared" si="21"/>
        <v>-3.3596053757627975E-3</v>
      </c>
      <c r="X95">
        <v>-1.4609824243158532E-2</v>
      </c>
    </row>
    <row r="96" spans="1:24" x14ac:dyDescent="0.35">
      <c r="A96" s="1">
        <v>42951</v>
      </c>
      <c r="B96">
        <v>741.59240720000003</v>
      </c>
      <c r="C96">
        <f t="shared" si="11"/>
        <v>-1.6938329972811306E-2</v>
      </c>
      <c r="D96">
        <v>1261.400024</v>
      </c>
      <c r="E96">
        <f t="shared" si="12"/>
        <v>1.3396572191863854E-2</v>
      </c>
      <c r="F96">
        <v>895.125</v>
      </c>
      <c r="G96">
        <f t="shared" si="13"/>
        <v>5.7867069762584933E-3</v>
      </c>
      <c r="H96">
        <v>379.3391724</v>
      </c>
      <c r="I96">
        <f t="shared" si="14"/>
        <v>-7.7793563898914675E-3</v>
      </c>
      <c r="J96">
        <v>491.875</v>
      </c>
      <c r="K96">
        <f t="shared" si="15"/>
        <v>-2.5406504065039748E-4</v>
      </c>
      <c r="L96">
        <v>280.75</v>
      </c>
      <c r="M96">
        <f t="shared" si="16"/>
        <v>-2.3098575482948247E-3</v>
      </c>
      <c r="N96">
        <v>506.39999390000003</v>
      </c>
      <c r="O96">
        <f t="shared" si="17"/>
        <v>-1.8319244251215561E-2</v>
      </c>
      <c r="P96">
        <v>166.3999939</v>
      </c>
      <c r="Q96">
        <f t="shared" si="18"/>
        <v>4.2244840862757371E-3</v>
      </c>
      <c r="R96">
        <v>435.60000609999997</v>
      </c>
      <c r="S96">
        <f t="shared" si="19"/>
        <v>9.6187131362885925E-3</v>
      </c>
      <c r="T96">
        <v>911.34997559999999</v>
      </c>
      <c r="U96">
        <f t="shared" si="20"/>
        <v>1.4753368622627994E-2</v>
      </c>
      <c r="W96">
        <f t="shared" si="21"/>
        <v>2.1789918104511154E-4</v>
      </c>
      <c r="X96">
        <v>-1.460630392810819E-2</v>
      </c>
    </row>
    <row r="97" spans="1:24" x14ac:dyDescent="0.35">
      <c r="A97" s="1">
        <v>42954</v>
      </c>
      <c r="B97">
        <v>738.94085689999997</v>
      </c>
      <c r="C97">
        <f t="shared" si="11"/>
        <v>-3.5754819955767791E-3</v>
      </c>
      <c r="D97">
        <v>1251.724976</v>
      </c>
      <c r="E97">
        <f t="shared" si="12"/>
        <v>-7.6700870587584902E-3</v>
      </c>
      <c r="F97">
        <v>894.27502440000001</v>
      </c>
      <c r="G97">
        <f t="shared" si="13"/>
        <v>-9.4956078759944607E-4</v>
      </c>
      <c r="H97">
        <v>376.22985840000001</v>
      </c>
      <c r="I97">
        <f t="shared" si="14"/>
        <v>-8.1966594178186636E-3</v>
      </c>
      <c r="J97">
        <v>484.125</v>
      </c>
      <c r="K97">
        <f t="shared" si="15"/>
        <v>-1.5756035578144867E-2</v>
      </c>
      <c r="L97">
        <v>279.85000609999997</v>
      </c>
      <c r="M97">
        <f t="shared" si="16"/>
        <v>-3.2056772929653921E-3</v>
      </c>
      <c r="N97">
        <v>505.5499878</v>
      </c>
      <c r="O97">
        <f t="shared" si="17"/>
        <v>-1.6785270739317903E-3</v>
      </c>
      <c r="P97">
        <v>165.8999939</v>
      </c>
      <c r="Q97">
        <f t="shared" si="18"/>
        <v>-3.0048078024599301E-3</v>
      </c>
      <c r="R97">
        <v>430</v>
      </c>
      <c r="S97">
        <f t="shared" si="19"/>
        <v>-1.2855844861293209E-2</v>
      </c>
      <c r="T97">
        <v>923.79998780000005</v>
      </c>
      <c r="U97">
        <f t="shared" si="20"/>
        <v>1.3661066037559788E-2</v>
      </c>
      <c r="W97">
        <f t="shared" si="21"/>
        <v>-4.3231615830988781E-3</v>
      </c>
      <c r="X97">
        <v>-1.4543971615509133E-2</v>
      </c>
    </row>
    <row r="98" spans="1:24" x14ac:dyDescent="0.35">
      <c r="A98" s="1">
        <v>42955</v>
      </c>
      <c r="B98">
        <v>732.63195800000005</v>
      </c>
      <c r="C98">
        <f t="shared" si="11"/>
        <v>-8.537758930352024E-3</v>
      </c>
      <c r="D98">
        <v>1251.525024</v>
      </c>
      <c r="E98">
        <f t="shared" si="12"/>
        <v>-1.5974116026584717E-4</v>
      </c>
      <c r="F98">
        <v>888.95001219999995</v>
      </c>
      <c r="G98">
        <f t="shared" si="13"/>
        <v>-5.9545576637040076E-3</v>
      </c>
      <c r="H98">
        <v>376.54528809999999</v>
      </c>
      <c r="I98">
        <f t="shared" si="14"/>
        <v>8.3839624356607523E-4</v>
      </c>
      <c r="J98">
        <v>481.9249878</v>
      </c>
      <c r="K98">
        <f t="shared" si="15"/>
        <v>-4.5443061192873557E-3</v>
      </c>
      <c r="L98">
        <v>274.14999390000003</v>
      </c>
      <c r="M98">
        <f t="shared" si="16"/>
        <v>-2.0368097465622848E-2</v>
      </c>
      <c r="N98">
        <v>500.35000609999997</v>
      </c>
      <c r="O98">
        <f t="shared" si="17"/>
        <v>-1.0285791366801855E-2</v>
      </c>
      <c r="P98">
        <v>164</v>
      </c>
      <c r="Q98">
        <f t="shared" si="18"/>
        <v>-1.1452645990724153E-2</v>
      </c>
      <c r="R98">
        <v>430</v>
      </c>
      <c r="S98">
        <f t="shared" si="19"/>
        <v>0</v>
      </c>
      <c r="T98">
        <v>902.29998780000005</v>
      </c>
      <c r="U98">
        <f t="shared" si="20"/>
        <v>-2.3273436115973101E-2</v>
      </c>
      <c r="W98">
        <f t="shared" si="21"/>
        <v>-8.3737938569165109E-3</v>
      </c>
      <c r="X98">
        <v>-1.4476837581073765E-2</v>
      </c>
    </row>
    <row r="99" spans="1:24" x14ac:dyDescent="0.35">
      <c r="A99" s="1">
        <v>42956</v>
      </c>
      <c r="B99">
        <v>730.91754149999997</v>
      </c>
      <c r="C99">
        <f t="shared" si="11"/>
        <v>-2.3400787820944124E-3</v>
      </c>
      <c r="D99">
        <v>1256</v>
      </c>
      <c r="E99">
        <f t="shared" si="12"/>
        <v>3.5756184768063193E-3</v>
      </c>
      <c r="F99">
        <v>882.22497559999999</v>
      </c>
      <c r="G99">
        <f t="shared" si="13"/>
        <v>-7.5651459673831134E-3</v>
      </c>
      <c r="H99">
        <v>374.96807860000001</v>
      </c>
      <c r="I99">
        <f t="shared" si="14"/>
        <v>-4.1886316197405904E-3</v>
      </c>
      <c r="J99">
        <v>484.6749878</v>
      </c>
      <c r="K99">
        <f t="shared" si="15"/>
        <v>5.7062822422921933E-3</v>
      </c>
      <c r="L99">
        <v>272.85000609999997</v>
      </c>
      <c r="M99">
        <f t="shared" si="16"/>
        <v>-4.7418852049080362E-3</v>
      </c>
      <c r="N99">
        <v>474.35000609999997</v>
      </c>
      <c r="O99">
        <f t="shared" si="17"/>
        <v>-5.1963624828663679E-2</v>
      </c>
      <c r="P99">
        <v>165.6999969</v>
      </c>
      <c r="Q99">
        <f t="shared" si="18"/>
        <v>1.0365834756097536E-2</v>
      </c>
      <c r="R99">
        <v>416.0499878</v>
      </c>
      <c r="S99">
        <f t="shared" si="19"/>
        <v>-3.2441888837209332E-2</v>
      </c>
      <c r="T99">
        <v>889.25</v>
      </c>
      <c r="U99">
        <f t="shared" si="20"/>
        <v>-1.446302557514012E-2</v>
      </c>
      <c r="W99">
        <f t="shared" si="21"/>
        <v>-9.8056545339943232E-3</v>
      </c>
      <c r="X99">
        <v>-1.4333321500763194E-2</v>
      </c>
    </row>
    <row r="100" spans="1:24" x14ac:dyDescent="0.35">
      <c r="A100" s="1">
        <v>42957</v>
      </c>
      <c r="B100">
        <v>724.31152340000006</v>
      </c>
      <c r="C100">
        <f t="shared" si="11"/>
        <v>-9.0379799702753338E-3</v>
      </c>
      <c r="D100">
        <v>1255.724976</v>
      </c>
      <c r="E100">
        <f t="shared" si="12"/>
        <v>-2.1896815286626126E-4</v>
      </c>
      <c r="F100">
        <v>880.22497559999999</v>
      </c>
      <c r="G100">
        <f t="shared" si="13"/>
        <v>-2.2669954436960182E-3</v>
      </c>
      <c r="H100">
        <v>375.14834589999998</v>
      </c>
      <c r="I100">
        <f t="shared" si="14"/>
        <v>4.8075372355160795E-4</v>
      </c>
      <c r="J100">
        <v>490.625</v>
      </c>
      <c r="K100">
        <f t="shared" si="15"/>
        <v>1.2276293082520873E-2</v>
      </c>
      <c r="L100">
        <v>273.10000609999997</v>
      </c>
      <c r="M100">
        <f t="shared" si="16"/>
        <v>9.1625433172382031E-4</v>
      </c>
      <c r="N100">
        <v>460.7999878</v>
      </c>
      <c r="O100">
        <f t="shared" si="17"/>
        <v>-2.8565443503216548E-2</v>
      </c>
      <c r="P100">
        <v>163.6999969</v>
      </c>
      <c r="Q100">
        <f t="shared" si="18"/>
        <v>-1.2070006260814892E-2</v>
      </c>
      <c r="R100">
        <v>380.2000122</v>
      </c>
      <c r="S100">
        <f t="shared" si="19"/>
        <v>-8.616747182127904E-2</v>
      </c>
      <c r="T100">
        <v>880.79998780000005</v>
      </c>
      <c r="U100">
        <f t="shared" si="20"/>
        <v>-9.5024033736293978E-3</v>
      </c>
      <c r="W100">
        <f t="shared" si="21"/>
        <v>-1.3415596738798118E-2</v>
      </c>
      <c r="X100">
        <v>-1.4264258238462925E-2</v>
      </c>
    </row>
    <row r="101" spans="1:24" x14ac:dyDescent="0.35">
      <c r="A101" s="1">
        <v>42958</v>
      </c>
      <c r="B101">
        <v>706.89349370000002</v>
      </c>
      <c r="C101">
        <f t="shared" si="11"/>
        <v>-2.4047704802814485E-2</v>
      </c>
      <c r="D101">
        <v>1248.025024</v>
      </c>
      <c r="E101">
        <f t="shared" si="12"/>
        <v>-6.1318777177845618E-3</v>
      </c>
      <c r="F101">
        <v>874.52502440000001</v>
      </c>
      <c r="G101">
        <f t="shared" si="13"/>
        <v>-6.4755617688700973E-3</v>
      </c>
      <c r="H101">
        <v>373.6162109</v>
      </c>
      <c r="I101">
        <f t="shared" si="14"/>
        <v>-4.0840777168410503E-3</v>
      </c>
      <c r="J101">
        <v>493.85000609999997</v>
      </c>
      <c r="K101">
        <f t="shared" si="15"/>
        <v>6.5732608407642612E-3</v>
      </c>
      <c r="L101">
        <v>271.5</v>
      </c>
      <c r="M101">
        <f t="shared" si="16"/>
        <v>-5.8586820368436987E-3</v>
      </c>
      <c r="N101">
        <v>450</v>
      </c>
      <c r="O101">
        <f t="shared" si="17"/>
        <v>-2.3437474144828996E-2</v>
      </c>
      <c r="P101">
        <v>159.6499939</v>
      </c>
      <c r="Q101">
        <f t="shared" si="18"/>
        <v>-2.4740397536317849E-2</v>
      </c>
      <c r="R101">
        <v>374.5</v>
      </c>
      <c r="S101">
        <f t="shared" si="19"/>
        <v>-1.4992141023397854E-2</v>
      </c>
      <c r="T101">
        <v>890.09997559999999</v>
      </c>
      <c r="U101">
        <f t="shared" si="20"/>
        <v>1.0558569401469597E-2</v>
      </c>
      <c r="W101">
        <f t="shared" si="21"/>
        <v>-9.2636086505464722E-3</v>
      </c>
      <c r="X101">
        <v>-1.4128973251483313E-2</v>
      </c>
    </row>
    <row r="102" spans="1:24" x14ac:dyDescent="0.35">
      <c r="A102" s="1">
        <v>42961</v>
      </c>
      <c r="B102">
        <v>719.14550780000002</v>
      </c>
      <c r="C102">
        <f t="shared" si="11"/>
        <v>1.7332192486128051E-2</v>
      </c>
      <c r="D102">
        <v>1234.6999510000001</v>
      </c>
      <c r="E102">
        <f t="shared" si="12"/>
        <v>-1.0676927740833508E-2</v>
      </c>
      <c r="F102">
        <v>878.59997559999999</v>
      </c>
      <c r="G102">
        <f t="shared" si="13"/>
        <v>4.6596164618568636E-3</v>
      </c>
      <c r="H102">
        <v>368.20864870000003</v>
      </c>
      <c r="I102">
        <f t="shared" si="14"/>
        <v>-1.4473574867037375E-2</v>
      </c>
      <c r="J102">
        <v>490.72500609999997</v>
      </c>
      <c r="K102">
        <f t="shared" si="15"/>
        <v>-6.3278322595934355E-3</v>
      </c>
      <c r="L102">
        <v>271.25</v>
      </c>
      <c r="M102">
        <f t="shared" si="16"/>
        <v>-9.2081031307555961E-4</v>
      </c>
      <c r="N102">
        <v>471.7999878</v>
      </c>
      <c r="O102">
        <f t="shared" si="17"/>
        <v>4.8444417333333378E-2</v>
      </c>
      <c r="P102">
        <v>161.6999969</v>
      </c>
      <c r="Q102">
        <f t="shared" si="18"/>
        <v>1.2840608069700776E-2</v>
      </c>
      <c r="R102">
        <v>375.39999390000003</v>
      </c>
      <c r="S102">
        <f t="shared" si="19"/>
        <v>2.4031879839787607E-3</v>
      </c>
      <c r="T102">
        <v>902.45001219999995</v>
      </c>
      <c r="U102">
        <f t="shared" si="20"/>
        <v>1.3874887022297777E-2</v>
      </c>
      <c r="W102">
        <f t="shared" si="21"/>
        <v>6.715576417675573E-3</v>
      </c>
      <c r="X102">
        <v>-1.4061941308165694E-2</v>
      </c>
    </row>
    <row r="103" spans="1:24" x14ac:dyDescent="0.35">
      <c r="A103" s="1">
        <v>42963</v>
      </c>
      <c r="B103">
        <v>715.96826169999997</v>
      </c>
      <c r="C103">
        <f t="shared" si="11"/>
        <v>-4.4180851657126263E-3</v>
      </c>
      <c r="D103">
        <v>1246.1750489999999</v>
      </c>
      <c r="E103">
        <f t="shared" si="12"/>
        <v>9.2938353084941472E-3</v>
      </c>
      <c r="F103">
        <v>890.625</v>
      </c>
      <c r="G103">
        <f t="shared" si="13"/>
        <v>1.3686574930517281E-2</v>
      </c>
      <c r="H103">
        <v>367.48764039999998</v>
      </c>
      <c r="I103">
        <f t="shared" si="14"/>
        <v>-1.958151451753376E-3</v>
      </c>
      <c r="J103">
        <v>487.60000609999997</v>
      </c>
      <c r="K103">
        <f t="shared" si="15"/>
        <v>-6.368128709877019E-3</v>
      </c>
      <c r="L103">
        <v>279.2000122</v>
      </c>
      <c r="M103">
        <f t="shared" si="16"/>
        <v>2.9308800737327223E-2</v>
      </c>
      <c r="N103">
        <v>485.7000122</v>
      </c>
      <c r="O103">
        <f t="shared" si="17"/>
        <v>2.9461688765223926E-2</v>
      </c>
      <c r="P103">
        <v>160.9499969</v>
      </c>
      <c r="Q103">
        <f t="shared" si="18"/>
        <v>-4.6382190128538836E-3</v>
      </c>
      <c r="R103">
        <v>389.25</v>
      </c>
      <c r="S103">
        <f t="shared" si="19"/>
        <v>3.6893996603764911E-2</v>
      </c>
      <c r="T103">
        <v>907.79998780000005</v>
      </c>
      <c r="U103">
        <f t="shared" si="20"/>
        <v>5.9282791597041751E-3</v>
      </c>
      <c r="W103">
        <f t="shared" si="21"/>
        <v>1.0719059116483477E-2</v>
      </c>
      <c r="X103">
        <v>-1.4061549353885762E-2</v>
      </c>
    </row>
    <row r="104" spans="1:24" x14ac:dyDescent="0.35">
      <c r="A104" s="1">
        <v>42964</v>
      </c>
      <c r="B104">
        <v>716.42541500000004</v>
      </c>
      <c r="C104">
        <f t="shared" si="11"/>
        <v>6.3851056597763467E-4</v>
      </c>
      <c r="D104">
        <v>1242.8249510000001</v>
      </c>
      <c r="E104">
        <f t="shared" si="12"/>
        <v>-2.6883045064080013E-3</v>
      </c>
      <c r="F104">
        <v>882.70001219999995</v>
      </c>
      <c r="G104">
        <f t="shared" si="13"/>
        <v>-8.898231915789534E-3</v>
      </c>
      <c r="H104">
        <v>375.2384644</v>
      </c>
      <c r="I104">
        <f t="shared" si="14"/>
        <v>2.1091386887361674E-2</v>
      </c>
      <c r="J104">
        <v>510.4249878</v>
      </c>
      <c r="K104">
        <f t="shared" si="15"/>
        <v>4.6810872466065856E-2</v>
      </c>
      <c r="L104">
        <v>280</v>
      </c>
      <c r="M104">
        <f t="shared" si="16"/>
        <v>2.8652856914166414E-3</v>
      </c>
      <c r="N104">
        <v>488.25</v>
      </c>
      <c r="O104">
        <f t="shared" si="17"/>
        <v>5.250129166045836E-3</v>
      </c>
      <c r="P104">
        <v>160.6000061</v>
      </c>
      <c r="Q104">
        <f t="shared" si="18"/>
        <v>-2.1745312627589053E-3</v>
      </c>
      <c r="R104">
        <v>385.2999878</v>
      </c>
      <c r="S104">
        <f t="shared" si="19"/>
        <v>-1.014775131663459E-2</v>
      </c>
      <c r="T104">
        <v>920.79998780000005</v>
      </c>
      <c r="U104">
        <f t="shared" si="20"/>
        <v>1.4320335067975476E-2</v>
      </c>
      <c r="W104">
        <f t="shared" si="21"/>
        <v>6.7067700843252091E-3</v>
      </c>
      <c r="X104">
        <v>-1.4043426835424389E-2</v>
      </c>
    </row>
    <row r="105" spans="1:24" x14ac:dyDescent="0.35">
      <c r="A105" s="1">
        <v>42965</v>
      </c>
      <c r="B105">
        <v>720.21984859999998</v>
      </c>
      <c r="C105">
        <f t="shared" si="11"/>
        <v>5.2963414202717995E-3</v>
      </c>
      <c r="D105">
        <v>1256.900024</v>
      </c>
      <c r="E105">
        <f t="shared" si="12"/>
        <v>1.1325064715409061E-2</v>
      </c>
      <c r="F105">
        <v>876.07501219999995</v>
      </c>
      <c r="G105">
        <f t="shared" si="13"/>
        <v>-7.505381112987819E-3</v>
      </c>
      <c r="H105">
        <v>379.42932130000003</v>
      </c>
      <c r="I105">
        <f t="shared" si="14"/>
        <v>1.1168516283907914E-2</v>
      </c>
      <c r="J105">
        <v>461.625</v>
      </c>
      <c r="K105">
        <f t="shared" si="15"/>
        <v>-9.5606580724690748E-2</v>
      </c>
      <c r="L105">
        <v>281.85000609999997</v>
      </c>
      <c r="M105">
        <f t="shared" si="16"/>
        <v>6.6071646428571551E-3</v>
      </c>
      <c r="N105">
        <v>470.14999390000003</v>
      </c>
      <c r="O105">
        <f t="shared" si="17"/>
        <v>-3.7071185048643041E-2</v>
      </c>
      <c r="P105">
        <v>160.8999939</v>
      </c>
      <c r="Q105">
        <f t="shared" si="18"/>
        <v>1.867918982600747E-3</v>
      </c>
      <c r="R105">
        <v>380.39999390000003</v>
      </c>
      <c r="S105">
        <f t="shared" si="19"/>
        <v>-1.2717347664551237E-2</v>
      </c>
      <c r="T105">
        <v>926.25</v>
      </c>
      <c r="U105">
        <f t="shared" si="20"/>
        <v>5.9187796179507313E-3</v>
      </c>
      <c r="W105">
        <f t="shared" si="21"/>
        <v>-1.1071670888787544E-2</v>
      </c>
      <c r="X105">
        <v>-1.3952360352125506E-2</v>
      </c>
    </row>
    <row r="106" spans="1:24" x14ac:dyDescent="0.35">
      <c r="A106" s="1">
        <v>42968</v>
      </c>
      <c r="B106">
        <v>715.19104000000004</v>
      </c>
      <c r="C106">
        <f t="shared" si="11"/>
        <v>-6.982324369114723E-3</v>
      </c>
      <c r="D106">
        <v>1264.400024</v>
      </c>
      <c r="E106">
        <f t="shared" si="12"/>
        <v>5.9670617048217522E-3</v>
      </c>
      <c r="F106">
        <v>871.59997559999999</v>
      </c>
      <c r="G106">
        <f t="shared" si="13"/>
        <v>-5.1080518650591378E-3</v>
      </c>
      <c r="H106">
        <v>377.76199339999999</v>
      </c>
      <c r="I106">
        <f t="shared" si="14"/>
        <v>-4.3943043049162744E-3</v>
      </c>
      <c r="J106">
        <v>436.7000122</v>
      </c>
      <c r="K106">
        <f t="shared" si="15"/>
        <v>-5.3994016355266683E-2</v>
      </c>
      <c r="L106">
        <v>281.60000609999997</v>
      </c>
      <c r="M106">
        <f t="shared" si="16"/>
        <v>-8.8699661021574006E-4</v>
      </c>
      <c r="N106">
        <v>460.5499878</v>
      </c>
      <c r="O106">
        <f t="shared" si="17"/>
        <v>-2.0419028447423382E-2</v>
      </c>
      <c r="P106">
        <v>157.1499939</v>
      </c>
      <c r="Q106">
        <f t="shared" si="18"/>
        <v>-2.33064023751961E-2</v>
      </c>
      <c r="R106">
        <v>374.35000609999997</v>
      </c>
      <c r="S106">
        <f t="shared" si="19"/>
        <v>-1.5904279434847957E-2</v>
      </c>
      <c r="T106">
        <v>927.09997559999999</v>
      </c>
      <c r="U106">
        <f t="shared" si="20"/>
        <v>9.1765246963571023E-4</v>
      </c>
      <c r="W106">
        <f t="shared" si="21"/>
        <v>-1.2411068958758252E-2</v>
      </c>
      <c r="X106">
        <v>-1.3841135684014617E-2</v>
      </c>
    </row>
    <row r="107" spans="1:24" x14ac:dyDescent="0.35">
      <c r="A107" s="1">
        <v>42969</v>
      </c>
      <c r="B107">
        <v>713.20239260000005</v>
      </c>
      <c r="C107">
        <f t="shared" si="11"/>
        <v>-2.7805820945407955E-3</v>
      </c>
      <c r="D107">
        <v>1248.775024</v>
      </c>
      <c r="E107">
        <f t="shared" si="12"/>
        <v>-1.2357639752781258E-2</v>
      </c>
      <c r="F107">
        <v>873.5</v>
      </c>
      <c r="G107">
        <f t="shared" si="13"/>
        <v>2.1799270917739477E-3</v>
      </c>
      <c r="H107">
        <v>380.4206848</v>
      </c>
      <c r="I107">
        <f t="shared" si="14"/>
        <v>7.0380065926451962E-3</v>
      </c>
      <c r="J107">
        <v>437.7000122</v>
      </c>
      <c r="K107">
        <f t="shared" si="15"/>
        <v>2.289901470261535E-3</v>
      </c>
      <c r="L107">
        <v>282.89999390000003</v>
      </c>
      <c r="M107">
        <f t="shared" si="16"/>
        <v>4.6164338488630108E-3</v>
      </c>
      <c r="N107">
        <v>470.4500122</v>
      </c>
      <c r="O107">
        <f t="shared" si="17"/>
        <v>2.1496090896216069E-2</v>
      </c>
      <c r="P107">
        <v>159.4499969</v>
      </c>
      <c r="Q107">
        <f t="shared" si="18"/>
        <v>1.4635718035493905E-2</v>
      </c>
      <c r="R107">
        <v>373.60000609999997</v>
      </c>
      <c r="S107">
        <f t="shared" si="19"/>
        <v>-2.0034726533426639E-3</v>
      </c>
      <c r="T107">
        <v>958.04998780000005</v>
      </c>
      <c r="U107">
        <f t="shared" si="20"/>
        <v>3.3383683544991882E-2</v>
      </c>
      <c r="W107">
        <f t="shared" si="21"/>
        <v>6.8498066979580828E-3</v>
      </c>
      <c r="X107">
        <v>-1.3708907924922586E-2</v>
      </c>
    </row>
    <row r="108" spans="1:24" x14ac:dyDescent="0.35">
      <c r="A108" s="1">
        <v>42970</v>
      </c>
      <c r="B108">
        <v>723.26000980000003</v>
      </c>
      <c r="C108">
        <f t="shared" si="11"/>
        <v>1.4102051962185058E-2</v>
      </c>
      <c r="D108">
        <v>1244.724976</v>
      </c>
      <c r="E108">
        <f t="shared" si="12"/>
        <v>-3.2432166900865367E-3</v>
      </c>
      <c r="F108">
        <v>886.22497559999999</v>
      </c>
      <c r="G108">
        <f t="shared" si="13"/>
        <v>1.4567802633085325E-2</v>
      </c>
      <c r="H108">
        <v>389.25302119999998</v>
      </c>
      <c r="I108">
        <f t="shared" si="14"/>
        <v>2.3217287473848769E-2</v>
      </c>
      <c r="J108">
        <v>446.39999390000003</v>
      </c>
      <c r="K108">
        <f t="shared" si="15"/>
        <v>1.9876585463801E-2</v>
      </c>
      <c r="L108">
        <v>282.5499878</v>
      </c>
      <c r="M108">
        <f t="shared" si="16"/>
        <v>-1.2372078739730785E-3</v>
      </c>
      <c r="N108">
        <v>469.2000122</v>
      </c>
      <c r="O108">
        <f t="shared" si="17"/>
        <v>-2.6570304338063844E-3</v>
      </c>
      <c r="P108">
        <v>159.6999969</v>
      </c>
      <c r="Q108">
        <f t="shared" si="18"/>
        <v>1.5678896510533669E-3</v>
      </c>
      <c r="R108">
        <v>379.9500122</v>
      </c>
      <c r="S108">
        <f t="shared" si="19"/>
        <v>1.6996804058671211E-2</v>
      </c>
      <c r="T108">
        <v>989.5</v>
      </c>
      <c r="U108">
        <f t="shared" si="20"/>
        <v>3.2827109859079107E-2</v>
      </c>
      <c r="W108">
        <f t="shared" si="21"/>
        <v>1.1601807610385784E-2</v>
      </c>
      <c r="X108">
        <v>-1.3660851954928501E-2</v>
      </c>
    </row>
    <row r="109" spans="1:24" x14ac:dyDescent="0.35">
      <c r="A109" s="1">
        <v>42971</v>
      </c>
      <c r="B109">
        <v>716.85968019999996</v>
      </c>
      <c r="C109">
        <f t="shared" si="11"/>
        <v>-8.8492789775145297E-3</v>
      </c>
      <c r="D109">
        <v>1248.3000489999999</v>
      </c>
      <c r="E109">
        <f t="shared" si="12"/>
        <v>2.872179050739998E-3</v>
      </c>
      <c r="F109">
        <v>881.25</v>
      </c>
      <c r="G109">
        <f t="shared" si="13"/>
        <v>-5.6136711748975276E-3</v>
      </c>
      <c r="H109">
        <v>390.19934080000002</v>
      </c>
      <c r="I109">
        <f t="shared" si="14"/>
        <v>2.4311169045847514E-3</v>
      </c>
      <c r="J109">
        <v>456.0750122</v>
      </c>
      <c r="K109">
        <f t="shared" si="15"/>
        <v>2.1673428387562366E-2</v>
      </c>
      <c r="L109">
        <v>281.4500122</v>
      </c>
      <c r="M109">
        <f t="shared" si="16"/>
        <v>-3.8930300743053037E-3</v>
      </c>
      <c r="N109">
        <v>483</v>
      </c>
      <c r="O109">
        <f t="shared" si="17"/>
        <v>2.9411737939422089E-2</v>
      </c>
      <c r="P109">
        <v>159.4499969</v>
      </c>
      <c r="Q109">
        <f t="shared" si="18"/>
        <v>-1.5654352213704259E-3</v>
      </c>
      <c r="R109">
        <v>384.14999390000003</v>
      </c>
      <c r="S109">
        <f t="shared" si="19"/>
        <v>1.105403754478429E-2</v>
      </c>
      <c r="T109">
        <v>994.59997559999999</v>
      </c>
      <c r="U109">
        <f t="shared" si="20"/>
        <v>5.154093582617536E-3</v>
      </c>
      <c r="W109">
        <f t="shared" si="21"/>
        <v>5.2675177961623246E-3</v>
      </c>
      <c r="X109">
        <v>-1.3634516659556416E-2</v>
      </c>
    </row>
    <row r="110" spans="1:24" x14ac:dyDescent="0.35">
      <c r="A110" s="1">
        <v>42975</v>
      </c>
      <c r="B110">
        <v>716.17395020000004</v>
      </c>
      <c r="C110">
        <f t="shared" si="11"/>
        <v>-9.565749322218986E-4</v>
      </c>
      <c r="D110">
        <v>1243.650024</v>
      </c>
      <c r="E110">
        <f t="shared" si="12"/>
        <v>-3.7250859708969353E-3</v>
      </c>
      <c r="F110">
        <v>881.125</v>
      </c>
      <c r="G110">
        <f t="shared" si="13"/>
        <v>-1.4184397163119478E-4</v>
      </c>
      <c r="H110">
        <v>391.50616459999998</v>
      </c>
      <c r="I110">
        <f t="shared" si="14"/>
        <v>3.3491184206531077E-3</v>
      </c>
      <c r="J110">
        <v>470.5</v>
      </c>
      <c r="K110">
        <f t="shared" si="15"/>
        <v>3.162854226636358E-2</v>
      </c>
      <c r="L110">
        <v>282.4500122</v>
      </c>
      <c r="M110">
        <f t="shared" si="16"/>
        <v>3.5530288031730972E-3</v>
      </c>
      <c r="N110">
        <v>493.2000122</v>
      </c>
      <c r="O110">
        <f t="shared" si="17"/>
        <v>2.1118037681159496E-2</v>
      </c>
      <c r="P110">
        <v>160.6000061</v>
      </c>
      <c r="Q110">
        <f t="shared" si="18"/>
        <v>7.2123500931846607E-3</v>
      </c>
      <c r="R110">
        <v>379.2999878</v>
      </c>
      <c r="S110">
        <f t="shared" si="19"/>
        <v>-1.2625292664361076E-2</v>
      </c>
      <c r="T110">
        <v>1046.150024</v>
      </c>
      <c r="U110">
        <f t="shared" si="20"/>
        <v>5.1829931293635889E-2</v>
      </c>
      <c r="W110">
        <f t="shared" si="21"/>
        <v>1.0124221101905872E-2</v>
      </c>
      <c r="X110">
        <v>-1.3620937105086718E-2</v>
      </c>
    </row>
    <row r="111" spans="1:24" x14ac:dyDescent="0.35">
      <c r="A111" s="1">
        <v>42976</v>
      </c>
      <c r="B111">
        <v>700.4474487</v>
      </c>
      <c r="C111">
        <f t="shared" si="11"/>
        <v>-2.1959052679322189E-2</v>
      </c>
      <c r="D111">
        <v>1235.4250489999999</v>
      </c>
      <c r="E111">
        <f t="shared" si="12"/>
        <v>-6.6135768433838171E-3</v>
      </c>
      <c r="F111">
        <v>873.07501219999995</v>
      </c>
      <c r="G111">
        <f t="shared" si="13"/>
        <v>-9.1360338204000691E-3</v>
      </c>
      <c r="H111">
        <v>385.8282471</v>
      </c>
      <c r="I111">
        <f t="shared" si="14"/>
        <v>-1.450275375817156E-2</v>
      </c>
      <c r="J111">
        <v>463.72500609999997</v>
      </c>
      <c r="K111">
        <f t="shared" si="15"/>
        <v>-1.4399561955366735E-2</v>
      </c>
      <c r="L111">
        <v>280.25</v>
      </c>
      <c r="M111">
        <f t="shared" si="16"/>
        <v>-7.7890320586787576E-3</v>
      </c>
      <c r="N111">
        <v>481.7999878</v>
      </c>
      <c r="O111">
        <f t="shared" si="17"/>
        <v>-2.3114404132206556E-2</v>
      </c>
      <c r="P111">
        <v>157.25</v>
      </c>
      <c r="Q111">
        <f t="shared" si="18"/>
        <v>-2.0859314898867831E-2</v>
      </c>
      <c r="R111">
        <v>376.10000609999997</v>
      </c>
      <c r="S111">
        <f t="shared" si="19"/>
        <v>-8.4365457498705165E-3</v>
      </c>
      <c r="T111">
        <v>1032.849976</v>
      </c>
      <c r="U111">
        <f t="shared" si="20"/>
        <v>-1.2713327624987003E-2</v>
      </c>
      <c r="W111">
        <f t="shared" si="21"/>
        <v>-1.3952360352125506E-2</v>
      </c>
      <c r="X111">
        <v>-1.3597674418250551E-2</v>
      </c>
    </row>
    <row r="112" spans="1:24" x14ac:dyDescent="0.35">
      <c r="A112" s="1">
        <v>42977</v>
      </c>
      <c r="B112">
        <v>715.05389400000001</v>
      </c>
      <c r="C112">
        <f t="shared" si="11"/>
        <v>2.0853020918427223E-2</v>
      </c>
      <c r="D112">
        <v>1242.275024</v>
      </c>
      <c r="E112">
        <f t="shared" si="12"/>
        <v>5.5446301704378254E-3</v>
      </c>
      <c r="F112">
        <v>884.27502440000001</v>
      </c>
      <c r="G112">
        <f t="shared" si="13"/>
        <v>1.2828235882937467E-2</v>
      </c>
      <c r="H112">
        <v>386.63937379999999</v>
      </c>
      <c r="I112">
        <f t="shared" si="14"/>
        <v>2.1022999381115071E-3</v>
      </c>
      <c r="J112">
        <v>463.3250122</v>
      </c>
      <c r="K112">
        <f t="shared" si="15"/>
        <v>-8.6256702730780344E-4</v>
      </c>
      <c r="L112">
        <v>282</v>
      </c>
      <c r="M112">
        <f t="shared" si="16"/>
        <v>6.2444246208741561E-3</v>
      </c>
      <c r="N112">
        <v>484.25</v>
      </c>
      <c r="O112">
        <f t="shared" si="17"/>
        <v>5.0851230013253534E-3</v>
      </c>
      <c r="P112">
        <v>158.3999939</v>
      </c>
      <c r="Q112">
        <f t="shared" si="18"/>
        <v>7.3131567567568112E-3</v>
      </c>
      <c r="R112">
        <v>378.5</v>
      </c>
      <c r="S112">
        <f t="shared" si="19"/>
        <v>6.3812652514605439E-3</v>
      </c>
      <c r="T112">
        <v>1050.900024</v>
      </c>
      <c r="U112">
        <f t="shared" si="20"/>
        <v>1.7475963033763975E-2</v>
      </c>
      <c r="W112">
        <f t="shared" si="21"/>
        <v>8.2965552546787058E-3</v>
      </c>
      <c r="X112">
        <v>-1.3556002230246946E-2</v>
      </c>
    </row>
    <row r="113" spans="1:24" x14ac:dyDescent="0.35">
      <c r="A113" s="1">
        <v>42978</v>
      </c>
      <c r="B113">
        <v>728.95178220000003</v>
      </c>
      <c r="C113">
        <f t="shared" si="11"/>
        <v>1.9436140851223804E-2</v>
      </c>
      <c r="D113">
        <v>1248.1750489999999</v>
      </c>
      <c r="E113">
        <f t="shared" si="12"/>
        <v>4.7493710217263452E-3</v>
      </c>
      <c r="F113">
        <v>888.22497559999999</v>
      </c>
      <c r="G113">
        <f t="shared" si="13"/>
        <v>4.4668808809569249E-3</v>
      </c>
      <c r="H113">
        <v>385.46774290000002</v>
      </c>
      <c r="I113">
        <f t="shared" si="14"/>
        <v>-3.0302938070814189E-3</v>
      </c>
      <c r="J113">
        <v>457.47500609999997</v>
      </c>
      <c r="K113">
        <f t="shared" si="15"/>
        <v>-1.2626139202419728E-2</v>
      </c>
      <c r="L113">
        <v>282.25</v>
      </c>
      <c r="M113">
        <f t="shared" si="16"/>
        <v>8.8652482269502286E-4</v>
      </c>
      <c r="N113">
        <v>481.14999390000003</v>
      </c>
      <c r="O113">
        <f t="shared" si="17"/>
        <v>-6.4016646360350871E-3</v>
      </c>
      <c r="P113">
        <v>156.9499969</v>
      </c>
      <c r="Q113">
        <f t="shared" si="18"/>
        <v>-9.1540218171687338E-3</v>
      </c>
      <c r="R113">
        <v>376.5499878</v>
      </c>
      <c r="S113">
        <f t="shared" si="19"/>
        <v>-5.1519476882431192E-3</v>
      </c>
      <c r="T113">
        <v>1039.8000489999999</v>
      </c>
      <c r="U113">
        <f t="shared" si="20"/>
        <v>-1.0562351076699672E-2</v>
      </c>
      <c r="W113">
        <f t="shared" si="21"/>
        <v>-1.7387500651045663E-3</v>
      </c>
      <c r="X113">
        <v>-1.3492519382454158E-2</v>
      </c>
    </row>
    <row r="114" spans="1:24" x14ac:dyDescent="0.35">
      <c r="A114" s="1">
        <v>42979</v>
      </c>
      <c r="B114">
        <v>736.08355710000001</v>
      </c>
      <c r="C114">
        <f t="shared" si="11"/>
        <v>9.7836030779374639E-3</v>
      </c>
      <c r="D114">
        <v>1228.224976</v>
      </c>
      <c r="E114">
        <f t="shared" si="12"/>
        <v>-1.5983393528001821E-2</v>
      </c>
      <c r="F114">
        <v>883.79998780000005</v>
      </c>
      <c r="G114">
        <f t="shared" si="13"/>
        <v>-4.9818322176887753E-3</v>
      </c>
      <c r="H114">
        <v>380.82626340000002</v>
      </c>
      <c r="I114">
        <f t="shared" si="14"/>
        <v>-1.2041161901332198E-2</v>
      </c>
      <c r="J114">
        <v>459.97500609999997</v>
      </c>
      <c r="K114">
        <f t="shared" si="15"/>
        <v>5.4647794232796087E-3</v>
      </c>
      <c r="L114">
        <v>283.60000609999997</v>
      </c>
      <c r="M114">
        <f t="shared" si="16"/>
        <v>4.7830154118688739E-3</v>
      </c>
      <c r="N114">
        <v>486.2000122</v>
      </c>
      <c r="O114">
        <f t="shared" si="17"/>
        <v>1.0495725582508442E-2</v>
      </c>
      <c r="P114">
        <v>159.9499969</v>
      </c>
      <c r="Q114">
        <f t="shared" si="18"/>
        <v>1.9114368010541893E-2</v>
      </c>
      <c r="R114">
        <v>390.85000609999997</v>
      </c>
      <c r="S114">
        <f t="shared" si="19"/>
        <v>3.7976414190179941E-2</v>
      </c>
      <c r="T114">
        <v>1048.400024</v>
      </c>
      <c r="U114">
        <f t="shared" si="20"/>
        <v>8.2707968789488273E-3</v>
      </c>
      <c r="W114">
        <f t="shared" si="21"/>
        <v>6.2882314928242259E-3</v>
      </c>
      <c r="X114">
        <v>-1.3460534998435613E-2</v>
      </c>
    </row>
    <row r="115" spans="1:24" x14ac:dyDescent="0.35">
      <c r="A115" s="1">
        <v>42982</v>
      </c>
      <c r="B115">
        <v>737.56933590000006</v>
      </c>
      <c r="C115">
        <f t="shared" si="11"/>
        <v>2.0184920389387795E-3</v>
      </c>
      <c r="D115">
        <v>1228.099976</v>
      </c>
      <c r="E115">
        <f t="shared" si="12"/>
        <v>-1.0177288562152054E-4</v>
      </c>
      <c r="F115">
        <v>875.45001219999995</v>
      </c>
      <c r="G115">
        <f t="shared" si="13"/>
        <v>-9.4478113999360014E-3</v>
      </c>
      <c r="H115">
        <v>375.28353879999997</v>
      </c>
      <c r="I115">
        <f t="shared" si="14"/>
        <v>-1.4554470457249558E-2</v>
      </c>
      <c r="J115">
        <v>450.10000609999997</v>
      </c>
      <c r="K115">
        <f t="shared" si="15"/>
        <v>-2.1468557789101173E-2</v>
      </c>
      <c r="L115">
        <v>283.10000609999997</v>
      </c>
      <c r="M115">
        <f t="shared" si="16"/>
        <v>-1.7630465065071599E-3</v>
      </c>
      <c r="N115">
        <v>500.7000122</v>
      </c>
      <c r="O115">
        <f t="shared" si="17"/>
        <v>2.9823117310074032E-2</v>
      </c>
      <c r="P115">
        <v>161.8000031</v>
      </c>
      <c r="Q115">
        <f t="shared" si="18"/>
        <v>1.1566153397030821E-2</v>
      </c>
      <c r="R115">
        <v>383.39999390000003</v>
      </c>
      <c r="S115">
        <f t="shared" si="19"/>
        <v>-1.9061051768523796E-2</v>
      </c>
      <c r="T115">
        <v>1020.650024</v>
      </c>
      <c r="U115">
        <f t="shared" si="20"/>
        <v>-2.6468904392165538E-2</v>
      </c>
      <c r="W115">
        <f t="shared" si="21"/>
        <v>-4.9457852453061116E-3</v>
      </c>
      <c r="X115">
        <v>-1.3415596738798118E-2</v>
      </c>
    </row>
    <row r="116" spans="1:24" x14ac:dyDescent="0.35">
      <c r="A116" s="1">
        <v>42983</v>
      </c>
      <c r="B116">
        <v>746.36981200000002</v>
      </c>
      <c r="C116">
        <f t="shared" si="11"/>
        <v>1.193172719044977E-2</v>
      </c>
      <c r="D116">
        <v>1242.1750489999999</v>
      </c>
      <c r="E116">
        <f t="shared" si="12"/>
        <v>1.1460852760410756E-2</v>
      </c>
      <c r="F116">
        <v>877.67498780000005</v>
      </c>
      <c r="G116">
        <f t="shared" si="13"/>
        <v>2.5415221531710497E-3</v>
      </c>
      <c r="H116">
        <v>366.36108400000001</v>
      </c>
      <c r="I116">
        <f t="shared" si="14"/>
        <v>-2.3775236261441846E-2</v>
      </c>
      <c r="J116">
        <v>450.9500122</v>
      </c>
      <c r="K116">
        <f t="shared" si="15"/>
        <v>1.8884827560103901E-3</v>
      </c>
      <c r="L116">
        <v>282.85000609999997</v>
      </c>
      <c r="M116">
        <f t="shared" si="16"/>
        <v>-8.8308016465277195E-4</v>
      </c>
      <c r="N116">
        <v>491.85000609999997</v>
      </c>
      <c r="O116">
        <f t="shared" si="17"/>
        <v>-1.767526639576944E-2</v>
      </c>
      <c r="P116">
        <v>162.8000031</v>
      </c>
      <c r="Q116">
        <f t="shared" si="18"/>
        <v>6.1804695972840218E-3</v>
      </c>
      <c r="R116">
        <v>388.14999390000003</v>
      </c>
      <c r="S116">
        <f t="shared" si="19"/>
        <v>1.238914991020823E-2</v>
      </c>
      <c r="T116">
        <v>1077.6999510000001</v>
      </c>
      <c r="U116">
        <f t="shared" si="20"/>
        <v>5.589567986920474E-2</v>
      </c>
      <c r="W116">
        <f t="shared" si="21"/>
        <v>5.9954301414874905E-3</v>
      </c>
      <c r="X116">
        <v>-1.3338185798398483E-2</v>
      </c>
    </row>
    <row r="117" spans="1:24" x14ac:dyDescent="0.35">
      <c r="A117" s="1">
        <v>42984</v>
      </c>
      <c r="B117">
        <v>752.22149660000002</v>
      </c>
      <c r="C117">
        <f t="shared" si="11"/>
        <v>7.840194640669651E-3</v>
      </c>
      <c r="D117">
        <v>1226.599976</v>
      </c>
      <c r="E117">
        <f t="shared" si="12"/>
        <v>-1.2538549226647655E-2</v>
      </c>
      <c r="F117">
        <v>879.95001219999995</v>
      </c>
      <c r="G117">
        <f t="shared" si="13"/>
        <v>2.5921034911824403E-3</v>
      </c>
      <c r="H117">
        <v>362.75604249999998</v>
      </c>
      <c r="I117">
        <f t="shared" si="14"/>
        <v>-9.8401322013776937E-3</v>
      </c>
      <c r="J117">
        <v>447.7999878</v>
      </c>
      <c r="K117">
        <f t="shared" si="15"/>
        <v>-6.985307273044139E-3</v>
      </c>
      <c r="L117">
        <v>275.7000122</v>
      </c>
      <c r="M117">
        <f t="shared" si="16"/>
        <v>-2.5278394010258998E-2</v>
      </c>
      <c r="N117">
        <v>474.25</v>
      </c>
      <c r="O117">
        <f t="shared" si="17"/>
        <v>-3.5783279214642638E-2</v>
      </c>
      <c r="P117">
        <v>162.3000031</v>
      </c>
      <c r="Q117">
        <f t="shared" si="18"/>
        <v>-3.0712530127710025E-3</v>
      </c>
      <c r="R117">
        <v>382.7000122</v>
      </c>
      <c r="S117">
        <f t="shared" si="19"/>
        <v>-1.4040916618960786E-2</v>
      </c>
      <c r="T117">
        <v>1066.599976</v>
      </c>
      <c r="U117">
        <f t="shared" si="20"/>
        <v>-1.0299689621123598E-2</v>
      </c>
      <c r="W117">
        <f t="shared" si="21"/>
        <v>-1.0740522304697443E-2</v>
      </c>
      <c r="X117">
        <v>-1.3249072826892017E-2</v>
      </c>
    </row>
    <row r="118" spans="1:24" x14ac:dyDescent="0.35">
      <c r="A118" s="1">
        <v>42985</v>
      </c>
      <c r="B118">
        <v>748.01556400000004</v>
      </c>
      <c r="C118">
        <f t="shared" si="11"/>
        <v>-5.591348584174427E-3</v>
      </c>
      <c r="D118">
        <v>1230.0500489999999</v>
      </c>
      <c r="E118">
        <f t="shared" si="12"/>
        <v>2.8127124307069096E-3</v>
      </c>
      <c r="F118">
        <v>883.27502440000001</v>
      </c>
      <c r="G118">
        <f t="shared" si="13"/>
        <v>3.7786375974779851E-3</v>
      </c>
      <c r="H118">
        <v>358.06951900000001</v>
      </c>
      <c r="I118">
        <f t="shared" si="14"/>
        <v>-1.2919215535878936E-2</v>
      </c>
      <c r="J118">
        <v>447.875</v>
      </c>
      <c r="K118">
        <f t="shared" si="15"/>
        <v>1.6751273346060636E-4</v>
      </c>
      <c r="L118">
        <v>270.39999390000003</v>
      </c>
      <c r="M118">
        <f t="shared" si="16"/>
        <v>-1.922385950478378E-2</v>
      </c>
      <c r="N118">
        <v>480.4500122</v>
      </c>
      <c r="O118">
        <f t="shared" si="17"/>
        <v>1.3073299314707354E-2</v>
      </c>
      <c r="P118">
        <v>162.3000031</v>
      </c>
      <c r="Q118">
        <f t="shared" si="18"/>
        <v>0</v>
      </c>
      <c r="R118">
        <v>378.14999390000003</v>
      </c>
      <c r="S118">
        <f t="shared" si="19"/>
        <v>-1.1889255696239998E-2</v>
      </c>
      <c r="T118">
        <v>1076.1999510000001</v>
      </c>
      <c r="U118">
        <f t="shared" si="20"/>
        <v>9.0005392987184685E-3</v>
      </c>
      <c r="W118">
        <f t="shared" si="21"/>
        <v>-2.0790977946005818E-3</v>
      </c>
      <c r="X118">
        <v>-1.314290203886097E-2</v>
      </c>
    </row>
    <row r="119" spans="1:24" x14ac:dyDescent="0.35">
      <c r="A119" s="1">
        <v>42986</v>
      </c>
      <c r="B119">
        <v>746.91839600000003</v>
      </c>
      <c r="C119">
        <f t="shared" si="11"/>
        <v>-1.4667716192066083E-3</v>
      </c>
      <c r="D119">
        <v>1235.3000489999999</v>
      </c>
      <c r="E119">
        <f t="shared" si="12"/>
        <v>4.268119012123206E-3</v>
      </c>
      <c r="F119">
        <v>893.82501219999995</v>
      </c>
      <c r="G119">
        <f t="shared" si="13"/>
        <v>1.1944170851164282E-2</v>
      </c>
      <c r="H119">
        <v>363.6573181</v>
      </c>
      <c r="I119">
        <f t="shared" si="14"/>
        <v>1.5605347016426574E-2</v>
      </c>
      <c r="J119">
        <v>442.14999390000003</v>
      </c>
      <c r="K119">
        <f t="shared" si="15"/>
        <v>-1.2782598046329863E-2</v>
      </c>
      <c r="L119">
        <v>272.35000609999997</v>
      </c>
      <c r="M119">
        <f t="shared" si="16"/>
        <v>7.2115837425688056E-3</v>
      </c>
      <c r="N119">
        <v>471.35000609999997</v>
      </c>
      <c r="O119">
        <f t="shared" si="17"/>
        <v>-1.8940588758299182E-2</v>
      </c>
      <c r="P119">
        <v>161.8500061</v>
      </c>
      <c r="Q119">
        <f t="shared" si="18"/>
        <v>-2.7726247159880479E-3</v>
      </c>
      <c r="R119">
        <v>375.0499878</v>
      </c>
      <c r="S119">
        <f t="shared" si="19"/>
        <v>-8.1978213672001532E-3</v>
      </c>
      <c r="T119">
        <v>1070.849976</v>
      </c>
      <c r="U119">
        <f t="shared" si="20"/>
        <v>-4.9711719416348776E-3</v>
      </c>
      <c r="W119">
        <f t="shared" si="21"/>
        <v>-1.0102355826375861E-3</v>
      </c>
      <c r="X119">
        <v>-1.3108982841772178E-2</v>
      </c>
    </row>
    <row r="120" spans="1:24" x14ac:dyDescent="0.35">
      <c r="A120" s="1">
        <v>42989</v>
      </c>
      <c r="B120">
        <v>747.83270259999995</v>
      </c>
      <c r="C120">
        <f t="shared" si="11"/>
        <v>1.2241050761319094E-3</v>
      </c>
      <c r="D120">
        <v>1227.224976</v>
      </c>
      <c r="E120">
        <f t="shared" si="12"/>
        <v>-6.5369324695946363E-3</v>
      </c>
      <c r="F120">
        <v>911.67498780000005</v>
      </c>
      <c r="G120">
        <f t="shared" si="13"/>
        <v>1.9970324567294639E-2</v>
      </c>
      <c r="H120">
        <v>363.16162109999999</v>
      </c>
      <c r="I120">
        <f t="shared" si="14"/>
        <v>-1.3630882023490942E-3</v>
      </c>
      <c r="J120">
        <v>439.35000609999997</v>
      </c>
      <c r="K120">
        <f t="shared" si="15"/>
        <v>-6.3326650200821177E-3</v>
      </c>
      <c r="L120">
        <v>273.60000609999997</v>
      </c>
      <c r="M120">
        <f t="shared" si="16"/>
        <v>4.5896822911801749E-3</v>
      </c>
      <c r="N120">
        <v>467.4500122</v>
      </c>
      <c r="O120">
        <f t="shared" si="17"/>
        <v>-8.2740932418118307E-3</v>
      </c>
      <c r="P120">
        <v>163.0500031</v>
      </c>
      <c r="Q120">
        <f t="shared" si="18"/>
        <v>7.4142536593948538E-3</v>
      </c>
      <c r="R120">
        <v>375.2999878</v>
      </c>
      <c r="S120">
        <f t="shared" si="19"/>
        <v>6.6657781131107541E-4</v>
      </c>
      <c r="T120">
        <v>1088.8000489999999</v>
      </c>
      <c r="U120">
        <f t="shared" si="20"/>
        <v>1.6762453567071844E-2</v>
      </c>
      <c r="W120">
        <f t="shared" si="21"/>
        <v>2.8120618038546819E-3</v>
      </c>
      <c r="X120">
        <v>-1.3018841229322542E-2</v>
      </c>
    </row>
    <row r="121" spans="1:24" x14ac:dyDescent="0.35">
      <c r="A121" s="1">
        <v>42990</v>
      </c>
      <c r="B121">
        <v>753.18157959999996</v>
      </c>
      <c r="C121">
        <f t="shared" si="11"/>
        <v>7.1525048067615504E-3</v>
      </c>
      <c r="D121">
        <v>1244.224976</v>
      </c>
      <c r="E121">
        <f t="shared" si="12"/>
        <v>1.3852390826830652E-2</v>
      </c>
      <c r="F121">
        <v>917.59997559999999</v>
      </c>
      <c r="G121">
        <f t="shared" si="13"/>
        <v>6.4990132221327546E-3</v>
      </c>
      <c r="H121">
        <v>365.18945309999998</v>
      </c>
      <c r="I121">
        <f t="shared" si="14"/>
        <v>5.5838279217330644E-3</v>
      </c>
      <c r="J121">
        <v>442.02499390000003</v>
      </c>
      <c r="K121">
        <f t="shared" si="15"/>
        <v>6.0885120356437561E-3</v>
      </c>
      <c r="L121">
        <v>277.64999390000003</v>
      </c>
      <c r="M121">
        <f t="shared" si="16"/>
        <v>1.480258665827594E-2</v>
      </c>
      <c r="N121">
        <v>483.39999390000003</v>
      </c>
      <c r="O121">
        <f t="shared" si="17"/>
        <v>3.4121256356232088E-2</v>
      </c>
      <c r="P121">
        <v>162.3000031</v>
      </c>
      <c r="Q121">
        <f t="shared" si="18"/>
        <v>-4.5998159199053257E-3</v>
      </c>
      <c r="R121">
        <v>388.25</v>
      </c>
      <c r="S121">
        <f t="shared" si="19"/>
        <v>3.4505762379350768E-2</v>
      </c>
      <c r="T121">
        <v>1088.4499510000001</v>
      </c>
      <c r="U121">
        <f t="shared" si="20"/>
        <v>-3.2154480551449538E-4</v>
      </c>
      <c r="W121">
        <f t="shared" si="21"/>
        <v>1.1768449348154075E-2</v>
      </c>
      <c r="X121">
        <v>-1.3000315612506775E-2</v>
      </c>
    </row>
    <row r="122" spans="1:24" x14ac:dyDescent="0.35">
      <c r="A122" s="1">
        <v>42991</v>
      </c>
      <c r="B122">
        <v>776.26849370000002</v>
      </c>
      <c r="C122">
        <f t="shared" si="11"/>
        <v>3.065252088647874E-2</v>
      </c>
      <c r="D122">
        <v>1244.599976</v>
      </c>
      <c r="E122">
        <f t="shared" si="12"/>
        <v>3.0139243885418665E-4</v>
      </c>
      <c r="F122">
        <v>920.92498780000005</v>
      </c>
      <c r="G122">
        <f t="shared" si="13"/>
        <v>3.6235966525892671E-3</v>
      </c>
      <c r="H122">
        <v>361.98999020000002</v>
      </c>
      <c r="I122">
        <f t="shared" si="14"/>
        <v>-8.7611043332180838E-3</v>
      </c>
      <c r="J122">
        <v>441.875</v>
      </c>
      <c r="K122">
        <f t="shared" si="15"/>
        <v>-3.3933352654247351E-4</v>
      </c>
      <c r="L122">
        <v>271.5</v>
      </c>
      <c r="M122">
        <f t="shared" si="16"/>
        <v>-2.2150167603515403E-2</v>
      </c>
      <c r="N122">
        <v>503.35000609999997</v>
      </c>
      <c r="O122">
        <f t="shared" si="17"/>
        <v>4.1270195390459508E-2</v>
      </c>
      <c r="P122">
        <v>161.0500031</v>
      </c>
      <c r="Q122">
        <f t="shared" si="18"/>
        <v>-7.7017866674334856E-3</v>
      </c>
      <c r="R122">
        <v>389.64999390000003</v>
      </c>
      <c r="S122">
        <f t="shared" si="19"/>
        <v>3.6059083065036468E-3</v>
      </c>
      <c r="T122">
        <v>1091.5</v>
      </c>
      <c r="U122">
        <f t="shared" si="20"/>
        <v>2.8021949904060151E-3</v>
      </c>
      <c r="W122">
        <f t="shared" si="21"/>
        <v>4.3303416534581918E-3</v>
      </c>
      <c r="X122">
        <v>-1.2967999697297915E-2</v>
      </c>
    </row>
    <row r="123" spans="1:24" x14ac:dyDescent="0.35">
      <c r="A123" s="1">
        <v>42992</v>
      </c>
      <c r="B123">
        <v>771.55963129999998</v>
      </c>
      <c r="C123">
        <f t="shared" si="11"/>
        <v>-6.0660228235668301E-3</v>
      </c>
      <c r="D123">
        <v>1243.474976</v>
      </c>
      <c r="E123">
        <f t="shared" si="12"/>
        <v>-9.0390488646452383E-4</v>
      </c>
      <c r="F123">
        <v>919.70001219999995</v>
      </c>
      <c r="G123">
        <f t="shared" si="13"/>
        <v>-1.3301578480636733E-3</v>
      </c>
      <c r="H123">
        <v>359.5115356</v>
      </c>
      <c r="I123">
        <f t="shared" si="14"/>
        <v>-6.8467489905748025E-3</v>
      </c>
      <c r="J123">
        <v>446.2000122</v>
      </c>
      <c r="K123">
        <f t="shared" si="15"/>
        <v>9.7878635360679755E-3</v>
      </c>
      <c r="L123">
        <v>272</v>
      </c>
      <c r="M123">
        <f t="shared" si="16"/>
        <v>1.8416206261511192E-3</v>
      </c>
      <c r="N123">
        <v>524.65002440000001</v>
      </c>
      <c r="O123">
        <f t="shared" si="17"/>
        <v>4.2316515430355306E-2</v>
      </c>
      <c r="P123">
        <v>159.3500061</v>
      </c>
      <c r="Q123">
        <f t="shared" si="18"/>
        <v>-1.0555709203832975E-2</v>
      </c>
      <c r="R123">
        <v>404.39999390000003</v>
      </c>
      <c r="S123">
        <f t="shared" si="19"/>
        <v>3.7854485386660697E-2</v>
      </c>
      <c r="T123">
        <v>1089.75</v>
      </c>
      <c r="U123">
        <f t="shared" si="20"/>
        <v>-1.6032982134677187E-3</v>
      </c>
      <c r="W123">
        <f t="shared" si="21"/>
        <v>6.4494643013264579E-3</v>
      </c>
      <c r="X123">
        <v>-1.2965955750329017E-2</v>
      </c>
    </row>
    <row r="124" spans="1:24" x14ac:dyDescent="0.35">
      <c r="A124" s="1">
        <v>42993</v>
      </c>
      <c r="B124">
        <v>769.68530269999997</v>
      </c>
      <c r="C124">
        <f t="shared" si="11"/>
        <v>-2.4292725072228016E-3</v>
      </c>
      <c r="D124">
        <v>1253.025024</v>
      </c>
      <c r="E124">
        <f t="shared" si="12"/>
        <v>7.6801288198984352E-3</v>
      </c>
      <c r="F124">
        <v>924.47497559999999</v>
      </c>
      <c r="G124">
        <f t="shared" si="13"/>
        <v>5.1918705411104771E-3</v>
      </c>
      <c r="H124">
        <v>356.89788820000001</v>
      </c>
      <c r="I124">
        <f t="shared" si="14"/>
        <v>-7.2699959283308857E-3</v>
      </c>
      <c r="J124">
        <v>454.125</v>
      </c>
      <c r="K124">
        <f t="shared" si="15"/>
        <v>1.776106585234194E-2</v>
      </c>
      <c r="L124">
        <v>269.2999878</v>
      </c>
      <c r="M124">
        <f t="shared" si="16"/>
        <v>-9.9265154411765089E-3</v>
      </c>
      <c r="N124">
        <v>524.29998780000005</v>
      </c>
      <c r="O124">
        <f t="shared" si="17"/>
        <v>-6.6718113736918827E-4</v>
      </c>
      <c r="P124">
        <v>166.75</v>
      </c>
      <c r="Q124">
        <f t="shared" si="18"/>
        <v>4.6438616986033576E-2</v>
      </c>
      <c r="R124">
        <v>401.75</v>
      </c>
      <c r="S124">
        <f t="shared" si="19"/>
        <v>-6.5529029178356124E-3</v>
      </c>
      <c r="T124">
        <v>1087.75</v>
      </c>
      <c r="U124">
        <f t="shared" si="20"/>
        <v>-1.8352833218627795E-3</v>
      </c>
      <c r="W124">
        <f t="shared" si="21"/>
        <v>4.839053094558665E-3</v>
      </c>
      <c r="X124">
        <v>-1.2879715839963279E-2</v>
      </c>
    </row>
    <row r="125" spans="1:24" x14ac:dyDescent="0.35">
      <c r="A125" s="1">
        <v>42996</v>
      </c>
      <c r="B125">
        <v>773.11401369999999</v>
      </c>
      <c r="C125">
        <f t="shared" si="11"/>
        <v>4.4546920513777177E-3</v>
      </c>
      <c r="D125">
        <v>1249.525024</v>
      </c>
      <c r="E125">
        <f t="shared" si="12"/>
        <v>-2.7932403048320786E-3</v>
      </c>
      <c r="F125">
        <v>930.22497559999999</v>
      </c>
      <c r="G125">
        <f t="shared" si="13"/>
        <v>6.2197465066786695E-3</v>
      </c>
      <c r="H125">
        <v>357.48370360000001</v>
      </c>
      <c r="I125">
        <f t="shared" si="14"/>
        <v>1.6414089838259205E-3</v>
      </c>
      <c r="J125">
        <v>454.5499878</v>
      </c>
      <c r="K125">
        <f t="shared" si="15"/>
        <v>9.3583881089998044E-4</v>
      </c>
      <c r="L125">
        <v>267</v>
      </c>
      <c r="M125">
        <f t="shared" si="16"/>
        <v>-8.5406160571686041E-3</v>
      </c>
      <c r="N125">
        <v>521.04998780000005</v>
      </c>
      <c r="O125">
        <f t="shared" si="17"/>
        <v>-6.1987413229537269E-3</v>
      </c>
      <c r="P125">
        <v>165.1999969</v>
      </c>
      <c r="Q125">
        <f t="shared" si="18"/>
        <v>-9.2953709145426888E-3</v>
      </c>
      <c r="R125">
        <v>404.9500122</v>
      </c>
      <c r="S125">
        <f t="shared" si="19"/>
        <v>7.9651828251399159E-3</v>
      </c>
      <c r="T125">
        <v>1089.5</v>
      </c>
      <c r="U125">
        <f t="shared" si="20"/>
        <v>1.6088255573432075E-3</v>
      </c>
      <c r="W125">
        <f t="shared" si="21"/>
        <v>-4.0022738642316871E-4</v>
      </c>
      <c r="X125">
        <v>-1.2868356876220767E-2</v>
      </c>
    </row>
    <row r="126" spans="1:24" x14ac:dyDescent="0.35">
      <c r="A126" s="1">
        <v>42997</v>
      </c>
      <c r="B126">
        <v>766.75939940000001</v>
      </c>
      <c r="C126">
        <f t="shared" si="11"/>
        <v>-8.2195047397831678E-3</v>
      </c>
      <c r="D126">
        <v>1249.125</v>
      </c>
      <c r="E126">
        <f t="shared" si="12"/>
        <v>-3.2014084737530535E-4</v>
      </c>
      <c r="F126">
        <v>924.84997559999999</v>
      </c>
      <c r="G126">
        <f t="shared" si="13"/>
        <v>-5.7781720992097219E-3</v>
      </c>
      <c r="H126">
        <v>355.81637569999998</v>
      </c>
      <c r="I126">
        <f t="shared" si="14"/>
        <v>-4.6640668741243507E-3</v>
      </c>
      <c r="J126">
        <v>456.125</v>
      </c>
      <c r="K126">
        <f t="shared" si="15"/>
        <v>3.464992283077617E-3</v>
      </c>
      <c r="L126">
        <v>267.85000609999997</v>
      </c>
      <c r="M126">
        <f t="shared" si="16"/>
        <v>3.1835434456928269E-3</v>
      </c>
      <c r="N126">
        <v>515.79998780000005</v>
      </c>
      <c r="O126">
        <f t="shared" si="17"/>
        <v>-1.0075808699596678E-2</v>
      </c>
      <c r="P126">
        <v>165.8999939</v>
      </c>
      <c r="Q126">
        <f t="shared" si="18"/>
        <v>4.2372700552999465E-3</v>
      </c>
      <c r="R126">
        <v>423.64999390000003</v>
      </c>
      <c r="S126">
        <f t="shared" si="19"/>
        <v>4.6178493978571211E-2</v>
      </c>
      <c r="T126">
        <v>1077.5500489999999</v>
      </c>
      <c r="U126">
        <f t="shared" si="20"/>
        <v>-1.0968289123451158E-2</v>
      </c>
      <c r="W126">
        <f t="shared" si="21"/>
        <v>1.7038317379101226E-3</v>
      </c>
      <c r="X126">
        <v>-1.2858968587271436E-2</v>
      </c>
    </row>
    <row r="127" spans="1:24" x14ac:dyDescent="0.35">
      <c r="A127" s="1">
        <v>42998</v>
      </c>
      <c r="B127">
        <v>774.57696529999998</v>
      </c>
      <c r="C127">
        <f t="shared" si="11"/>
        <v>1.019559187160568E-2</v>
      </c>
      <c r="D127">
        <v>1246.775024</v>
      </c>
      <c r="E127">
        <f t="shared" si="12"/>
        <v>-1.881297708395846E-3</v>
      </c>
      <c r="F127">
        <v>924.42498780000005</v>
      </c>
      <c r="G127">
        <f t="shared" si="13"/>
        <v>-4.5952079927802369E-4</v>
      </c>
      <c r="H127">
        <v>357.6639404</v>
      </c>
      <c r="I127">
        <f t="shared" si="14"/>
        <v>5.1924667502030175E-3</v>
      </c>
      <c r="J127">
        <v>456.35000609999997</v>
      </c>
      <c r="K127">
        <f t="shared" si="15"/>
        <v>4.9329920526175464E-4</v>
      </c>
      <c r="L127">
        <v>271.5499878</v>
      </c>
      <c r="M127">
        <f t="shared" si="16"/>
        <v>1.3813633062299324E-2</v>
      </c>
      <c r="N127">
        <v>505.5</v>
      </c>
      <c r="O127">
        <f t="shared" si="17"/>
        <v>-1.9968957044632307E-2</v>
      </c>
      <c r="P127">
        <v>167.6999969</v>
      </c>
      <c r="Q127">
        <f t="shared" si="18"/>
        <v>1.0849928066211989E-2</v>
      </c>
      <c r="R127">
        <v>414.7999878</v>
      </c>
      <c r="S127">
        <f t="shared" si="19"/>
        <v>-2.0889900218171609E-2</v>
      </c>
      <c r="T127">
        <v>1084.75</v>
      </c>
      <c r="U127">
        <f t="shared" si="20"/>
        <v>6.6817787319315425E-3</v>
      </c>
      <c r="W127">
        <f t="shared" si="21"/>
        <v>4.0270219170355235E-4</v>
      </c>
      <c r="X127">
        <v>-1.2795995687314578E-2</v>
      </c>
    </row>
    <row r="128" spans="1:24" x14ac:dyDescent="0.35">
      <c r="A128" s="1">
        <v>42999</v>
      </c>
      <c r="B128">
        <v>769.27380370000003</v>
      </c>
      <c r="C128">
        <f t="shared" si="11"/>
        <v>-6.8465263460888437E-3</v>
      </c>
      <c r="D128">
        <v>1262.4499510000001</v>
      </c>
      <c r="E128">
        <f t="shared" si="12"/>
        <v>1.2572378094093173E-2</v>
      </c>
      <c r="F128">
        <v>919.54998780000005</v>
      </c>
      <c r="G128">
        <f t="shared" si="13"/>
        <v>-5.2735484915891195E-3</v>
      </c>
      <c r="H128">
        <v>360.5930176</v>
      </c>
      <c r="I128">
        <f t="shared" si="14"/>
        <v>8.1894674557467795E-3</v>
      </c>
      <c r="J128">
        <v>454.77499390000003</v>
      </c>
      <c r="K128">
        <f t="shared" si="15"/>
        <v>-3.4513250333009227E-3</v>
      </c>
      <c r="L128">
        <v>269.5499878</v>
      </c>
      <c r="M128">
        <f t="shared" si="16"/>
        <v>-7.365126458679927E-3</v>
      </c>
      <c r="N128">
        <v>519.65002440000001</v>
      </c>
      <c r="O128">
        <f t="shared" si="17"/>
        <v>2.799213531157263E-2</v>
      </c>
      <c r="P128">
        <v>165.8999939</v>
      </c>
      <c r="Q128">
        <f t="shared" si="18"/>
        <v>-1.0733470681417834E-2</v>
      </c>
      <c r="R128">
        <v>413.64999390000003</v>
      </c>
      <c r="S128">
        <f t="shared" si="19"/>
        <v>-2.7724058192462042E-3</v>
      </c>
      <c r="T128">
        <v>1069.0500489999999</v>
      </c>
      <c r="U128">
        <f t="shared" si="20"/>
        <v>-1.4473335791657105E-2</v>
      </c>
      <c r="W128">
        <f t="shared" si="21"/>
        <v>-2.1617577605673698E-4</v>
      </c>
      <c r="X128">
        <v>-1.2775852108249509E-2</v>
      </c>
    </row>
    <row r="129" spans="1:24" x14ac:dyDescent="0.35">
      <c r="A129" s="1">
        <v>43000</v>
      </c>
      <c r="B129">
        <v>747.37554929999999</v>
      </c>
      <c r="C129">
        <f t="shared" si="11"/>
        <v>-2.8466138187307699E-2</v>
      </c>
      <c r="D129">
        <v>1251.8000489999999</v>
      </c>
      <c r="E129">
        <f t="shared" si="12"/>
        <v>-8.4359003630711804E-3</v>
      </c>
      <c r="F129">
        <v>912.04998780000005</v>
      </c>
      <c r="G129">
        <f t="shared" si="13"/>
        <v>-8.1561634489752954E-3</v>
      </c>
      <c r="H129">
        <v>356.31207280000001</v>
      </c>
      <c r="I129">
        <f t="shared" si="14"/>
        <v>-1.1871957001532318E-2</v>
      </c>
      <c r="J129">
        <v>449.14999390000003</v>
      </c>
      <c r="K129">
        <f t="shared" si="15"/>
        <v>-1.236875394524628E-2</v>
      </c>
      <c r="L129">
        <v>268.4500122</v>
      </c>
      <c r="M129">
        <f t="shared" si="16"/>
        <v>-4.0807851967559206E-3</v>
      </c>
      <c r="N129">
        <v>513.84997559999999</v>
      </c>
      <c r="O129">
        <f t="shared" si="17"/>
        <v>-1.1161451992034221E-2</v>
      </c>
      <c r="P129">
        <v>164.4499969</v>
      </c>
      <c r="Q129">
        <f t="shared" si="18"/>
        <v>-8.7401871809230647E-3</v>
      </c>
      <c r="R129">
        <v>411.7999878</v>
      </c>
      <c r="S129">
        <f t="shared" si="19"/>
        <v>-4.4723948441475203E-3</v>
      </c>
      <c r="T129">
        <v>1039.150024</v>
      </c>
      <c r="U129">
        <f t="shared" si="20"/>
        <v>-2.796877941118725E-2</v>
      </c>
      <c r="W129">
        <f t="shared" si="21"/>
        <v>-1.2572251157118075E-2</v>
      </c>
      <c r="X129">
        <v>-1.2737291796446115E-2</v>
      </c>
    </row>
    <row r="130" spans="1:24" x14ac:dyDescent="0.35">
      <c r="A130" s="1">
        <v>43003</v>
      </c>
      <c r="B130">
        <v>751.1700439</v>
      </c>
      <c r="C130">
        <f t="shared" si="11"/>
        <v>5.0770922377030292E-3</v>
      </c>
      <c r="D130">
        <v>1255.375</v>
      </c>
      <c r="E130">
        <f t="shared" si="12"/>
        <v>2.8558482665470564E-3</v>
      </c>
      <c r="F130">
        <v>899.875</v>
      </c>
      <c r="G130">
        <f t="shared" si="13"/>
        <v>-1.334903564810952E-2</v>
      </c>
      <c r="H130">
        <v>351.26501459999997</v>
      </c>
      <c r="I130">
        <f t="shared" si="14"/>
        <v>-1.4164712860664119E-2</v>
      </c>
      <c r="J130">
        <v>447.6749878</v>
      </c>
      <c r="K130">
        <f t="shared" si="15"/>
        <v>-3.283994478531449E-3</v>
      </c>
      <c r="L130">
        <v>262.25</v>
      </c>
      <c r="M130">
        <f t="shared" si="16"/>
        <v>-2.3095592915752583E-2</v>
      </c>
      <c r="N130">
        <v>505.9500122</v>
      </c>
      <c r="O130">
        <f t="shared" si="17"/>
        <v>-1.5374065924155245E-2</v>
      </c>
      <c r="P130">
        <v>164.8000031</v>
      </c>
      <c r="Q130">
        <f t="shared" si="18"/>
        <v>2.1283442176822653E-3</v>
      </c>
      <c r="R130">
        <v>408.2000122</v>
      </c>
      <c r="S130">
        <f t="shared" si="19"/>
        <v>-8.7420488262578422E-3</v>
      </c>
      <c r="T130">
        <v>1029</v>
      </c>
      <c r="U130">
        <f t="shared" si="20"/>
        <v>-9.7676213882279539E-3</v>
      </c>
      <c r="W130">
        <f t="shared" si="21"/>
        <v>-7.7715787319766359E-3</v>
      </c>
      <c r="X130">
        <v>-1.2631805047474874E-2</v>
      </c>
    </row>
    <row r="131" spans="1:24" x14ac:dyDescent="0.35">
      <c r="A131" s="1">
        <v>43004</v>
      </c>
      <c r="B131">
        <v>749.84423830000003</v>
      </c>
      <c r="C131">
        <f t="shared" si="11"/>
        <v>-1.7649873164756746E-3</v>
      </c>
      <c r="D131">
        <v>1237.3249510000001</v>
      </c>
      <c r="E131">
        <f t="shared" si="12"/>
        <v>-1.4378212884596175E-2</v>
      </c>
      <c r="F131">
        <v>896.15002440000001</v>
      </c>
      <c r="G131">
        <f t="shared" si="13"/>
        <v>-4.1394366995416432E-3</v>
      </c>
      <c r="H131">
        <v>349.10198969999999</v>
      </c>
      <c r="I131">
        <f t="shared" si="14"/>
        <v>-6.1578147839832509E-3</v>
      </c>
      <c r="J131">
        <v>452.9500122</v>
      </c>
      <c r="K131">
        <f t="shared" si="15"/>
        <v>1.1783156405326345E-2</v>
      </c>
      <c r="L131">
        <v>262.4500122</v>
      </c>
      <c r="M131">
        <f t="shared" si="16"/>
        <v>7.6267759771209143E-4</v>
      </c>
      <c r="N131">
        <v>507.60000609999997</v>
      </c>
      <c r="O131">
        <f t="shared" si="17"/>
        <v>3.2611796822088479E-3</v>
      </c>
      <c r="P131">
        <v>171.3999939</v>
      </c>
      <c r="Q131">
        <f t="shared" si="18"/>
        <v>4.0048487110738495E-2</v>
      </c>
      <c r="R131">
        <v>411.25</v>
      </c>
      <c r="S131">
        <f t="shared" si="19"/>
        <v>7.4717974248996732E-3</v>
      </c>
      <c r="T131">
        <v>1116.0500489999999</v>
      </c>
      <c r="U131">
        <f t="shared" si="20"/>
        <v>8.4596743440233269E-2</v>
      </c>
      <c r="W131">
        <f t="shared" si="21"/>
        <v>1.2148358997652198E-2</v>
      </c>
      <c r="X131">
        <v>-1.2630603293527878E-2</v>
      </c>
    </row>
    <row r="132" spans="1:24" x14ac:dyDescent="0.35">
      <c r="A132" s="1">
        <v>43005</v>
      </c>
      <c r="B132">
        <v>730.68896480000001</v>
      </c>
      <c r="C132">
        <f t="shared" ref="C132:C195" si="22">B132/B131 - 1</f>
        <v>-2.5545670049326064E-2</v>
      </c>
      <c r="D132">
        <v>1247.5</v>
      </c>
      <c r="E132">
        <f t="shared" ref="E132:E195" si="23">D132/D131 - 1</f>
        <v>8.223425052389377E-3</v>
      </c>
      <c r="F132">
        <v>888.25</v>
      </c>
      <c r="G132">
        <f t="shared" ref="G132:G195" si="24">F132/F131 - 1</f>
        <v>-8.8155154660508606E-3</v>
      </c>
      <c r="H132">
        <v>347.84024049999999</v>
      </c>
      <c r="I132">
        <f t="shared" ref="I132:I195" si="25">H132/H131 - 1</f>
        <v>-3.6142710074046347E-3</v>
      </c>
      <c r="J132">
        <v>449.89999390000003</v>
      </c>
      <c r="K132">
        <f t="shared" ref="K132:K195" si="26">J132/J131 -1</f>
        <v>-6.7336752794991961E-3</v>
      </c>
      <c r="L132">
        <v>258.5</v>
      </c>
      <c r="M132">
        <f t="shared" ref="M132:M195" si="27">L132/L131 -1</f>
        <v>-1.5050531592240457E-2</v>
      </c>
      <c r="N132">
        <v>494.7000122</v>
      </c>
      <c r="O132">
        <f t="shared" ref="O132:O195" si="28">N132/N131-1</f>
        <v>-2.5413699261182865E-2</v>
      </c>
      <c r="P132">
        <v>170.1999969</v>
      </c>
      <c r="Q132">
        <f t="shared" ref="Q132:Q195" si="29">P132/P131 -1</f>
        <v>-7.0011496073920654E-3</v>
      </c>
      <c r="R132">
        <v>404.89999390000003</v>
      </c>
      <c r="S132">
        <f t="shared" ref="S132:S195" si="30">R132/R131 - 1</f>
        <v>-1.5440744316109312E-2</v>
      </c>
      <c r="T132">
        <v>1076.75</v>
      </c>
      <c r="U132">
        <f t="shared" ref="U132:U195" si="31">T132/T131 - 1</f>
        <v>-3.5213518457540061E-2</v>
      </c>
      <c r="W132">
        <f t="shared" ref="W132:W195" si="32">0.1*C132+0.1*E132+0.1*G132+0.1*I132+0.1*K132+0.1*M132+0.1*O132+0.1*Q132+0.1*S132+0.1*U132</f>
        <v>-1.3460534998435613E-2</v>
      </c>
      <c r="X132">
        <v>-1.2622538055531598E-2</v>
      </c>
    </row>
    <row r="133" spans="1:24" x14ac:dyDescent="0.35">
      <c r="A133" s="1">
        <v>43006</v>
      </c>
      <c r="B133">
        <v>719.07696529999998</v>
      </c>
      <c r="C133">
        <f t="shared" si="22"/>
        <v>-1.5891850102291327E-2</v>
      </c>
      <c r="D133">
        <v>1238.224976</v>
      </c>
      <c r="E133">
        <f t="shared" si="23"/>
        <v>-7.4348889779559668E-3</v>
      </c>
      <c r="F133">
        <v>897.65002440000001</v>
      </c>
      <c r="G133">
        <f t="shared" si="24"/>
        <v>1.0582633717984846E-2</v>
      </c>
      <c r="H133">
        <v>344.3253479</v>
      </c>
      <c r="I133">
        <f t="shared" si="25"/>
        <v>-1.010490504188799E-2</v>
      </c>
      <c r="J133">
        <v>448</v>
      </c>
      <c r="K133">
        <f t="shared" si="26"/>
        <v>-4.2231472010696436E-3</v>
      </c>
      <c r="L133">
        <v>261.5499878</v>
      </c>
      <c r="M133">
        <f t="shared" si="27"/>
        <v>1.1798792263056024E-2</v>
      </c>
      <c r="N133">
        <v>499.2000122</v>
      </c>
      <c r="O133">
        <f t="shared" si="28"/>
        <v>9.0964218496536464E-3</v>
      </c>
      <c r="P133">
        <v>171.5500031</v>
      </c>
      <c r="Q133">
        <f t="shared" si="29"/>
        <v>7.9318814605688903E-3</v>
      </c>
      <c r="R133">
        <v>401.39999390000003</v>
      </c>
      <c r="S133">
        <f t="shared" si="30"/>
        <v>-8.6441097869327521E-3</v>
      </c>
      <c r="T133">
        <v>1043.9499510000001</v>
      </c>
      <c r="U133">
        <f t="shared" si="31"/>
        <v>-3.0462084049222127E-2</v>
      </c>
      <c r="W133">
        <f t="shared" si="32"/>
        <v>-3.7351255868096405E-3</v>
      </c>
      <c r="X133">
        <v>-1.2572251157118075E-2</v>
      </c>
    </row>
    <row r="134" spans="1:24" x14ac:dyDescent="0.35">
      <c r="A134" s="1">
        <v>43007</v>
      </c>
      <c r="B134">
        <v>714.00244139999995</v>
      </c>
      <c r="C134">
        <f t="shared" si="22"/>
        <v>-7.0569968791629467E-3</v>
      </c>
      <c r="D134">
        <v>1217.974976</v>
      </c>
      <c r="E134">
        <f t="shared" si="23"/>
        <v>-1.6354055516967669E-2</v>
      </c>
      <c r="F134">
        <v>902.84997559999999</v>
      </c>
      <c r="G134">
        <f t="shared" si="24"/>
        <v>5.7928491713412633E-3</v>
      </c>
      <c r="H134">
        <v>350.99462890000001</v>
      </c>
      <c r="I134">
        <f t="shared" si="25"/>
        <v>1.9369125859235004E-2</v>
      </c>
      <c r="J134">
        <v>449.9500122</v>
      </c>
      <c r="K134">
        <f t="shared" si="26"/>
        <v>4.3527058035714994E-3</v>
      </c>
      <c r="L134">
        <v>258.2999878</v>
      </c>
      <c r="M134">
        <f t="shared" si="27"/>
        <v>-1.2425922965384251E-2</v>
      </c>
      <c r="N134">
        <v>503.25</v>
      </c>
      <c r="O134">
        <f t="shared" si="28"/>
        <v>8.1129561318549204E-3</v>
      </c>
      <c r="P134">
        <v>170.9499969</v>
      </c>
      <c r="Q134">
        <f t="shared" si="29"/>
        <v>-3.4975586660306313E-3</v>
      </c>
      <c r="R134">
        <v>401.5</v>
      </c>
      <c r="S134">
        <f t="shared" si="30"/>
        <v>2.4914325241587321E-4</v>
      </c>
      <c r="T134">
        <v>1078.4499510000001</v>
      </c>
      <c r="U134">
        <f t="shared" si="31"/>
        <v>3.3047561300187267E-2</v>
      </c>
      <c r="W134">
        <f t="shared" si="32"/>
        <v>3.1589807491060329E-3</v>
      </c>
      <c r="X134">
        <v>-1.2526329164955474E-2</v>
      </c>
    </row>
    <row r="135" spans="1:24" x14ac:dyDescent="0.35">
      <c r="A135" s="1">
        <v>43011</v>
      </c>
      <c r="B135">
        <v>729.95751949999999</v>
      </c>
      <c r="C135">
        <f t="shared" si="22"/>
        <v>2.2345971350904215E-2</v>
      </c>
      <c r="D135">
        <v>1224.224976</v>
      </c>
      <c r="E135">
        <f t="shared" si="23"/>
        <v>5.1314683168006692E-3</v>
      </c>
      <c r="F135">
        <v>904.42498780000005</v>
      </c>
      <c r="G135">
        <f t="shared" si="24"/>
        <v>1.7444893864602129E-3</v>
      </c>
      <c r="H135">
        <v>346.66860960000002</v>
      </c>
      <c r="I135">
        <f t="shared" si="25"/>
        <v>-1.2325029911590124E-2</v>
      </c>
      <c r="J135">
        <v>451.77499390000003</v>
      </c>
      <c r="K135">
        <f t="shared" si="26"/>
        <v>4.055965441754017E-3</v>
      </c>
      <c r="L135">
        <v>261.39999390000003</v>
      </c>
      <c r="M135">
        <f t="shared" si="27"/>
        <v>1.2001572769722024E-2</v>
      </c>
      <c r="N135">
        <v>502.64999390000003</v>
      </c>
      <c r="O135">
        <f t="shared" si="28"/>
        <v>-1.1922624937903414E-3</v>
      </c>
      <c r="P135">
        <v>170.6499939</v>
      </c>
      <c r="Q135">
        <f t="shared" si="29"/>
        <v>-1.7549166741166466E-3</v>
      </c>
      <c r="R135">
        <v>416</v>
      </c>
      <c r="S135">
        <f t="shared" si="30"/>
        <v>3.6114570361145626E-2</v>
      </c>
      <c r="T135">
        <v>1100.9499510000001</v>
      </c>
      <c r="U135">
        <f t="shared" si="31"/>
        <v>2.0863276945895182E-2</v>
      </c>
      <c r="W135">
        <f t="shared" si="32"/>
        <v>8.6985105493184844E-3</v>
      </c>
      <c r="X135">
        <v>-1.2523484056944402E-2</v>
      </c>
    </row>
    <row r="136" spans="1:24" x14ac:dyDescent="0.35">
      <c r="A136" s="1">
        <v>43012</v>
      </c>
      <c r="B136">
        <v>748.70135500000004</v>
      </c>
      <c r="C136">
        <f t="shared" si="22"/>
        <v>2.5677981251346127E-2</v>
      </c>
      <c r="D136">
        <v>1221.150024</v>
      </c>
      <c r="E136">
        <f t="shared" si="23"/>
        <v>-2.5117540160363161E-3</v>
      </c>
      <c r="F136">
        <v>898.5</v>
      </c>
      <c r="G136">
        <f t="shared" si="24"/>
        <v>-6.5511102412291189E-3</v>
      </c>
      <c r="H136">
        <v>339.90917969999998</v>
      </c>
      <c r="I136">
        <f t="shared" si="25"/>
        <v>-1.9498246200598701E-2</v>
      </c>
      <c r="J136">
        <v>449.7999878</v>
      </c>
      <c r="K136">
        <f t="shared" si="26"/>
        <v>-4.371658738679951E-3</v>
      </c>
      <c r="L136">
        <v>267.39999390000003</v>
      </c>
      <c r="M136">
        <f t="shared" si="27"/>
        <v>2.2953328768229975E-2</v>
      </c>
      <c r="N136">
        <v>517.90002440000001</v>
      </c>
      <c r="O136">
        <f t="shared" si="28"/>
        <v>3.0339263274782535E-2</v>
      </c>
      <c r="P136">
        <v>172.1000061</v>
      </c>
      <c r="Q136">
        <f t="shared" si="29"/>
        <v>8.4969953227758133E-3</v>
      </c>
      <c r="R136">
        <v>423.5499878</v>
      </c>
      <c r="S136">
        <f t="shared" si="30"/>
        <v>1.8149009134615479E-2</v>
      </c>
      <c r="T136">
        <v>1099.349976</v>
      </c>
      <c r="U136">
        <f t="shared" si="31"/>
        <v>-1.4532676971799052E-3</v>
      </c>
      <c r="W136">
        <f t="shared" si="32"/>
        <v>7.1230540858025944E-3</v>
      </c>
      <c r="X136">
        <v>-1.2469825682421443E-2</v>
      </c>
    </row>
    <row r="137" spans="1:24" x14ac:dyDescent="0.35">
      <c r="A137" s="1">
        <v>43013</v>
      </c>
      <c r="B137">
        <v>753.54730219999999</v>
      </c>
      <c r="C137">
        <f t="shared" si="22"/>
        <v>6.4724701880631841E-3</v>
      </c>
      <c r="D137">
        <v>1214.8000489999999</v>
      </c>
      <c r="E137">
        <f t="shared" si="23"/>
        <v>-5.199995803300328E-3</v>
      </c>
      <c r="F137">
        <v>899.29998780000005</v>
      </c>
      <c r="G137">
        <f t="shared" si="24"/>
        <v>8.9035926544256405E-4</v>
      </c>
      <c r="H137">
        <v>340.40487669999999</v>
      </c>
      <c r="I137">
        <f t="shared" si="25"/>
        <v>1.4583218977419765E-3</v>
      </c>
      <c r="J137">
        <v>451.52499390000003</v>
      </c>
      <c r="K137">
        <f t="shared" si="26"/>
        <v>3.8350514601770413E-3</v>
      </c>
      <c r="L137">
        <v>265.25</v>
      </c>
      <c r="M137">
        <f t="shared" si="27"/>
        <v>-8.040366301594104E-3</v>
      </c>
      <c r="N137">
        <v>513.79998780000005</v>
      </c>
      <c r="O137">
        <f t="shared" si="28"/>
        <v>-7.9166565105880382E-3</v>
      </c>
      <c r="P137">
        <v>171.1999969</v>
      </c>
      <c r="Q137">
        <f t="shared" si="29"/>
        <v>-5.2295709941871937E-3</v>
      </c>
      <c r="R137">
        <v>423.2999878</v>
      </c>
      <c r="S137">
        <f t="shared" si="30"/>
        <v>-5.902491021155809E-4</v>
      </c>
      <c r="T137">
        <v>1104</v>
      </c>
      <c r="U137">
        <f t="shared" si="31"/>
        <v>4.2297940615045881E-3</v>
      </c>
      <c r="W137">
        <f t="shared" si="32"/>
        <v>-1.009084183885589E-3</v>
      </c>
      <c r="X137">
        <v>-1.2440881995294729E-2</v>
      </c>
    </row>
    <row r="138" spans="1:24" x14ac:dyDescent="0.35">
      <c r="A138" s="1">
        <v>43014</v>
      </c>
      <c r="B138">
        <v>765.34222409999995</v>
      </c>
      <c r="C138">
        <f t="shared" si="22"/>
        <v>1.5652530193611458E-2</v>
      </c>
      <c r="D138">
        <v>1223.3249510000001</v>
      </c>
      <c r="E138">
        <f t="shared" si="23"/>
        <v>7.0175351137149455E-3</v>
      </c>
      <c r="F138">
        <v>900.04998780000005</v>
      </c>
      <c r="G138">
        <f t="shared" si="24"/>
        <v>8.3398199730289058E-4</v>
      </c>
      <c r="H138">
        <v>344.55065919999998</v>
      </c>
      <c r="I138">
        <f t="shared" si="25"/>
        <v>1.2178975049331298E-2</v>
      </c>
      <c r="J138">
        <v>460.0750122</v>
      </c>
      <c r="K138">
        <f t="shared" si="26"/>
        <v>1.8935869366056846E-2</v>
      </c>
      <c r="L138">
        <v>266.14999390000003</v>
      </c>
      <c r="M138">
        <f t="shared" si="27"/>
        <v>3.3930024505184342E-3</v>
      </c>
      <c r="N138">
        <v>530.20001219999995</v>
      </c>
      <c r="O138">
        <f t="shared" si="28"/>
        <v>3.1919082891032957E-2</v>
      </c>
      <c r="P138">
        <v>173.8500061</v>
      </c>
      <c r="Q138">
        <f t="shared" si="29"/>
        <v>1.5479025981220751E-2</v>
      </c>
      <c r="R138">
        <v>424.85000609999997</v>
      </c>
      <c r="S138">
        <f t="shared" si="30"/>
        <v>3.6617489834003258E-3</v>
      </c>
      <c r="T138">
        <v>1105.25</v>
      </c>
      <c r="U138">
        <f t="shared" si="31"/>
        <v>1.1322463768115298E-3</v>
      </c>
      <c r="W138">
        <f t="shared" si="32"/>
        <v>1.1020399840300144E-2</v>
      </c>
      <c r="X138">
        <v>-1.2430324010769501E-2</v>
      </c>
    </row>
    <row r="139" spans="1:24" x14ac:dyDescent="0.35">
      <c r="A139" s="1">
        <v>43017</v>
      </c>
      <c r="B139">
        <v>759.49047849999999</v>
      </c>
      <c r="C139">
        <f t="shared" si="22"/>
        <v>-7.6459202376836233E-3</v>
      </c>
      <c r="D139">
        <v>1227.0500489999999</v>
      </c>
      <c r="E139">
        <f t="shared" si="23"/>
        <v>3.0450601019416101E-3</v>
      </c>
      <c r="F139">
        <v>897.75</v>
      </c>
      <c r="G139">
        <f t="shared" si="24"/>
        <v>-2.5554000679695044E-3</v>
      </c>
      <c r="H139">
        <v>341.53143310000002</v>
      </c>
      <c r="I139">
        <f t="shared" si="25"/>
        <v>-8.7627929866981313E-3</v>
      </c>
      <c r="J139">
        <v>461.9500122</v>
      </c>
      <c r="K139">
        <f t="shared" si="26"/>
        <v>4.0754223773946663E-3</v>
      </c>
      <c r="L139">
        <v>268</v>
      </c>
      <c r="M139">
        <f t="shared" si="27"/>
        <v>6.9509905782492165E-3</v>
      </c>
      <c r="N139">
        <v>531.40002440000001</v>
      </c>
      <c r="O139">
        <f t="shared" si="28"/>
        <v>2.2633198272115074E-3</v>
      </c>
      <c r="P139">
        <v>170.6999969</v>
      </c>
      <c r="Q139">
        <f t="shared" si="29"/>
        <v>-1.8119120445633352E-2</v>
      </c>
      <c r="R139">
        <v>425.60000609999997</v>
      </c>
      <c r="S139">
        <f t="shared" si="30"/>
        <v>1.7653289142791628E-3</v>
      </c>
      <c r="T139">
        <v>1116.75</v>
      </c>
      <c r="U139">
        <f t="shared" si="31"/>
        <v>1.040488577244969E-2</v>
      </c>
      <c r="W139">
        <f t="shared" si="32"/>
        <v>-8.5782261664587548E-4</v>
      </c>
      <c r="X139">
        <v>-1.2424439107693986E-2</v>
      </c>
    </row>
    <row r="140" spans="1:24" x14ac:dyDescent="0.35">
      <c r="A140" s="1">
        <v>43018</v>
      </c>
      <c r="B140">
        <v>770.96533199999999</v>
      </c>
      <c r="C140">
        <f t="shared" si="22"/>
        <v>1.5108620614524337E-2</v>
      </c>
      <c r="D140">
        <v>1229.625</v>
      </c>
      <c r="E140">
        <f t="shared" si="23"/>
        <v>2.0984889753261626E-3</v>
      </c>
      <c r="F140">
        <v>901.34997559999999</v>
      </c>
      <c r="G140">
        <f t="shared" si="24"/>
        <v>4.0099978835979044E-3</v>
      </c>
      <c r="H140">
        <v>346.62353519999999</v>
      </c>
      <c r="I140">
        <f t="shared" si="25"/>
        <v>1.4909614771853263E-2</v>
      </c>
      <c r="J140">
        <v>467.72500609999997</v>
      </c>
      <c r="K140">
        <f t="shared" si="26"/>
        <v>1.2501339425227131E-2</v>
      </c>
      <c r="L140">
        <v>266.2000122</v>
      </c>
      <c r="M140">
        <f t="shared" si="27"/>
        <v>-6.716372388059666E-3</v>
      </c>
      <c r="N140">
        <v>527.20001219999995</v>
      </c>
      <c r="O140">
        <f t="shared" si="28"/>
        <v>-7.9036733292254802E-3</v>
      </c>
      <c r="P140">
        <v>170.3500061</v>
      </c>
      <c r="Q140">
        <f t="shared" si="29"/>
        <v>-2.050326926514412E-3</v>
      </c>
      <c r="R140">
        <v>423.60000609999997</v>
      </c>
      <c r="S140">
        <f t="shared" si="30"/>
        <v>-4.6992480529478575E-3</v>
      </c>
      <c r="T140">
        <v>1184.650024</v>
      </c>
      <c r="U140">
        <f t="shared" si="31"/>
        <v>6.0801454219834294E-2</v>
      </c>
      <c r="W140">
        <f t="shared" si="32"/>
        <v>8.8059895193615678E-3</v>
      </c>
      <c r="X140">
        <v>-1.2414741561313225E-2</v>
      </c>
    </row>
    <row r="141" spans="1:24" x14ac:dyDescent="0.35">
      <c r="A141" s="1">
        <v>43019</v>
      </c>
      <c r="B141">
        <v>768.17663570000002</v>
      </c>
      <c r="C141">
        <f t="shared" si="22"/>
        <v>-3.6171487669435232E-3</v>
      </c>
      <c r="D141">
        <v>1250.1750489999999</v>
      </c>
      <c r="E141">
        <f t="shared" si="23"/>
        <v>1.6712452170377201E-2</v>
      </c>
      <c r="F141">
        <v>895.07501219999995</v>
      </c>
      <c r="G141">
        <f t="shared" si="24"/>
        <v>-6.9617391355927261E-3</v>
      </c>
      <c r="H141">
        <v>363.70236210000002</v>
      </c>
      <c r="I141">
        <f t="shared" si="25"/>
        <v>4.9271977132613332E-2</v>
      </c>
      <c r="J141">
        <v>465.35000609999997</v>
      </c>
      <c r="K141">
        <f t="shared" si="26"/>
        <v>-5.0777699909682061E-3</v>
      </c>
      <c r="L141">
        <v>265.39999390000003</v>
      </c>
      <c r="M141">
        <f t="shared" si="27"/>
        <v>-3.0053278111756843E-3</v>
      </c>
      <c r="N141">
        <v>526.04998780000005</v>
      </c>
      <c r="O141">
        <f t="shared" si="28"/>
        <v>-2.181381588366893E-3</v>
      </c>
      <c r="P141">
        <v>169.1499939</v>
      </c>
      <c r="Q141">
        <f t="shared" si="29"/>
        <v>-7.0443918815921158E-3</v>
      </c>
      <c r="R141">
        <v>415.5</v>
      </c>
      <c r="S141">
        <f t="shared" si="30"/>
        <v>-1.9121827156177607E-2</v>
      </c>
      <c r="T141">
        <v>1213.099976</v>
      </c>
      <c r="U141">
        <f t="shared" si="31"/>
        <v>2.4015491008845036E-2</v>
      </c>
      <c r="W141">
        <f t="shared" si="32"/>
        <v>4.299033398101882E-3</v>
      </c>
      <c r="X141">
        <v>-1.2413688844483042E-2</v>
      </c>
    </row>
    <row r="142" spans="1:24" x14ac:dyDescent="0.35">
      <c r="A142" s="1">
        <v>43020</v>
      </c>
      <c r="B142">
        <v>797.98388669999997</v>
      </c>
      <c r="C142">
        <f t="shared" si="22"/>
        <v>3.8802600358754935E-2</v>
      </c>
      <c r="D142">
        <v>1274.099976</v>
      </c>
      <c r="E142">
        <f t="shared" si="23"/>
        <v>1.9137261633190628E-2</v>
      </c>
      <c r="F142">
        <v>909.40002440000001</v>
      </c>
      <c r="G142">
        <f t="shared" si="24"/>
        <v>1.6004258866294085E-2</v>
      </c>
      <c r="H142">
        <v>360.72821040000002</v>
      </c>
      <c r="I142">
        <f t="shared" si="25"/>
        <v>-8.1774330054591449E-3</v>
      </c>
      <c r="J142">
        <v>463.64999390000003</v>
      </c>
      <c r="K142">
        <f t="shared" si="26"/>
        <v>-3.6531904538852356E-3</v>
      </c>
      <c r="L142">
        <v>267</v>
      </c>
      <c r="M142">
        <f t="shared" si="27"/>
        <v>6.028659143838766E-3</v>
      </c>
      <c r="N142">
        <v>539.54998780000005</v>
      </c>
      <c r="O142">
        <f t="shared" si="28"/>
        <v>2.5662960389864375E-2</v>
      </c>
      <c r="P142">
        <v>169.6999969</v>
      </c>
      <c r="Q142">
        <f t="shared" si="29"/>
        <v>3.2515697300299351E-3</v>
      </c>
      <c r="R142">
        <v>420.14999390000003</v>
      </c>
      <c r="S142">
        <f t="shared" si="30"/>
        <v>1.1191321058965142E-2</v>
      </c>
      <c r="T142">
        <v>1268.650024</v>
      </c>
      <c r="U142">
        <f t="shared" si="31"/>
        <v>4.5791813617181987E-2</v>
      </c>
      <c r="W142">
        <f t="shared" si="32"/>
        <v>1.5403982133877548E-2</v>
      </c>
      <c r="X142">
        <v>-1.2411068958758252E-2</v>
      </c>
    </row>
    <row r="143" spans="1:24" x14ac:dyDescent="0.35">
      <c r="A143" s="1">
        <v>43021</v>
      </c>
      <c r="B143">
        <v>801.36688230000004</v>
      </c>
      <c r="C143">
        <f t="shared" si="22"/>
        <v>4.2394284601285914E-3</v>
      </c>
      <c r="D143">
        <v>1279.3000489999999</v>
      </c>
      <c r="E143">
        <f t="shared" si="23"/>
        <v>4.0813696711035075E-3</v>
      </c>
      <c r="F143">
        <v>925.40002440000001</v>
      </c>
      <c r="G143">
        <f t="shared" si="24"/>
        <v>1.7594017561805453E-2</v>
      </c>
      <c r="H143">
        <v>388.35174560000002</v>
      </c>
      <c r="I143">
        <f t="shared" si="25"/>
        <v>7.6577141469942545E-2</v>
      </c>
      <c r="J143">
        <v>465.0499878</v>
      </c>
      <c r="K143">
        <f t="shared" si="26"/>
        <v>3.0195059170041727E-3</v>
      </c>
      <c r="L143">
        <v>265.9500122</v>
      </c>
      <c r="M143">
        <f t="shared" si="27"/>
        <v>-3.9325385767789989E-3</v>
      </c>
      <c r="N143">
        <v>534.70001219999995</v>
      </c>
      <c r="O143">
        <f t="shared" si="28"/>
        <v>-8.9889272721064284E-3</v>
      </c>
      <c r="P143">
        <v>169.6499939</v>
      </c>
      <c r="Q143">
        <f t="shared" si="29"/>
        <v>-2.9465527939565028E-4</v>
      </c>
      <c r="R143">
        <v>424.7999878</v>
      </c>
      <c r="S143">
        <f t="shared" si="30"/>
        <v>1.1067461543523782E-2</v>
      </c>
      <c r="T143">
        <v>1229.900024</v>
      </c>
      <c r="U143">
        <f t="shared" si="31"/>
        <v>-3.0544278774238265E-2</v>
      </c>
      <c r="W143">
        <f t="shared" si="32"/>
        <v>7.2818524720988705E-3</v>
      </c>
      <c r="X143">
        <v>-1.2403555203270068E-2</v>
      </c>
    </row>
    <row r="144" spans="1:24" x14ac:dyDescent="0.35">
      <c r="A144" s="1">
        <v>43024</v>
      </c>
      <c r="B144">
        <v>801.68695070000001</v>
      </c>
      <c r="C144">
        <f t="shared" si="22"/>
        <v>3.9940307875130365E-4</v>
      </c>
      <c r="D144">
        <v>1292.1999510000001</v>
      </c>
      <c r="E144">
        <f t="shared" si="23"/>
        <v>1.0083562499730858E-2</v>
      </c>
      <c r="F144">
        <v>928.57501219999995</v>
      </c>
      <c r="G144">
        <f t="shared" si="24"/>
        <v>3.4309355049546575E-3</v>
      </c>
      <c r="H144">
        <v>408.539917</v>
      </c>
      <c r="I144">
        <f t="shared" si="25"/>
        <v>5.1984242709684381E-2</v>
      </c>
      <c r="J144">
        <v>469.5</v>
      </c>
      <c r="K144">
        <f t="shared" si="26"/>
        <v>9.5688900478239081E-3</v>
      </c>
      <c r="L144">
        <v>267.5</v>
      </c>
      <c r="M144">
        <f t="shared" si="27"/>
        <v>5.8281170479299593E-3</v>
      </c>
      <c r="N144">
        <v>547.95001219999995</v>
      </c>
      <c r="O144">
        <f t="shared" si="28"/>
        <v>2.4780250042418128E-2</v>
      </c>
      <c r="P144">
        <v>172.0500031</v>
      </c>
      <c r="Q144">
        <f t="shared" si="29"/>
        <v>1.414682750542684E-2</v>
      </c>
      <c r="R144">
        <v>437.0499878</v>
      </c>
      <c r="S144">
        <f t="shared" si="30"/>
        <v>2.8837100639860225E-2</v>
      </c>
      <c r="T144">
        <v>1232.4499510000001</v>
      </c>
      <c r="U144">
        <f t="shared" si="31"/>
        <v>2.073279901001035E-3</v>
      </c>
      <c r="W144">
        <f t="shared" si="32"/>
        <v>1.511326089775813E-2</v>
      </c>
      <c r="X144">
        <v>-1.2397892341103479E-2</v>
      </c>
    </row>
    <row r="145" spans="1:24" x14ac:dyDescent="0.35">
      <c r="A145" s="1">
        <v>43025</v>
      </c>
      <c r="B145">
        <v>799.44683840000005</v>
      </c>
      <c r="C145">
        <f t="shared" si="22"/>
        <v>-2.7942481763536531E-3</v>
      </c>
      <c r="D145">
        <v>1297.275024</v>
      </c>
      <c r="E145">
        <f t="shared" si="23"/>
        <v>3.9274672592832793E-3</v>
      </c>
      <c r="F145">
        <v>925.625</v>
      </c>
      <c r="G145">
        <f t="shared" si="24"/>
        <v>-3.1769239547063677E-3</v>
      </c>
      <c r="H145">
        <v>419.94082639999999</v>
      </c>
      <c r="I145">
        <f t="shared" si="25"/>
        <v>2.7906476027408589E-2</v>
      </c>
      <c r="J145">
        <v>465.25</v>
      </c>
      <c r="K145">
        <f t="shared" si="26"/>
        <v>-9.0521831735889124E-3</v>
      </c>
      <c r="L145">
        <v>267.25</v>
      </c>
      <c r="M145">
        <f t="shared" si="27"/>
        <v>-9.3457943925234765E-4</v>
      </c>
      <c r="N145">
        <v>547.20001219999995</v>
      </c>
      <c r="O145">
        <f t="shared" si="28"/>
        <v>-1.3687379930675814E-3</v>
      </c>
      <c r="P145">
        <v>171.1999969</v>
      </c>
      <c r="Q145">
        <f t="shared" si="29"/>
        <v>-4.9404602422816746E-3</v>
      </c>
      <c r="R145">
        <v>432.2999878</v>
      </c>
      <c r="S145">
        <f t="shared" si="30"/>
        <v>-1.0868322005705311E-2</v>
      </c>
      <c r="T145">
        <v>1220</v>
      </c>
      <c r="U145">
        <f t="shared" si="31"/>
        <v>-1.0101790332255112E-2</v>
      </c>
      <c r="W145">
        <f t="shared" si="32"/>
        <v>-1.1403302030519092E-3</v>
      </c>
      <c r="X145">
        <v>-1.2377664289202873E-2</v>
      </c>
    </row>
    <row r="146" spans="1:24" x14ac:dyDescent="0.35">
      <c r="A146" s="1">
        <v>43026</v>
      </c>
      <c r="B146">
        <v>836.15728760000002</v>
      </c>
      <c r="C146">
        <f t="shared" si="22"/>
        <v>4.5919812846432206E-2</v>
      </c>
      <c r="D146">
        <v>1293.3000489999999</v>
      </c>
      <c r="E146">
        <f t="shared" si="23"/>
        <v>-3.0640958366281446E-3</v>
      </c>
      <c r="F146">
        <v>934.25</v>
      </c>
      <c r="G146">
        <f t="shared" si="24"/>
        <v>9.3180283592166901E-3</v>
      </c>
      <c r="H146">
        <v>416.33578490000002</v>
      </c>
      <c r="I146">
        <f t="shared" si="25"/>
        <v>-8.5846416289282468E-3</v>
      </c>
      <c r="J146">
        <v>462.1749878</v>
      </c>
      <c r="K146">
        <f t="shared" si="26"/>
        <v>-6.6093760343901575E-3</v>
      </c>
      <c r="L146">
        <v>270.35000609999997</v>
      </c>
      <c r="M146">
        <f t="shared" si="27"/>
        <v>1.1599648643592086E-2</v>
      </c>
      <c r="N146">
        <v>540.20001219999995</v>
      </c>
      <c r="O146">
        <f t="shared" si="28"/>
        <v>-1.2792397375608111E-2</v>
      </c>
      <c r="P146">
        <v>174.4499969</v>
      </c>
      <c r="Q146">
        <f t="shared" si="29"/>
        <v>1.8983645203558996E-2</v>
      </c>
      <c r="R146">
        <v>433.2000122</v>
      </c>
      <c r="S146">
        <f t="shared" si="30"/>
        <v>2.0819440791111088E-3</v>
      </c>
      <c r="T146">
        <v>1159.6999510000001</v>
      </c>
      <c r="U146">
        <f t="shared" si="31"/>
        <v>-4.9426269672131151E-2</v>
      </c>
      <c r="W146">
        <f t="shared" si="32"/>
        <v>7.4262985842252823E-4</v>
      </c>
      <c r="X146">
        <v>-1.2295613372441984E-2</v>
      </c>
    </row>
    <row r="147" spans="1:24" x14ac:dyDescent="0.35">
      <c r="A147" s="1">
        <v>43027</v>
      </c>
      <c r="B147">
        <v>831.95135500000004</v>
      </c>
      <c r="C147">
        <f t="shared" si="22"/>
        <v>-5.0300734830310834E-3</v>
      </c>
      <c r="D147">
        <v>1291.9499510000001</v>
      </c>
      <c r="E147">
        <f t="shared" si="23"/>
        <v>-1.0439170717141399E-3</v>
      </c>
      <c r="F147">
        <v>924.20001219999995</v>
      </c>
      <c r="G147">
        <f t="shared" si="24"/>
        <v>-1.0757278886807664E-2</v>
      </c>
      <c r="H147">
        <v>426.97064210000002</v>
      </c>
      <c r="I147">
        <f t="shared" si="25"/>
        <v>2.5543942139286457E-2</v>
      </c>
      <c r="J147">
        <v>463.47500609999997</v>
      </c>
      <c r="K147">
        <f t="shared" si="26"/>
        <v>2.812827033735088E-3</v>
      </c>
      <c r="L147">
        <v>269.64999390000003</v>
      </c>
      <c r="M147">
        <f t="shared" si="27"/>
        <v>-2.5892812435928114E-3</v>
      </c>
      <c r="N147">
        <v>535.75</v>
      </c>
      <c r="O147">
        <f t="shared" si="28"/>
        <v>-8.237712142724618E-3</v>
      </c>
      <c r="P147">
        <v>172.0500031</v>
      </c>
      <c r="Q147">
        <f t="shared" si="29"/>
        <v>-1.3757488349946834E-2</v>
      </c>
      <c r="R147">
        <v>426.9500122</v>
      </c>
      <c r="S147">
        <f t="shared" si="30"/>
        <v>-1.4427515752503006E-2</v>
      </c>
      <c r="T147">
        <v>1167.400024</v>
      </c>
      <c r="U147">
        <f t="shared" si="31"/>
        <v>6.6397114127325629E-3</v>
      </c>
      <c r="W147">
        <f t="shared" si="32"/>
        <v>-2.0846786344566048E-3</v>
      </c>
      <c r="X147">
        <v>-1.227426731346808E-2</v>
      </c>
    </row>
    <row r="148" spans="1:24" x14ac:dyDescent="0.35">
      <c r="A148" s="1">
        <v>43031</v>
      </c>
      <c r="B148">
        <v>859.24414060000004</v>
      </c>
      <c r="C148">
        <f t="shared" si="22"/>
        <v>3.2805746917738965E-2</v>
      </c>
      <c r="D148">
        <v>1293.9499510000001</v>
      </c>
      <c r="E148">
        <f t="shared" si="23"/>
        <v>1.5480475837721386E-3</v>
      </c>
      <c r="F148">
        <v>931.65002440000001</v>
      </c>
      <c r="G148">
        <f t="shared" si="24"/>
        <v>8.0610388461970217E-3</v>
      </c>
      <c r="H148">
        <v>448.24029539999998</v>
      </c>
      <c r="I148">
        <f t="shared" si="25"/>
        <v>4.9815259417808955E-2</v>
      </c>
      <c r="J148">
        <v>469.75</v>
      </c>
      <c r="K148">
        <f t="shared" si="26"/>
        <v>1.3539012497787439E-2</v>
      </c>
      <c r="L148">
        <v>267.0499878</v>
      </c>
      <c r="M148">
        <f t="shared" si="27"/>
        <v>-9.6421515253741763E-3</v>
      </c>
      <c r="N148">
        <v>540.40002440000001</v>
      </c>
      <c r="O148">
        <f t="shared" si="28"/>
        <v>8.6794669155390025E-3</v>
      </c>
      <c r="P148">
        <v>171.6999969</v>
      </c>
      <c r="Q148">
        <f t="shared" si="29"/>
        <v>-2.0343283562545E-3</v>
      </c>
      <c r="R148">
        <v>422.75</v>
      </c>
      <c r="S148">
        <f t="shared" si="30"/>
        <v>-9.8372457664495094E-3</v>
      </c>
      <c r="T148">
        <v>1126.400024</v>
      </c>
      <c r="U148">
        <f t="shared" si="31"/>
        <v>-3.5120780501200377E-2</v>
      </c>
      <c r="W148">
        <f t="shared" si="32"/>
        <v>5.7814066029564966E-3</v>
      </c>
      <c r="X148">
        <v>-1.2112585632675666E-2</v>
      </c>
    </row>
    <row r="149" spans="1:24" x14ac:dyDescent="0.35">
      <c r="A149" s="1">
        <v>43032</v>
      </c>
      <c r="B149">
        <v>854.21533199999999</v>
      </c>
      <c r="C149">
        <f t="shared" si="22"/>
        <v>-5.852595743613076E-3</v>
      </c>
      <c r="D149">
        <v>1289.1999510000001</v>
      </c>
      <c r="E149">
        <f t="shared" si="23"/>
        <v>-3.6709302367754493E-3</v>
      </c>
      <c r="F149">
        <v>933.54998780000005</v>
      </c>
      <c r="G149">
        <f t="shared" si="24"/>
        <v>2.0393531371649676E-3</v>
      </c>
      <c r="H149">
        <v>452.47619630000003</v>
      </c>
      <c r="I149">
        <f t="shared" si="25"/>
        <v>9.4500671703778849E-3</v>
      </c>
      <c r="J149">
        <v>463.25</v>
      </c>
      <c r="K149">
        <f t="shared" si="26"/>
        <v>-1.383714741883979E-2</v>
      </c>
      <c r="L149">
        <v>267</v>
      </c>
      <c r="M149">
        <f t="shared" si="27"/>
        <v>-1.8718517986759942E-4</v>
      </c>
      <c r="N149">
        <v>534.54998780000005</v>
      </c>
      <c r="O149">
        <f t="shared" si="28"/>
        <v>-1.0825381820615543E-2</v>
      </c>
      <c r="P149">
        <v>176</v>
      </c>
      <c r="Q149">
        <f t="shared" si="29"/>
        <v>2.5043699345576487E-2</v>
      </c>
      <c r="R149">
        <v>416.0499878</v>
      </c>
      <c r="S149">
        <f t="shared" si="30"/>
        <v>-1.584863914843293E-2</v>
      </c>
      <c r="T149">
        <v>1092.900024</v>
      </c>
      <c r="U149">
        <f t="shared" si="31"/>
        <v>-2.9740766411773478E-2</v>
      </c>
      <c r="W149">
        <f t="shared" si="32"/>
        <v>-4.3429526306798527E-3</v>
      </c>
      <c r="X149">
        <v>-1.2099506685883266E-2</v>
      </c>
    </row>
    <row r="150" spans="1:24" x14ac:dyDescent="0.35">
      <c r="A150" s="1">
        <v>43033</v>
      </c>
      <c r="B150">
        <v>859.38134769999999</v>
      </c>
      <c r="C150">
        <f t="shared" si="22"/>
        <v>6.0476738200245794E-3</v>
      </c>
      <c r="D150">
        <v>1279.9499510000001</v>
      </c>
      <c r="E150">
        <f t="shared" si="23"/>
        <v>-7.1749925159592109E-3</v>
      </c>
      <c r="F150">
        <v>897.54998780000005</v>
      </c>
      <c r="G150">
        <f t="shared" si="24"/>
        <v>-3.8562477071889312E-2</v>
      </c>
      <c r="H150">
        <v>464.8234253</v>
      </c>
      <c r="I150">
        <f t="shared" si="25"/>
        <v>2.7288129410930395E-2</v>
      </c>
      <c r="J150">
        <v>467.64999390000003</v>
      </c>
      <c r="K150">
        <f t="shared" si="26"/>
        <v>9.4980980032379758E-3</v>
      </c>
      <c r="L150">
        <v>269.25</v>
      </c>
      <c r="M150">
        <f t="shared" si="27"/>
        <v>8.4269662921347965E-3</v>
      </c>
      <c r="N150">
        <v>523.25</v>
      </c>
      <c r="O150">
        <f t="shared" si="28"/>
        <v>-2.1139253686089154E-2</v>
      </c>
      <c r="P150">
        <v>176.8500061</v>
      </c>
      <c r="Q150">
        <f t="shared" si="29"/>
        <v>4.8295801136364336E-3</v>
      </c>
      <c r="R150">
        <v>421.9500122</v>
      </c>
      <c r="S150">
        <f t="shared" si="30"/>
        <v>1.4181046924669483E-2</v>
      </c>
      <c r="T150">
        <v>1143.6999510000001</v>
      </c>
      <c r="U150">
        <f t="shared" si="31"/>
        <v>4.6481769498067038E-2</v>
      </c>
      <c r="W150">
        <f t="shared" si="32"/>
        <v>4.9876540788763024E-3</v>
      </c>
      <c r="X150">
        <v>-1.1907443187144685E-2</v>
      </c>
    </row>
    <row r="151" spans="1:24" x14ac:dyDescent="0.35">
      <c r="A151" s="1">
        <v>43034</v>
      </c>
      <c r="B151">
        <v>866.23883060000003</v>
      </c>
      <c r="C151">
        <f t="shared" si="22"/>
        <v>7.979557525134906E-3</v>
      </c>
      <c r="D151">
        <v>1269.4250489999999</v>
      </c>
      <c r="E151">
        <f t="shared" si="23"/>
        <v>-8.2229012093615328E-3</v>
      </c>
      <c r="F151">
        <v>897.67498780000005</v>
      </c>
      <c r="G151">
        <f t="shared" si="24"/>
        <v>1.3926800924646265E-4</v>
      </c>
      <c r="H151">
        <v>460.81283569999999</v>
      </c>
      <c r="I151">
        <f t="shared" si="25"/>
        <v>-8.6282002620921006E-3</v>
      </c>
      <c r="J151">
        <v>473.6749878</v>
      </c>
      <c r="K151">
        <f t="shared" si="26"/>
        <v>1.2883553894129429E-2</v>
      </c>
      <c r="L151">
        <v>268.39999390000003</v>
      </c>
      <c r="M151">
        <f t="shared" si="27"/>
        <v>-3.1569400185700314E-3</v>
      </c>
      <c r="N151">
        <v>530.15002440000001</v>
      </c>
      <c r="O151">
        <f t="shared" si="28"/>
        <v>1.3186859818442365E-2</v>
      </c>
      <c r="P151">
        <v>177.3500061</v>
      </c>
      <c r="Q151">
        <f t="shared" si="29"/>
        <v>2.8272546381324926E-3</v>
      </c>
      <c r="R151">
        <v>419.39999390000003</v>
      </c>
      <c r="S151">
        <f t="shared" si="30"/>
        <v>-6.0434132628754966E-3</v>
      </c>
      <c r="T151">
        <v>1143.099976</v>
      </c>
      <c r="U151">
        <f t="shared" si="31"/>
        <v>-5.2459126143666879E-4</v>
      </c>
      <c r="W151">
        <f t="shared" si="32"/>
        <v>1.0440447870749827E-3</v>
      </c>
      <c r="X151">
        <v>-1.1897810844851831E-2</v>
      </c>
    </row>
    <row r="152" spans="1:24" x14ac:dyDescent="0.35">
      <c r="A152" s="1">
        <v>43035</v>
      </c>
      <c r="B152">
        <v>850.19226070000002</v>
      </c>
      <c r="C152">
        <f t="shared" si="22"/>
        <v>-1.8524417669992133E-2</v>
      </c>
      <c r="D152">
        <v>1292.150024</v>
      </c>
      <c r="E152">
        <f t="shared" si="23"/>
        <v>1.7901785550790805E-2</v>
      </c>
      <c r="F152">
        <v>895.52502440000001</v>
      </c>
      <c r="G152">
        <f t="shared" si="24"/>
        <v>-2.3950354295479981E-3</v>
      </c>
      <c r="H152">
        <v>437.3801575</v>
      </c>
      <c r="I152">
        <f t="shared" si="25"/>
        <v>-5.0850749772203052E-2</v>
      </c>
      <c r="J152">
        <v>473.1749878</v>
      </c>
      <c r="K152">
        <f t="shared" si="26"/>
        <v>-1.0555761078334669E-3</v>
      </c>
      <c r="L152">
        <v>269.35000609999997</v>
      </c>
      <c r="M152">
        <f t="shared" si="27"/>
        <v>3.5395388285810458E-3</v>
      </c>
      <c r="N152">
        <v>549.90002440000001</v>
      </c>
      <c r="O152">
        <f t="shared" si="28"/>
        <v>3.7253605754997698E-2</v>
      </c>
      <c r="P152">
        <v>184</v>
      </c>
      <c r="Q152">
        <f t="shared" si="29"/>
        <v>3.7496440210159188E-2</v>
      </c>
      <c r="R152">
        <v>429.89999390000003</v>
      </c>
      <c r="S152">
        <f t="shared" si="30"/>
        <v>2.503576574324784E-2</v>
      </c>
      <c r="T152">
        <v>1136.1999510000001</v>
      </c>
      <c r="U152">
        <f t="shared" si="31"/>
        <v>-6.0362393009094628E-3</v>
      </c>
      <c r="W152">
        <f t="shared" si="32"/>
        <v>4.2365117807290466E-3</v>
      </c>
      <c r="X152">
        <v>-1.1776764111898375E-2</v>
      </c>
    </row>
    <row r="153" spans="1:24" x14ac:dyDescent="0.35">
      <c r="A153" s="1">
        <v>43038</v>
      </c>
      <c r="B153">
        <v>861.75860599999999</v>
      </c>
      <c r="C153">
        <f t="shared" si="22"/>
        <v>1.3604387895129522E-2</v>
      </c>
      <c r="D153">
        <v>1308.099976</v>
      </c>
      <c r="E153">
        <f t="shared" si="23"/>
        <v>1.2343730761715355E-2</v>
      </c>
      <c r="F153">
        <v>907.5</v>
      </c>
      <c r="G153">
        <f t="shared" si="24"/>
        <v>1.3372016720608393E-2</v>
      </c>
      <c r="H153">
        <v>444.22970579999998</v>
      </c>
      <c r="I153">
        <f t="shared" si="25"/>
        <v>1.5660400186306989E-2</v>
      </c>
      <c r="J153">
        <v>472.0499878</v>
      </c>
      <c r="K153">
        <f t="shared" si="26"/>
        <v>-2.3775559338641283E-3</v>
      </c>
      <c r="L153">
        <v>265.14999390000003</v>
      </c>
      <c r="M153">
        <f t="shared" si="27"/>
        <v>-1.5593139427814373E-2</v>
      </c>
      <c r="N153">
        <v>553.09997559999999</v>
      </c>
      <c r="O153">
        <f t="shared" si="28"/>
        <v>5.8191508601794784E-3</v>
      </c>
      <c r="P153">
        <v>186.6000061</v>
      </c>
      <c r="Q153">
        <f t="shared" si="29"/>
        <v>1.4130467934782676E-2</v>
      </c>
      <c r="R153">
        <v>436.5499878</v>
      </c>
      <c r="S153">
        <f t="shared" si="30"/>
        <v>1.5468699684482612E-2</v>
      </c>
      <c r="T153">
        <v>1147.900024</v>
      </c>
      <c r="U153">
        <f t="shared" si="31"/>
        <v>1.029754753087464E-2</v>
      </c>
      <c r="W153">
        <f t="shared" si="32"/>
        <v>8.2725706212401166E-3</v>
      </c>
      <c r="X153">
        <v>-1.1742081945946461E-2</v>
      </c>
    </row>
    <row r="154" spans="1:24" x14ac:dyDescent="0.35">
      <c r="A154" s="1">
        <v>43039</v>
      </c>
      <c r="B154">
        <v>860.24993900000004</v>
      </c>
      <c r="C154">
        <f t="shared" si="22"/>
        <v>-1.7506839960701459E-3</v>
      </c>
      <c r="D154">
        <v>1312</v>
      </c>
      <c r="E154">
        <f t="shared" si="23"/>
        <v>2.981441840497423E-3</v>
      </c>
      <c r="F154">
        <v>904.25</v>
      </c>
      <c r="G154">
        <f t="shared" si="24"/>
        <v>-3.5812672176308569E-3</v>
      </c>
      <c r="H154">
        <v>448.10510249999999</v>
      </c>
      <c r="I154">
        <f t="shared" si="25"/>
        <v>8.7238576110548749E-3</v>
      </c>
      <c r="J154">
        <v>460.9249878</v>
      </c>
      <c r="K154">
        <f t="shared" si="26"/>
        <v>-2.3567419314738935E-2</v>
      </c>
      <c r="L154">
        <v>265.7000122</v>
      </c>
      <c r="M154">
        <f t="shared" si="27"/>
        <v>2.0743666326743515E-3</v>
      </c>
      <c r="N154">
        <v>552.90002440000001</v>
      </c>
      <c r="O154">
        <f t="shared" si="28"/>
        <v>-3.6151005029982919E-4</v>
      </c>
      <c r="P154">
        <v>191.1000061</v>
      </c>
      <c r="Q154">
        <f t="shared" si="29"/>
        <v>2.4115754838659686E-2</v>
      </c>
      <c r="R154">
        <v>428.39999390000003</v>
      </c>
      <c r="S154">
        <f t="shared" si="30"/>
        <v>-1.866909661611027E-2</v>
      </c>
      <c r="T154">
        <v>1140.599976</v>
      </c>
      <c r="U154">
        <f t="shared" si="31"/>
        <v>-6.3594806580473673E-3</v>
      </c>
      <c r="W154">
        <f t="shared" si="32"/>
        <v>-1.6394036930011066E-3</v>
      </c>
      <c r="X154">
        <v>-1.1706929659510566E-2</v>
      </c>
    </row>
    <row r="155" spans="1:24" x14ac:dyDescent="0.35">
      <c r="A155" s="1">
        <v>43040</v>
      </c>
      <c r="B155">
        <v>870.94763179999995</v>
      </c>
      <c r="C155">
        <f t="shared" si="22"/>
        <v>1.2435563567066987E-2</v>
      </c>
      <c r="D155">
        <v>1301.4250489999999</v>
      </c>
      <c r="E155">
        <f t="shared" si="23"/>
        <v>-8.0601760670732103E-3</v>
      </c>
      <c r="F155">
        <v>910.59997559999999</v>
      </c>
      <c r="G155">
        <f t="shared" si="24"/>
        <v>7.0223672656897218E-3</v>
      </c>
      <c r="H155">
        <v>485.86779790000003</v>
      </c>
      <c r="I155">
        <f t="shared" si="25"/>
        <v>8.427196028190731E-2</v>
      </c>
      <c r="J155">
        <v>463.52499390000003</v>
      </c>
      <c r="K155">
        <f t="shared" si="26"/>
        <v>5.6408443213502579E-3</v>
      </c>
      <c r="L155">
        <v>269.85000609999997</v>
      </c>
      <c r="M155">
        <f t="shared" si="27"/>
        <v>1.5619095632092517E-2</v>
      </c>
      <c r="N155">
        <v>548.70001219999995</v>
      </c>
      <c r="O155">
        <f t="shared" si="28"/>
        <v>-7.5963320937774137E-3</v>
      </c>
      <c r="P155">
        <v>191</v>
      </c>
      <c r="Q155">
        <f t="shared" si="29"/>
        <v>-5.2331814132788868E-4</v>
      </c>
      <c r="R155">
        <v>437.75</v>
      </c>
      <c r="S155">
        <f t="shared" si="30"/>
        <v>2.1825411375198334E-2</v>
      </c>
      <c r="T155">
        <v>1151.8000489999999</v>
      </c>
      <c r="U155">
        <f t="shared" si="31"/>
        <v>9.819457509790519E-3</v>
      </c>
      <c r="W155">
        <f t="shared" si="32"/>
        <v>1.4045487365091713E-2</v>
      </c>
      <c r="X155">
        <v>-1.170239500614453E-2</v>
      </c>
    </row>
    <row r="156" spans="1:24" x14ac:dyDescent="0.35">
      <c r="A156" s="1">
        <v>43041</v>
      </c>
      <c r="B156">
        <v>865.50732419999997</v>
      </c>
      <c r="C156">
        <f t="shared" si="22"/>
        <v>-6.2464233225554278E-3</v>
      </c>
      <c r="D156">
        <v>1313.0749510000001</v>
      </c>
      <c r="E156">
        <f t="shared" si="23"/>
        <v>8.9516503535502778E-3</v>
      </c>
      <c r="F156">
        <v>911.04998780000005</v>
      </c>
      <c r="G156">
        <f t="shared" si="24"/>
        <v>4.9419307276332702E-4</v>
      </c>
      <c r="H156">
        <v>489.56295779999999</v>
      </c>
      <c r="I156">
        <f t="shared" si="25"/>
        <v>7.6052784645763705E-3</v>
      </c>
      <c r="J156">
        <v>461.4500122</v>
      </c>
      <c r="K156">
        <f t="shared" si="26"/>
        <v>-4.4765260283843311E-3</v>
      </c>
      <c r="L156">
        <v>265.64999390000003</v>
      </c>
      <c r="M156">
        <f t="shared" si="27"/>
        <v>-1.5564247193100011E-2</v>
      </c>
      <c r="N156">
        <v>563.45001219999995</v>
      </c>
      <c r="O156">
        <f t="shared" si="28"/>
        <v>2.688171983240939E-2</v>
      </c>
      <c r="P156">
        <v>188</v>
      </c>
      <c r="Q156">
        <f t="shared" si="29"/>
        <v>-1.5706806282722474E-2</v>
      </c>
      <c r="R156">
        <v>434.89999390000003</v>
      </c>
      <c r="S156">
        <f t="shared" si="30"/>
        <v>-6.5105793260993305E-3</v>
      </c>
      <c r="T156">
        <v>1149.4499510000001</v>
      </c>
      <c r="U156">
        <f t="shared" si="31"/>
        <v>-2.0403697690760669E-3</v>
      </c>
      <c r="W156">
        <f t="shared" si="32"/>
        <v>-6.6121101986382758E-4</v>
      </c>
      <c r="X156">
        <v>-1.1682615993312563E-2</v>
      </c>
    </row>
    <row r="157" spans="1:24" x14ac:dyDescent="0.35">
      <c r="A157" s="1">
        <v>43042</v>
      </c>
      <c r="B157">
        <v>864.31872559999999</v>
      </c>
      <c r="C157">
        <f t="shared" si="22"/>
        <v>-1.3732969863641253E-3</v>
      </c>
      <c r="D157">
        <v>1310.0500489999999</v>
      </c>
      <c r="E157">
        <f t="shared" si="23"/>
        <v>-2.3036780936963597E-3</v>
      </c>
      <c r="F157">
        <v>915.34997559999999</v>
      </c>
      <c r="G157">
        <f t="shared" si="24"/>
        <v>4.7198154410643678E-3</v>
      </c>
      <c r="H157">
        <v>487.80548099999999</v>
      </c>
      <c r="I157">
        <f t="shared" si="25"/>
        <v>-3.5898892512165048E-3</v>
      </c>
      <c r="J157">
        <v>463.3250122</v>
      </c>
      <c r="K157">
        <f t="shared" si="26"/>
        <v>4.0632786876757532E-3</v>
      </c>
      <c r="L157">
        <v>265.39999390000003</v>
      </c>
      <c r="M157">
        <f t="shared" si="27"/>
        <v>-9.4108791921942991E-4</v>
      </c>
      <c r="N157">
        <v>551.25</v>
      </c>
      <c r="O157">
        <f t="shared" si="28"/>
        <v>-2.1652341708832012E-2</v>
      </c>
      <c r="P157">
        <v>191.8500061</v>
      </c>
      <c r="Q157">
        <f t="shared" si="29"/>
        <v>2.0478755851063735E-2</v>
      </c>
      <c r="R157">
        <v>447.7000122</v>
      </c>
      <c r="S157">
        <f t="shared" si="30"/>
        <v>2.9432095837056194E-2</v>
      </c>
      <c r="T157">
        <v>1129.150024</v>
      </c>
      <c r="U157">
        <f t="shared" si="31"/>
        <v>-1.7660557540882471E-2</v>
      </c>
      <c r="W157">
        <f t="shared" si="32"/>
        <v>1.1173094316649145E-3</v>
      </c>
      <c r="X157">
        <v>-1.1674736554480092E-2</v>
      </c>
    </row>
    <row r="158" spans="1:24" x14ac:dyDescent="0.35">
      <c r="A158" s="1">
        <v>43045</v>
      </c>
      <c r="B158">
        <v>852.61523439999996</v>
      </c>
      <c r="C158">
        <f t="shared" si="22"/>
        <v>-1.3540712301327917E-2</v>
      </c>
      <c r="D158">
        <v>1332.775024</v>
      </c>
      <c r="E158">
        <f t="shared" si="23"/>
        <v>1.7346646425719925E-2</v>
      </c>
      <c r="F158">
        <v>914.29998780000005</v>
      </c>
      <c r="G158">
        <f t="shared" si="24"/>
        <v>-1.1470889036859777E-3</v>
      </c>
      <c r="H158">
        <v>479.96456910000001</v>
      </c>
      <c r="I158">
        <f t="shared" si="25"/>
        <v>-1.607384952691826E-2</v>
      </c>
      <c r="J158">
        <v>464.35000609999997</v>
      </c>
      <c r="K158">
        <f t="shared" si="26"/>
        <v>2.2122567808999793E-3</v>
      </c>
      <c r="L158">
        <v>264.89999390000003</v>
      </c>
      <c r="M158">
        <f t="shared" si="27"/>
        <v>-1.8839487998948412E-3</v>
      </c>
      <c r="N158">
        <v>541.20001219999995</v>
      </c>
      <c r="O158">
        <f t="shared" si="28"/>
        <v>-1.8231270385487663E-2</v>
      </c>
      <c r="P158">
        <v>199.25</v>
      </c>
      <c r="Q158">
        <f t="shared" si="29"/>
        <v>3.8571767864019835E-2</v>
      </c>
      <c r="R158">
        <v>462.89999390000003</v>
      </c>
      <c r="S158">
        <f t="shared" si="30"/>
        <v>3.3951264877807974E-2</v>
      </c>
      <c r="T158">
        <v>1125.5</v>
      </c>
      <c r="U158">
        <f t="shared" si="31"/>
        <v>-3.2325412234149864E-3</v>
      </c>
      <c r="W158">
        <f t="shared" si="32"/>
        <v>3.7972524807718066E-3</v>
      </c>
      <c r="X158">
        <v>-1.1655769272564042E-2</v>
      </c>
    </row>
    <row r="159" spans="1:24" x14ac:dyDescent="0.35">
      <c r="A159" s="1">
        <v>43046</v>
      </c>
      <c r="B159">
        <v>829.02545169999996</v>
      </c>
      <c r="C159">
        <f t="shared" si="22"/>
        <v>-2.766755946672772E-2</v>
      </c>
      <c r="D159">
        <v>1355.025024</v>
      </c>
      <c r="E159">
        <f t="shared" si="23"/>
        <v>1.6694490517403349E-2</v>
      </c>
      <c r="F159">
        <v>911.84997559999999</v>
      </c>
      <c r="G159">
        <f t="shared" si="24"/>
        <v>-2.6796590098346895E-3</v>
      </c>
      <c r="H159">
        <v>463.56167599999998</v>
      </c>
      <c r="I159">
        <f t="shared" si="25"/>
        <v>-3.4175216580585754E-2</v>
      </c>
      <c r="J159">
        <v>477.75</v>
      </c>
      <c r="K159">
        <f t="shared" si="26"/>
        <v>2.8857529286032246E-2</v>
      </c>
      <c r="L159">
        <v>265.2999878</v>
      </c>
      <c r="M159">
        <f t="shared" si="27"/>
        <v>1.5099807822229749E-3</v>
      </c>
      <c r="N159">
        <v>527.59997559999999</v>
      </c>
      <c r="O159">
        <f t="shared" si="28"/>
        <v>-2.5129409263527691E-2</v>
      </c>
      <c r="P159">
        <v>193.8000031</v>
      </c>
      <c r="Q159">
        <f t="shared" si="29"/>
        <v>-2.7352556587202037E-2</v>
      </c>
      <c r="R159">
        <v>451.85000609999997</v>
      </c>
      <c r="S159">
        <f t="shared" si="30"/>
        <v>-2.3871220448508312E-2</v>
      </c>
      <c r="T159">
        <v>1100.1999510000001</v>
      </c>
      <c r="U159">
        <f t="shared" si="31"/>
        <v>-2.2478941803642738E-2</v>
      </c>
      <c r="W159">
        <f t="shared" si="32"/>
        <v>-1.162925625743704E-2</v>
      </c>
      <c r="X159">
        <v>-1.162925625743704E-2</v>
      </c>
    </row>
    <row r="160" spans="1:24" x14ac:dyDescent="0.35">
      <c r="A160" s="1">
        <v>43047</v>
      </c>
      <c r="B160">
        <v>811.74456789999999</v>
      </c>
      <c r="C160">
        <f t="shared" si="22"/>
        <v>-2.0844816964984303E-2</v>
      </c>
      <c r="D160">
        <v>1367.5</v>
      </c>
      <c r="E160">
        <f t="shared" si="23"/>
        <v>9.2064543303962409E-3</v>
      </c>
      <c r="F160">
        <v>912.97497559999999</v>
      </c>
      <c r="G160">
        <f t="shared" si="24"/>
        <v>1.2337555849137871E-3</v>
      </c>
      <c r="H160">
        <v>446.39273070000002</v>
      </c>
      <c r="I160">
        <f t="shared" si="25"/>
        <v>-3.7037024820835152E-2</v>
      </c>
      <c r="J160">
        <v>476.14999390000003</v>
      </c>
      <c r="K160">
        <f t="shared" si="26"/>
        <v>-3.349044688644609E-3</v>
      </c>
      <c r="L160">
        <v>265.39999390000003</v>
      </c>
      <c r="M160">
        <f t="shared" si="27"/>
        <v>3.7695478552168815E-4</v>
      </c>
      <c r="N160">
        <v>537.79998780000005</v>
      </c>
      <c r="O160">
        <f t="shared" si="28"/>
        <v>1.9332851917592153E-2</v>
      </c>
      <c r="P160">
        <v>192.5500031</v>
      </c>
      <c r="Q160">
        <f t="shared" si="29"/>
        <v>-6.4499482972402156E-3</v>
      </c>
      <c r="R160">
        <v>438.2000122</v>
      </c>
      <c r="S160">
        <f t="shared" si="30"/>
        <v>-3.0209126293514021E-2</v>
      </c>
      <c r="T160">
        <v>1098.0500489999999</v>
      </c>
      <c r="U160">
        <f t="shared" si="31"/>
        <v>-1.9541011595628488E-3</v>
      </c>
      <c r="W160">
        <f t="shared" si="32"/>
        <v>-6.9694045606357282E-3</v>
      </c>
      <c r="X160">
        <v>-1.1616058133719409E-2</v>
      </c>
    </row>
    <row r="161" spans="1:24" x14ac:dyDescent="0.35">
      <c r="A161" s="1">
        <v>43048</v>
      </c>
      <c r="B161">
        <v>823.35662839999998</v>
      </c>
      <c r="C161">
        <f t="shared" si="22"/>
        <v>1.4305067085377043E-2</v>
      </c>
      <c r="D161">
        <v>1368.1999510000001</v>
      </c>
      <c r="E161">
        <f t="shared" si="23"/>
        <v>5.1184716636210048E-4</v>
      </c>
      <c r="F161">
        <v>913.92498780000005</v>
      </c>
      <c r="G161">
        <f t="shared" si="24"/>
        <v>1.0405676227607241E-3</v>
      </c>
      <c r="H161">
        <v>454.45898440000002</v>
      </c>
      <c r="I161">
        <f t="shared" si="25"/>
        <v>1.8069858994681942E-2</v>
      </c>
      <c r="J161">
        <v>477.25</v>
      </c>
      <c r="K161">
        <f t="shared" si="26"/>
        <v>2.3102092073763458E-3</v>
      </c>
      <c r="L161">
        <v>260.0499878</v>
      </c>
      <c r="M161">
        <f t="shared" si="27"/>
        <v>-2.0158275143050131E-2</v>
      </c>
      <c r="N161">
        <v>533.90002440000001</v>
      </c>
      <c r="O161">
        <f t="shared" si="28"/>
        <v>-7.2516985653975352E-3</v>
      </c>
      <c r="P161">
        <v>189.6000061</v>
      </c>
      <c r="Q161">
        <f t="shared" si="29"/>
        <v>-1.532068009610954E-2</v>
      </c>
      <c r="R161">
        <v>440.14999390000003</v>
      </c>
      <c r="S161">
        <f t="shared" si="30"/>
        <v>4.4499809349847208E-3</v>
      </c>
      <c r="T161">
        <v>1122.1999510000001</v>
      </c>
      <c r="U161">
        <f t="shared" si="31"/>
        <v>2.1993443761505693E-2</v>
      </c>
      <c r="W161">
        <f t="shared" si="32"/>
        <v>1.9950320968491371E-3</v>
      </c>
      <c r="X161">
        <v>-1.1532915228338892E-2</v>
      </c>
    </row>
    <row r="162" spans="1:24" x14ac:dyDescent="0.35">
      <c r="A162" s="1">
        <v>43049</v>
      </c>
      <c r="B162">
        <v>808.13299559999996</v>
      </c>
      <c r="C162">
        <f t="shared" si="22"/>
        <v>-1.8489719126429494E-2</v>
      </c>
      <c r="D162">
        <v>1354.375</v>
      </c>
      <c r="E162">
        <f t="shared" si="23"/>
        <v>-1.0104481431895684E-2</v>
      </c>
      <c r="F162">
        <v>911</v>
      </c>
      <c r="G162">
        <f t="shared" si="24"/>
        <v>-3.2004681336497143E-3</v>
      </c>
      <c r="H162">
        <v>453.73797610000003</v>
      </c>
      <c r="I162">
        <f t="shared" si="25"/>
        <v>-1.5865200705668103E-3</v>
      </c>
      <c r="J162">
        <v>481.02499390000003</v>
      </c>
      <c r="K162">
        <f t="shared" si="26"/>
        <v>7.9098876898899828E-3</v>
      </c>
      <c r="L162">
        <v>261.7000122</v>
      </c>
      <c r="M162">
        <f t="shared" si="27"/>
        <v>6.3450277923835507E-3</v>
      </c>
      <c r="N162">
        <v>527.84997559999999</v>
      </c>
      <c r="O162">
        <f t="shared" si="28"/>
        <v>-1.1331800943068071E-2</v>
      </c>
      <c r="P162">
        <v>191.1000061</v>
      </c>
      <c r="Q162">
        <f t="shared" si="29"/>
        <v>7.91139215053005E-3</v>
      </c>
      <c r="R162">
        <v>422.5499878</v>
      </c>
      <c r="S162">
        <f t="shared" si="30"/>
        <v>-3.9986382696619249E-2</v>
      </c>
      <c r="T162">
        <v>1159.650024</v>
      </c>
      <c r="U162">
        <f t="shared" si="31"/>
        <v>3.3372014467321964E-2</v>
      </c>
      <c r="W162">
        <f t="shared" si="32"/>
        <v>-2.9161050302103481E-3</v>
      </c>
      <c r="X162">
        <v>-1.1476311083076941E-2</v>
      </c>
    </row>
    <row r="163" spans="1:24" x14ac:dyDescent="0.35">
      <c r="A163" s="1">
        <v>43052</v>
      </c>
      <c r="B163">
        <v>800.2697144</v>
      </c>
      <c r="C163">
        <f t="shared" si="22"/>
        <v>-9.7301820898451075E-3</v>
      </c>
      <c r="D163">
        <v>1379.474976</v>
      </c>
      <c r="E163">
        <f t="shared" si="23"/>
        <v>1.8532515736040533E-2</v>
      </c>
      <c r="F163">
        <v>906.77502440000001</v>
      </c>
      <c r="G163">
        <f t="shared" si="24"/>
        <v>-4.6377339187705369E-3</v>
      </c>
      <c r="H163">
        <v>448.82611079999998</v>
      </c>
      <c r="I163">
        <f t="shared" si="25"/>
        <v>-1.0825334353141147E-2</v>
      </c>
      <c r="J163">
        <v>475.97500609999997</v>
      </c>
      <c r="K163">
        <f t="shared" si="26"/>
        <v>-1.0498389613929016E-2</v>
      </c>
      <c r="L163">
        <v>258.2999878</v>
      </c>
      <c r="M163">
        <f t="shared" si="27"/>
        <v>-1.2992068175379345E-2</v>
      </c>
      <c r="N163">
        <v>532.54998780000005</v>
      </c>
      <c r="O163">
        <f t="shared" si="28"/>
        <v>8.9040682338910049E-3</v>
      </c>
      <c r="P163">
        <v>184.1999969</v>
      </c>
      <c r="Q163">
        <f t="shared" si="29"/>
        <v>-3.6106797382252975E-2</v>
      </c>
      <c r="R163">
        <v>418.10000609999997</v>
      </c>
      <c r="S163">
        <f t="shared" si="30"/>
        <v>-1.0531255066811851E-2</v>
      </c>
      <c r="T163">
        <v>1160.9499510000001</v>
      </c>
      <c r="U163">
        <f t="shared" si="31"/>
        <v>1.1209649231207486E-3</v>
      </c>
      <c r="W163">
        <f t="shared" si="32"/>
        <v>-6.6764211707077701E-3</v>
      </c>
      <c r="X163">
        <v>-1.1472420388977845E-2</v>
      </c>
    </row>
    <row r="164" spans="1:24" x14ac:dyDescent="0.35">
      <c r="A164" s="1">
        <v>43053</v>
      </c>
      <c r="B164">
        <v>810.73883060000003</v>
      </c>
      <c r="C164">
        <f t="shared" si="22"/>
        <v>1.3081984750415332E-2</v>
      </c>
      <c r="D164">
        <v>1357.3000489999999</v>
      </c>
      <c r="E164">
        <f t="shared" si="23"/>
        <v>-1.6074903413108355E-2</v>
      </c>
      <c r="F164">
        <v>901.17498780000005</v>
      </c>
      <c r="G164">
        <f t="shared" si="24"/>
        <v>-6.1757728756428598E-3</v>
      </c>
      <c r="H164">
        <v>448.96130369999997</v>
      </c>
      <c r="I164">
        <f t="shared" si="25"/>
        <v>3.0121442747388372E-4</v>
      </c>
      <c r="J164">
        <v>474.5499878</v>
      </c>
      <c r="K164">
        <f t="shared" si="26"/>
        <v>-2.9938931282886827E-3</v>
      </c>
      <c r="L164">
        <v>256.5499878</v>
      </c>
      <c r="M164">
        <f t="shared" si="27"/>
        <v>-6.7750680706768485E-3</v>
      </c>
      <c r="N164">
        <v>526.04998780000005</v>
      </c>
      <c r="O164">
        <f t="shared" si="28"/>
        <v>-1.2205427000105518E-2</v>
      </c>
      <c r="P164">
        <v>182</v>
      </c>
      <c r="Q164">
        <f t="shared" si="29"/>
        <v>-1.1943523002306833E-2</v>
      </c>
      <c r="R164">
        <v>414.2999878</v>
      </c>
      <c r="S164">
        <f t="shared" si="30"/>
        <v>-9.0887783892811269E-3</v>
      </c>
      <c r="T164">
        <v>1122.150024</v>
      </c>
      <c r="U164">
        <f t="shared" si="31"/>
        <v>-3.3420843824128021E-2</v>
      </c>
      <c r="W164">
        <f t="shared" si="32"/>
        <v>-8.5295010525649022E-3</v>
      </c>
      <c r="X164">
        <v>-1.1262327416900888E-2</v>
      </c>
    </row>
    <row r="165" spans="1:24" x14ac:dyDescent="0.35">
      <c r="A165" s="1">
        <v>43054</v>
      </c>
      <c r="B165">
        <v>807.99584960000004</v>
      </c>
      <c r="C165">
        <f t="shared" si="22"/>
        <v>-3.3833102553753047E-3</v>
      </c>
      <c r="D165">
        <v>1352.650024</v>
      </c>
      <c r="E165">
        <f t="shared" si="23"/>
        <v>-3.4259373993434927E-3</v>
      </c>
      <c r="F165">
        <v>900.125</v>
      </c>
      <c r="G165">
        <f t="shared" si="24"/>
        <v>-1.1651319823726691E-3</v>
      </c>
      <c r="H165">
        <v>438.68698119999999</v>
      </c>
      <c r="I165">
        <f t="shared" si="25"/>
        <v>-2.2884650448327659E-2</v>
      </c>
      <c r="J165">
        <v>475.89999390000003</v>
      </c>
      <c r="K165">
        <f t="shared" si="26"/>
        <v>2.8448132645806368E-3</v>
      </c>
      <c r="L165">
        <v>253.3000031</v>
      </c>
      <c r="M165">
        <f t="shared" si="27"/>
        <v>-1.2668036852660491E-2</v>
      </c>
      <c r="N165">
        <v>504.64999390000003</v>
      </c>
      <c r="O165">
        <f t="shared" si="28"/>
        <v>-4.0680533022151022E-2</v>
      </c>
      <c r="P165">
        <v>177.5500031</v>
      </c>
      <c r="Q165">
        <f t="shared" si="29"/>
        <v>-2.4450532417582438E-2</v>
      </c>
      <c r="R165">
        <v>408.64999390000003</v>
      </c>
      <c r="S165">
        <f t="shared" si="30"/>
        <v>-1.3637446455169733E-2</v>
      </c>
      <c r="T165">
        <v>1098.400024</v>
      </c>
      <c r="U165">
        <f t="shared" si="31"/>
        <v>-2.1164727970455433E-2</v>
      </c>
      <c r="W165">
        <f t="shared" si="32"/>
        <v>-1.4061549353885762E-2</v>
      </c>
      <c r="X165">
        <v>-1.1197859700428161E-2</v>
      </c>
    </row>
    <row r="166" spans="1:24" x14ac:dyDescent="0.35">
      <c r="A166" s="1">
        <v>43055</v>
      </c>
      <c r="B166">
        <v>826.41961670000001</v>
      </c>
      <c r="C166">
        <f t="shared" si="22"/>
        <v>2.2801809079985524E-2</v>
      </c>
      <c r="D166">
        <v>1373.3249510000001</v>
      </c>
      <c r="E166">
        <f t="shared" si="23"/>
        <v>1.5284757057010934E-2</v>
      </c>
      <c r="F166">
        <v>903.84997559999999</v>
      </c>
      <c r="G166">
        <f t="shared" si="24"/>
        <v>4.1382870156922991E-3</v>
      </c>
      <c r="H166">
        <v>441.52593990000003</v>
      </c>
      <c r="I166">
        <f t="shared" si="25"/>
        <v>6.4714906565821462E-3</v>
      </c>
      <c r="J166">
        <v>494.2000122</v>
      </c>
      <c r="K166">
        <f t="shared" si="26"/>
        <v>3.8453495554877648E-2</v>
      </c>
      <c r="L166">
        <v>255.1000061</v>
      </c>
      <c r="M166">
        <f t="shared" si="27"/>
        <v>7.1062099406662416E-3</v>
      </c>
      <c r="N166">
        <v>508.5499878</v>
      </c>
      <c r="O166">
        <f t="shared" si="28"/>
        <v>7.7281164116544954E-3</v>
      </c>
      <c r="P166">
        <v>179.1499939</v>
      </c>
      <c r="Q166">
        <f t="shared" si="29"/>
        <v>9.011494069638859E-3</v>
      </c>
      <c r="R166">
        <v>413.4500122</v>
      </c>
      <c r="S166">
        <f t="shared" si="30"/>
        <v>1.1746037860395964E-2</v>
      </c>
      <c r="T166">
        <v>1112.599976</v>
      </c>
      <c r="U166">
        <f t="shared" si="31"/>
        <v>1.2927851137774393E-2</v>
      </c>
      <c r="W166">
        <f t="shared" si="32"/>
        <v>1.356695487842785E-2</v>
      </c>
      <c r="X166">
        <v>-1.1164762353055014E-2</v>
      </c>
    </row>
    <row r="167" spans="1:24" x14ac:dyDescent="0.35">
      <c r="A167" s="1">
        <v>43056</v>
      </c>
      <c r="B167">
        <v>833.78002930000002</v>
      </c>
      <c r="C167">
        <f t="shared" si="22"/>
        <v>8.9063865998135761E-3</v>
      </c>
      <c r="D167">
        <v>1353.650024</v>
      </c>
      <c r="E167">
        <f t="shared" si="23"/>
        <v>-1.4326490599092079E-2</v>
      </c>
      <c r="F167">
        <v>912.77502440000001</v>
      </c>
      <c r="G167">
        <f t="shared" si="24"/>
        <v>9.8744803240995438E-3</v>
      </c>
      <c r="H167">
        <v>444.7704468</v>
      </c>
      <c r="I167">
        <f t="shared" si="25"/>
        <v>7.3483947528310001E-3</v>
      </c>
      <c r="J167">
        <v>485.47500609999997</v>
      </c>
      <c r="K167">
        <f t="shared" si="26"/>
        <v>-1.7654807536647832E-2</v>
      </c>
      <c r="L167">
        <v>258</v>
      </c>
      <c r="M167">
        <f t="shared" si="27"/>
        <v>1.136806676070079E-2</v>
      </c>
      <c r="N167">
        <v>517.09997559999999</v>
      </c>
      <c r="O167">
        <f t="shared" si="28"/>
        <v>1.6812482558474562E-2</v>
      </c>
      <c r="P167">
        <v>177.6000061</v>
      </c>
      <c r="Q167">
        <f t="shared" si="29"/>
        <v>-8.6518998201317032E-3</v>
      </c>
      <c r="R167">
        <v>421.7999878</v>
      </c>
      <c r="S167">
        <f t="shared" si="30"/>
        <v>2.0195852832532557E-2</v>
      </c>
      <c r="T167">
        <v>1106.0500489999999</v>
      </c>
      <c r="U167">
        <f t="shared" si="31"/>
        <v>-5.8870457858072323E-3</v>
      </c>
      <c r="W167">
        <f t="shared" si="32"/>
        <v>2.7985420086773186E-3</v>
      </c>
      <c r="X167">
        <v>-1.1080224527921744E-2</v>
      </c>
    </row>
    <row r="168" spans="1:24" x14ac:dyDescent="0.35">
      <c r="A168" s="1">
        <v>43059</v>
      </c>
      <c r="B168">
        <v>841.96325679999995</v>
      </c>
      <c r="C168">
        <f t="shared" si="22"/>
        <v>9.8146120228739253E-3</v>
      </c>
      <c r="D168">
        <v>1351.724976</v>
      </c>
      <c r="E168">
        <f t="shared" si="23"/>
        <v>-1.4221164746199833E-3</v>
      </c>
      <c r="F168">
        <v>919.07501219999995</v>
      </c>
      <c r="G168">
        <f t="shared" si="24"/>
        <v>6.9020159750110555E-3</v>
      </c>
      <c r="H168">
        <v>444.00439449999999</v>
      </c>
      <c r="I168">
        <f t="shared" si="25"/>
        <v>-1.7223543189786028E-3</v>
      </c>
      <c r="J168">
        <v>480.27499390000003</v>
      </c>
      <c r="K168">
        <f t="shared" si="26"/>
        <v>-1.0711184169445831E-2</v>
      </c>
      <c r="L168">
        <v>259.2000122</v>
      </c>
      <c r="M168">
        <f t="shared" si="27"/>
        <v>4.651210077519341E-3</v>
      </c>
      <c r="N168">
        <v>517.15002440000001</v>
      </c>
      <c r="O168">
        <f t="shared" si="28"/>
        <v>9.6787473141901614E-5</v>
      </c>
      <c r="P168">
        <v>180</v>
      </c>
      <c r="Q168">
        <f t="shared" si="29"/>
        <v>1.3513478702521287E-2</v>
      </c>
      <c r="R168">
        <v>423</v>
      </c>
      <c r="S168">
        <f t="shared" si="30"/>
        <v>2.8449792193190326E-3</v>
      </c>
      <c r="T168">
        <v>1106.150024</v>
      </c>
      <c r="U168">
        <f t="shared" si="31"/>
        <v>9.038921890613949E-5</v>
      </c>
      <c r="W168">
        <f t="shared" si="32"/>
        <v>2.4057817726248266E-3</v>
      </c>
      <c r="X168">
        <v>-1.1071670888787544E-2</v>
      </c>
    </row>
    <row r="169" spans="1:24" x14ac:dyDescent="0.35">
      <c r="A169" s="1">
        <v>43060</v>
      </c>
      <c r="B169">
        <v>852.66094969999995</v>
      </c>
      <c r="C169">
        <f t="shared" si="22"/>
        <v>1.2705652905398823E-2</v>
      </c>
      <c r="D169">
        <v>1336.474976</v>
      </c>
      <c r="E169">
        <f t="shared" si="23"/>
        <v>-1.1281880760335983E-2</v>
      </c>
      <c r="F169">
        <v>923.125</v>
      </c>
      <c r="G169">
        <f t="shared" si="24"/>
        <v>4.4065911337374253E-3</v>
      </c>
      <c r="H169">
        <v>453.55770869999998</v>
      </c>
      <c r="I169">
        <f t="shared" si="25"/>
        <v>2.1516260465750836E-2</v>
      </c>
      <c r="J169">
        <v>483.125</v>
      </c>
      <c r="K169">
        <f t="shared" si="26"/>
        <v>5.9341130314882751E-3</v>
      </c>
      <c r="L169">
        <v>255.8000031</v>
      </c>
      <c r="M169">
        <f t="shared" si="27"/>
        <v>-1.3117318441237313E-2</v>
      </c>
      <c r="N169">
        <v>538.04998780000005</v>
      </c>
      <c r="O169">
        <f t="shared" si="28"/>
        <v>4.0413733759847137E-2</v>
      </c>
      <c r="P169">
        <v>180.8999939</v>
      </c>
      <c r="Q169">
        <f t="shared" si="29"/>
        <v>4.9999661111110871E-3</v>
      </c>
      <c r="R169">
        <v>424.25</v>
      </c>
      <c r="S169">
        <f t="shared" si="30"/>
        <v>2.9550827423168169E-3</v>
      </c>
      <c r="T169">
        <v>1112.3000489999999</v>
      </c>
      <c r="U169">
        <f t="shared" si="31"/>
        <v>5.5598470971962577E-3</v>
      </c>
      <c r="W169">
        <f t="shared" si="32"/>
        <v>7.4092048045273371E-3</v>
      </c>
      <c r="X169">
        <v>-1.1068754491288826E-2</v>
      </c>
    </row>
    <row r="170" spans="1:24" x14ac:dyDescent="0.35">
      <c r="A170" s="1">
        <v>43061</v>
      </c>
      <c r="B170">
        <v>851.01519780000001</v>
      </c>
      <c r="C170">
        <f t="shared" si="22"/>
        <v>-1.9301363579262709E-3</v>
      </c>
      <c r="D170">
        <v>1340.3249510000001</v>
      </c>
      <c r="E170">
        <f t="shared" si="23"/>
        <v>2.8806936673988481E-3</v>
      </c>
      <c r="F170">
        <v>927.625</v>
      </c>
      <c r="G170">
        <f t="shared" si="24"/>
        <v>4.874746106973582E-3</v>
      </c>
      <c r="H170">
        <v>449.81750490000002</v>
      </c>
      <c r="I170">
        <f t="shared" si="25"/>
        <v>-8.2463680547294471E-3</v>
      </c>
      <c r="J170">
        <v>483.14999390000003</v>
      </c>
      <c r="K170">
        <f t="shared" si="26"/>
        <v>5.1733816300192359E-5</v>
      </c>
      <c r="L170">
        <v>258.14999390000003</v>
      </c>
      <c r="M170">
        <f t="shared" si="27"/>
        <v>9.1868286611449523E-3</v>
      </c>
      <c r="N170">
        <v>535.25</v>
      </c>
      <c r="O170">
        <f t="shared" si="28"/>
        <v>-5.2039547690517773E-3</v>
      </c>
      <c r="P170">
        <v>181.3000031</v>
      </c>
      <c r="Q170">
        <f t="shared" si="29"/>
        <v>2.2112173216606301E-3</v>
      </c>
      <c r="R170">
        <v>428.60000609999997</v>
      </c>
      <c r="S170">
        <f t="shared" si="30"/>
        <v>1.0253402710665771E-2</v>
      </c>
      <c r="T170">
        <v>1137.8000489999999</v>
      </c>
      <c r="U170">
        <f t="shared" si="31"/>
        <v>2.2925468737437837E-2</v>
      </c>
      <c r="W170">
        <f t="shared" si="32"/>
        <v>3.700363183987432E-3</v>
      </c>
      <c r="X170">
        <v>-1.1066955346599685E-2</v>
      </c>
    </row>
    <row r="171" spans="1:24" x14ac:dyDescent="0.35">
      <c r="A171" s="1">
        <v>43062</v>
      </c>
      <c r="B171">
        <v>865.87310790000004</v>
      </c>
      <c r="C171">
        <f t="shared" si="22"/>
        <v>1.745904202229287E-2</v>
      </c>
      <c r="D171">
        <v>1340.625</v>
      </c>
      <c r="E171">
        <f t="shared" si="23"/>
        <v>2.2386287726416931E-4</v>
      </c>
      <c r="F171">
        <v>921.42498780000005</v>
      </c>
      <c r="G171">
        <f t="shared" si="24"/>
        <v>-6.6837484975069694E-3</v>
      </c>
      <c r="H171">
        <v>447.3390503</v>
      </c>
      <c r="I171">
        <f t="shared" si="25"/>
        <v>-5.5099114040726427E-3</v>
      </c>
      <c r="J171">
        <v>495.625</v>
      </c>
      <c r="K171">
        <f t="shared" si="26"/>
        <v>2.5820151624760257E-2</v>
      </c>
      <c r="L171">
        <v>258.14999390000003</v>
      </c>
      <c r="M171">
        <f t="shared" si="27"/>
        <v>0</v>
      </c>
      <c r="N171">
        <v>544.75</v>
      </c>
      <c r="O171">
        <f t="shared" si="28"/>
        <v>1.7748715553479677E-2</v>
      </c>
      <c r="P171">
        <v>181.6999969</v>
      </c>
      <c r="Q171">
        <f t="shared" si="29"/>
        <v>2.2062536853868497E-3</v>
      </c>
      <c r="R171">
        <v>426.25</v>
      </c>
      <c r="S171">
        <f t="shared" si="30"/>
        <v>-5.4829819564951032E-3</v>
      </c>
      <c r="T171">
        <v>1146.3000489999999</v>
      </c>
      <c r="U171">
        <f t="shared" si="31"/>
        <v>7.4705568939557043E-3</v>
      </c>
      <c r="W171">
        <f t="shared" si="32"/>
        <v>5.3251940799064808E-3</v>
      </c>
      <c r="X171">
        <v>-1.105477976886644E-2</v>
      </c>
    </row>
    <row r="172" spans="1:24" x14ac:dyDescent="0.35">
      <c r="A172" s="1">
        <v>43063</v>
      </c>
      <c r="B172">
        <v>869.62182619999999</v>
      </c>
      <c r="C172">
        <f t="shared" si="22"/>
        <v>4.3294083922893467E-3</v>
      </c>
      <c r="D172">
        <v>1344.025024</v>
      </c>
      <c r="E172">
        <f t="shared" si="23"/>
        <v>2.5361484382284694E-3</v>
      </c>
      <c r="F172">
        <v>925.70001219999995</v>
      </c>
      <c r="G172">
        <f t="shared" si="24"/>
        <v>4.6395794086364628E-3</v>
      </c>
      <c r="H172">
        <v>447.74459839999997</v>
      </c>
      <c r="I172">
        <f t="shared" si="25"/>
        <v>9.0657880130962099E-4</v>
      </c>
      <c r="J172">
        <v>504.77499390000003</v>
      </c>
      <c r="K172">
        <f t="shared" si="26"/>
        <v>1.8461526153846108E-2</v>
      </c>
      <c r="L172">
        <v>260.75</v>
      </c>
      <c r="M172">
        <f t="shared" si="27"/>
        <v>1.0071687629042314E-2</v>
      </c>
      <c r="N172">
        <v>549.5</v>
      </c>
      <c r="O172">
        <f t="shared" si="28"/>
        <v>8.7195961450206028E-3</v>
      </c>
      <c r="P172">
        <v>181</v>
      </c>
      <c r="Q172">
        <f t="shared" si="29"/>
        <v>-3.852487132320892E-3</v>
      </c>
      <c r="R172">
        <v>425.5</v>
      </c>
      <c r="S172">
        <f t="shared" si="30"/>
        <v>-1.7595307917888103E-3</v>
      </c>
      <c r="T172">
        <v>1149.900024</v>
      </c>
      <c r="U172">
        <f t="shared" si="31"/>
        <v>3.1405171823386535E-3</v>
      </c>
      <c r="W172">
        <f t="shared" si="32"/>
        <v>4.7193024226601888E-3</v>
      </c>
      <c r="X172">
        <v>-1.1053769290632263E-2</v>
      </c>
    </row>
    <row r="173" spans="1:24" x14ac:dyDescent="0.35">
      <c r="A173" s="1">
        <v>43066</v>
      </c>
      <c r="B173">
        <v>869.85040279999998</v>
      </c>
      <c r="C173">
        <f t="shared" si="22"/>
        <v>2.6284597869263848E-4</v>
      </c>
      <c r="D173">
        <v>1342.9250489999999</v>
      </c>
      <c r="E173">
        <f t="shared" si="23"/>
        <v>-8.1841854158815064E-4</v>
      </c>
      <c r="F173">
        <v>928.77502440000001</v>
      </c>
      <c r="G173">
        <f t="shared" si="24"/>
        <v>3.321823657204126E-3</v>
      </c>
      <c r="H173">
        <v>448.82611079999998</v>
      </c>
      <c r="I173">
        <f t="shared" si="25"/>
        <v>2.4154672191798454E-3</v>
      </c>
      <c r="J173">
        <v>499.375</v>
      </c>
      <c r="K173">
        <f t="shared" si="26"/>
        <v>-1.0697823714044374E-2</v>
      </c>
      <c r="L173">
        <v>259.25</v>
      </c>
      <c r="M173">
        <f t="shared" si="27"/>
        <v>-5.7526366251198224E-3</v>
      </c>
      <c r="N173">
        <v>551.54998780000005</v>
      </c>
      <c r="O173">
        <f t="shared" si="28"/>
        <v>3.7306420382166028E-3</v>
      </c>
      <c r="P173">
        <v>184.0500031</v>
      </c>
      <c r="Q173">
        <f t="shared" si="29"/>
        <v>1.6850845856353658E-2</v>
      </c>
      <c r="R173">
        <v>421.39999390000003</v>
      </c>
      <c r="S173">
        <f t="shared" si="30"/>
        <v>-9.6357370152760913E-3</v>
      </c>
      <c r="T173">
        <v>1129.849976</v>
      </c>
      <c r="U173">
        <f t="shared" si="31"/>
        <v>-1.7436340187431898E-2</v>
      </c>
      <c r="W173">
        <f t="shared" si="32"/>
        <v>-1.7759331333813467E-3</v>
      </c>
      <c r="X173">
        <v>-1.1013644057645999E-2</v>
      </c>
    </row>
    <row r="174" spans="1:24" x14ac:dyDescent="0.35">
      <c r="A174" s="1">
        <v>43067</v>
      </c>
      <c r="B174">
        <v>862.53576659999999</v>
      </c>
      <c r="C174">
        <f t="shared" si="22"/>
        <v>-8.4090737630914125E-3</v>
      </c>
      <c r="D174">
        <v>1342.650024</v>
      </c>
      <c r="E174">
        <f t="shared" si="23"/>
        <v>-2.0479549488239268E-4</v>
      </c>
      <c r="F174">
        <v>932.67498780000005</v>
      </c>
      <c r="G174">
        <f t="shared" si="24"/>
        <v>4.1990399155269476E-3</v>
      </c>
      <c r="H174">
        <v>443.41857909999999</v>
      </c>
      <c r="I174">
        <f t="shared" si="25"/>
        <v>-1.2048166472225619E-2</v>
      </c>
      <c r="J174">
        <v>492.35000609999997</v>
      </c>
      <c r="K174">
        <f t="shared" si="26"/>
        <v>-1.4067572265331729E-2</v>
      </c>
      <c r="L174">
        <v>257</v>
      </c>
      <c r="M174">
        <f t="shared" si="27"/>
        <v>-8.6788813886210514E-3</v>
      </c>
      <c r="N174">
        <v>543.15002440000001</v>
      </c>
      <c r="O174">
        <f t="shared" si="28"/>
        <v>-1.5229740886234966E-2</v>
      </c>
      <c r="P174">
        <v>181.25</v>
      </c>
      <c r="Q174">
        <f t="shared" si="29"/>
        <v>-1.5213273854055132E-2</v>
      </c>
      <c r="R174">
        <v>415.9500122</v>
      </c>
      <c r="S174">
        <f t="shared" si="30"/>
        <v>-1.2933036969367651E-2</v>
      </c>
      <c r="T174">
        <v>1128.25</v>
      </c>
      <c r="U174">
        <f t="shared" si="31"/>
        <v>-1.4160959720195265E-3</v>
      </c>
      <c r="W174">
        <f t="shared" si="32"/>
        <v>-8.4001597150302545E-3</v>
      </c>
      <c r="X174">
        <v>-1.0972949514809073E-2</v>
      </c>
    </row>
    <row r="175" spans="1:24" x14ac:dyDescent="0.35">
      <c r="A175" s="1">
        <v>43068</v>
      </c>
      <c r="B175">
        <v>864.95874019999997</v>
      </c>
      <c r="C175">
        <f t="shared" si="22"/>
        <v>2.8091282632267678E-3</v>
      </c>
      <c r="D175">
        <v>1329.0749510000001</v>
      </c>
      <c r="E175">
        <f t="shared" si="23"/>
        <v>-1.0110656356715597E-2</v>
      </c>
      <c r="F175">
        <v>936.65002440000001</v>
      </c>
      <c r="G175">
        <f t="shared" si="24"/>
        <v>4.2619740552669594E-3</v>
      </c>
      <c r="H175">
        <v>446.79827879999999</v>
      </c>
      <c r="I175">
        <f t="shared" si="25"/>
        <v>7.6219172116327449E-3</v>
      </c>
      <c r="J175">
        <v>491.35000609999997</v>
      </c>
      <c r="K175">
        <f t="shared" si="26"/>
        <v>-2.0310754292890421E-3</v>
      </c>
      <c r="L175">
        <v>258.0499878</v>
      </c>
      <c r="M175">
        <f t="shared" si="27"/>
        <v>4.0855556420233974E-3</v>
      </c>
      <c r="N175">
        <v>547.09997559999999</v>
      </c>
      <c r="O175">
        <f t="shared" si="28"/>
        <v>7.2723023521232832E-3</v>
      </c>
      <c r="P175">
        <v>182.4499969</v>
      </c>
      <c r="Q175">
        <f t="shared" si="29"/>
        <v>6.6206725517241605E-3</v>
      </c>
      <c r="R175">
        <v>413.9500122</v>
      </c>
      <c r="S175">
        <f t="shared" si="30"/>
        <v>-4.8082700837579484E-3</v>
      </c>
      <c r="T175">
        <v>1125.5500489999999</v>
      </c>
      <c r="U175">
        <f t="shared" si="31"/>
        <v>-2.3930432085087494E-3</v>
      </c>
      <c r="W175">
        <f t="shared" si="32"/>
        <v>1.3328504997725974E-3</v>
      </c>
      <c r="X175">
        <v>-1.0948972770767085E-2</v>
      </c>
    </row>
    <row r="176" spans="1:24" x14ac:dyDescent="0.35">
      <c r="A176" s="1">
        <v>43069</v>
      </c>
      <c r="B176">
        <v>842.60333249999996</v>
      </c>
      <c r="C176">
        <f t="shared" si="22"/>
        <v>-2.5845634781181404E-2</v>
      </c>
      <c r="D176">
        <v>1318.5</v>
      </c>
      <c r="E176">
        <f t="shared" si="23"/>
        <v>-7.956625013542995E-3</v>
      </c>
      <c r="F176">
        <v>926.84997559999999</v>
      </c>
      <c r="G176">
        <f t="shared" si="24"/>
        <v>-1.0462871451135336E-2</v>
      </c>
      <c r="H176">
        <v>447.42916869999999</v>
      </c>
      <c r="I176">
        <f t="shared" si="25"/>
        <v>1.4120240160602204E-3</v>
      </c>
      <c r="J176">
        <v>488.0499878</v>
      </c>
      <c r="K176">
        <f t="shared" si="26"/>
        <v>-6.7162272494779574E-3</v>
      </c>
      <c r="L176">
        <v>256.0499878</v>
      </c>
      <c r="M176">
        <f t="shared" si="27"/>
        <v>-7.7504363284452982E-3</v>
      </c>
      <c r="N176">
        <v>539.95001219999995</v>
      </c>
      <c r="O176">
        <f t="shared" si="28"/>
        <v>-1.3068842476475551E-2</v>
      </c>
      <c r="P176">
        <v>180.6499939</v>
      </c>
      <c r="Q176">
        <f t="shared" si="29"/>
        <v>-9.8657332451838053E-3</v>
      </c>
      <c r="R176">
        <v>404.14999390000003</v>
      </c>
      <c r="S176">
        <f t="shared" si="30"/>
        <v>-2.3674400316879507E-2</v>
      </c>
      <c r="T176">
        <v>1118.099976</v>
      </c>
      <c r="U176">
        <f t="shared" si="31"/>
        <v>-6.6190508424027739E-3</v>
      </c>
      <c r="W176">
        <f t="shared" si="32"/>
        <v>-1.105477976886644E-2</v>
      </c>
      <c r="X176">
        <v>-1.094677131648706E-2</v>
      </c>
    </row>
    <row r="177" spans="1:24" x14ac:dyDescent="0.35">
      <c r="A177" s="1">
        <v>43070</v>
      </c>
      <c r="B177">
        <v>832.13421630000005</v>
      </c>
      <c r="C177">
        <f t="shared" si="22"/>
        <v>-1.2424726791594898E-2</v>
      </c>
      <c r="D177">
        <v>1314.974976</v>
      </c>
      <c r="E177">
        <f t="shared" si="23"/>
        <v>-2.6735108077360348E-3</v>
      </c>
      <c r="F177">
        <v>924.09997559999999</v>
      </c>
      <c r="G177">
        <f t="shared" si="24"/>
        <v>-2.967038973292091E-3</v>
      </c>
      <c r="H177">
        <v>436.34371950000002</v>
      </c>
      <c r="I177">
        <f t="shared" si="25"/>
        <v>-2.4775875100429001E-2</v>
      </c>
      <c r="J177">
        <v>479.39999390000003</v>
      </c>
      <c r="K177">
        <f t="shared" si="26"/>
        <v>-1.7723581838392954E-2</v>
      </c>
      <c r="L177">
        <v>255.1999969</v>
      </c>
      <c r="M177">
        <f t="shared" si="27"/>
        <v>-3.3196287463365115E-3</v>
      </c>
      <c r="N177">
        <v>525.95001219999995</v>
      </c>
      <c r="O177">
        <f t="shared" si="28"/>
        <v>-2.5928326111073985E-2</v>
      </c>
      <c r="P177">
        <v>179.6499939</v>
      </c>
      <c r="Q177">
        <f t="shared" si="29"/>
        <v>-5.5355661985438953E-3</v>
      </c>
      <c r="R177">
        <v>398.89999390000003</v>
      </c>
      <c r="S177">
        <f t="shared" si="30"/>
        <v>-1.299022659715543E-2</v>
      </c>
      <c r="T177">
        <v>1114.400024</v>
      </c>
      <c r="U177">
        <f t="shared" si="31"/>
        <v>-3.3091423659953323E-3</v>
      </c>
      <c r="W177">
        <f t="shared" si="32"/>
        <v>-1.1164762353055014E-2</v>
      </c>
      <c r="X177">
        <v>-1.0897490540711064E-2</v>
      </c>
    </row>
    <row r="178" spans="1:24" x14ac:dyDescent="0.35">
      <c r="A178" s="1">
        <v>43073</v>
      </c>
      <c r="B178">
        <v>824.36236570000005</v>
      </c>
      <c r="C178">
        <f t="shared" si="22"/>
        <v>-9.339659934375466E-3</v>
      </c>
      <c r="D178">
        <v>1316.1750489999999</v>
      </c>
      <c r="E178">
        <f t="shared" si="23"/>
        <v>9.126204086791212E-4</v>
      </c>
      <c r="F178">
        <v>917.04998780000005</v>
      </c>
      <c r="G178">
        <f t="shared" si="24"/>
        <v>-7.6290314751090715E-3</v>
      </c>
      <c r="H178">
        <v>436.47888180000001</v>
      </c>
      <c r="I178">
        <f t="shared" si="25"/>
        <v>3.0976107586666579E-4</v>
      </c>
      <c r="J178">
        <v>492.6749878</v>
      </c>
      <c r="K178">
        <f t="shared" si="26"/>
        <v>2.7690851207580636E-2</v>
      </c>
      <c r="L178">
        <v>255.1000061</v>
      </c>
      <c r="M178">
        <f t="shared" si="27"/>
        <v>-3.9181348438332986E-4</v>
      </c>
      <c r="N178">
        <v>520.75</v>
      </c>
      <c r="O178">
        <f t="shared" si="28"/>
        <v>-9.8868943423896516E-3</v>
      </c>
      <c r="P178">
        <v>181.6000061</v>
      </c>
      <c r="Q178">
        <f t="shared" si="29"/>
        <v>1.0854507465697161E-2</v>
      </c>
      <c r="R178">
        <v>403.64999390000003</v>
      </c>
      <c r="S178">
        <f t="shared" si="30"/>
        <v>1.1907746484425275E-2</v>
      </c>
      <c r="T178">
        <v>1150.6999510000001</v>
      </c>
      <c r="U178">
        <f t="shared" si="31"/>
        <v>3.2573515989084312E-2</v>
      </c>
      <c r="W178">
        <f t="shared" si="32"/>
        <v>5.7001603395075654E-3</v>
      </c>
      <c r="X178">
        <v>-1.0889952195044229E-2</v>
      </c>
    </row>
    <row r="179" spans="1:24" x14ac:dyDescent="0.35">
      <c r="A179" s="1">
        <v>43074</v>
      </c>
      <c r="B179">
        <v>835.42578130000004</v>
      </c>
      <c r="C179">
        <f t="shared" si="22"/>
        <v>1.3420573355026333E-2</v>
      </c>
      <c r="D179">
        <v>1317.775024</v>
      </c>
      <c r="E179">
        <f t="shared" si="23"/>
        <v>1.2156247766705874E-3</v>
      </c>
      <c r="F179">
        <v>910.22497559999999</v>
      </c>
      <c r="G179">
        <f t="shared" si="24"/>
        <v>-7.4423556957601278E-3</v>
      </c>
      <c r="H179">
        <v>442.20187379999999</v>
      </c>
      <c r="I179">
        <f t="shared" si="25"/>
        <v>1.3111727138776619E-2</v>
      </c>
      <c r="J179">
        <v>492.1749878</v>
      </c>
      <c r="K179">
        <f t="shared" si="26"/>
        <v>-1.0148678385982768E-3</v>
      </c>
      <c r="L179">
        <v>253.8500061</v>
      </c>
      <c r="M179">
        <f t="shared" si="27"/>
        <v>-4.9000390831429597E-3</v>
      </c>
      <c r="N179">
        <v>523.15002440000001</v>
      </c>
      <c r="O179">
        <f t="shared" si="28"/>
        <v>4.6087842534805468E-3</v>
      </c>
      <c r="P179">
        <v>178.3999939</v>
      </c>
      <c r="Q179">
        <f t="shared" si="29"/>
        <v>-1.762121196316413E-2</v>
      </c>
      <c r="R179">
        <v>402.25</v>
      </c>
      <c r="S179">
        <f t="shared" si="30"/>
        <v>-3.468336234750069E-3</v>
      </c>
      <c r="T179">
        <v>1133.349976</v>
      </c>
      <c r="U179">
        <f t="shared" si="31"/>
        <v>-1.5077757659520463E-2</v>
      </c>
      <c r="W179">
        <f t="shared" si="32"/>
        <v>-1.7167858950981941E-3</v>
      </c>
      <c r="X179">
        <v>-1.0861526359846385E-2</v>
      </c>
    </row>
    <row r="180" spans="1:24" x14ac:dyDescent="0.35">
      <c r="A180" s="1">
        <v>43075</v>
      </c>
      <c r="B180">
        <v>847.26641849999999</v>
      </c>
      <c r="C180">
        <f t="shared" si="22"/>
        <v>1.4173176678333732E-2</v>
      </c>
      <c r="D180">
        <v>1316.650024</v>
      </c>
      <c r="E180">
        <f t="shared" si="23"/>
        <v>-8.5371173342252415E-4</v>
      </c>
      <c r="F180">
        <v>901.65002440000001</v>
      </c>
      <c r="G180">
        <f t="shared" si="24"/>
        <v>-9.4206942567660601E-3</v>
      </c>
      <c r="H180">
        <v>435.71282960000002</v>
      </c>
      <c r="I180">
        <f t="shared" si="25"/>
        <v>-1.4674393268027774E-2</v>
      </c>
      <c r="J180">
        <v>495.14999390000003</v>
      </c>
      <c r="K180">
        <f t="shared" si="26"/>
        <v>6.0446105018423513E-3</v>
      </c>
      <c r="L180">
        <v>251.6000061</v>
      </c>
      <c r="M180">
        <f t="shared" si="27"/>
        <v>-8.8635018551610489E-3</v>
      </c>
      <c r="N180">
        <v>511.35000609999997</v>
      </c>
      <c r="O180">
        <f t="shared" si="28"/>
        <v>-2.2555706297698208E-2</v>
      </c>
      <c r="P180">
        <v>175.8500061</v>
      </c>
      <c r="Q180">
        <f t="shared" si="29"/>
        <v>-1.4293654076184326E-2</v>
      </c>
      <c r="R180">
        <v>397.0499878</v>
      </c>
      <c r="S180">
        <f t="shared" si="30"/>
        <v>-1.2927314356743325E-2</v>
      </c>
      <c r="T180">
        <v>1123.9499510000001</v>
      </c>
      <c r="U180">
        <f t="shared" si="31"/>
        <v>-8.2940179106686385E-3</v>
      </c>
      <c r="W180">
        <f t="shared" si="32"/>
        <v>-7.1665206574495835E-3</v>
      </c>
      <c r="X180">
        <v>-1.0833547649626841E-2</v>
      </c>
    </row>
    <row r="181" spans="1:24" x14ac:dyDescent="0.35">
      <c r="A181" s="1">
        <v>43076</v>
      </c>
      <c r="B181">
        <v>851.74664310000003</v>
      </c>
      <c r="C181">
        <f t="shared" si="22"/>
        <v>5.2878581071722497E-3</v>
      </c>
      <c r="D181">
        <v>1308.625</v>
      </c>
      <c r="E181">
        <f t="shared" si="23"/>
        <v>-6.0950319779130568E-3</v>
      </c>
      <c r="F181">
        <v>904.82501219999995</v>
      </c>
      <c r="G181">
        <f t="shared" si="24"/>
        <v>3.5213083946985524E-3</v>
      </c>
      <c r="H181">
        <v>463.87710570000002</v>
      </c>
      <c r="I181">
        <f t="shared" si="25"/>
        <v>6.4639538215700121E-2</v>
      </c>
      <c r="J181">
        <v>499.89999390000003</v>
      </c>
      <c r="K181">
        <f t="shared" si="26"/>
        <v>9.5930527285017497E-3</v>
      </c>
      <c r="L181">
        <v>253.3500061</v>
      </c>
      <c r="M181">
        <f t="shared" si="27"/>
        <v>6.9554847280268728E-3</v>
      </c>
      <c r="N181">
        <v>510.35000609999997</v>
      </c>
      <c r="O181">
        <f t="shared" si="28"/>
        <v>-1.9556076817655033E-3</v>
      </c>
      <c r="P181">
        <v>177.0500031</v>
      </c>
      <c r="Q181">
        <f t="shared" si="29"/>
        <v>6.8239804286249761E-3</v>
      </c>
      <c r="R181">
        <v>402</v>
      </c>
      <c r="S181">
        <f t="shared" si="30"/>
        <v>1.2466974819536736E-2</v>
      </c>
      <c r="T181">
        <v>1142.400024</v>
      </c>
      <c r="U181">
        <f t="shared" si="31"/>
        <v>1.6415386631392748E-2</v>
      </c>
      <c r="W181">
        <f t="shared" si="32"/>
        <v>1.1765294439397542E-2</v>
      </c>
      <c r="X181">
        <v>-1.0810267500635372E-2</v>
      </c>
    </row>
    <row r="182" spans="1:24" x14ac:dyDescent="0.35">
      <c r="A182" s="1">
        <v>43077</v>
      </c>
      <c r="B182">
        <v>842.10040279999998</v>
      </c>
      <c r="C182">
        <f t="shared" si="22"/>
        <v>-1.1325246043696446E-2</v>
      </c>
      <c r="D182">
        <v>1300.75</v>
      </c>
      <c r="E182">
        <f t="shared" si="23"/>
        <v>-6.0177667398987333E-3</v>
      </c>
      <c r="F182">
        <v>920.20001219999995</v>
      </c>
      <c r="G182">
        <f t="shared" si="24"/>
        <v>1.699223583863696E-2</v>
      </c>
      <c r="H182">
        <v>473.29525760000001</v>
      </c>
      <c r="I182">
        <f t="shared" si="25"/>
        <v>2.0303118615409677E-2</v>
      </c>
      <c r="J182">
        <v>500.9249878</v>
      </c>
      <c r="K182">
        <f t="shared" si="26"/>
        <v>2.0503979045958243E-3</v>
      </c>
      <c r="L182">
        <v>262.2000122</v>
      </c>
      <c r="M182">
        <f t="shared" si="27"/>
        <v>3.4931935610480247E-2</v>
      </c>
      <c r="N182">
        <v>521.84997559999999</v>
      </c>
      <c r="O182">
        <f t="shared" si="28"/>
        <v>2.2533495370913537E-2</v>
      </c>
      <c r="P182">
        <v>180.25</v>
      </c>
      <c r="Q182">
        <f t="shared" si="29"/>
        <v>1.8073972572554053E-2</v>
      </c>
      <c r="R182">
        <v>411.14999390000003</v>
      </c>
      <c r="S182">
        <f t="shared" si="30"/>
        <v>2.2761178855721376E-2</v>
      </c>
      <c r="T182">
        <v>1132.5500489999999</v>
      </c>
      <c r="U182">
        <f t="shared" si="31"/>
        <v>-8.6221768146602651E-3</v>
      </c>
      <c r="W182">
        <f t="shared" si="32"/>
        <v>1.1168114517005624E-2</v>
      </c>
      <c r="X182">
        <v>-1.0765800850459651E-2</v>
      </c>
    </row>
    <row r="183" spans="1:24" x14ac:dyDescent="0.35">
      <c r="A183" s="1">
        <v>43080</v>
      </c>
      <c r="B183">
        <v>837.6658936</v>
      </c>
      <c r="C183">
        <f t="shared" si="22"/>
        <v>-5.2660100686986455E-3</v>
      </c>
      <c r="D183">
        <v>1330.5500489999999</v>
      </c>
      <c r="E183">
        <f t="shared" si="23"/>
        <v>2.2909897366903742E-2</v>
      </c>
      <c r="F183">
        <v>923.20001219999995</v>
      </c>
      <c r="G183">
        <f t="shared" si="24"/>
        <v>3.2601607913780306E-3</v>
      </c>
      <c r="H183">
        <v>480.0997314</v>
      </c>
      <c r="I183">
        <f t="shared" si="25"/>
        <v>1.437680536776198E-2</v>
      </c>
      <c r="J183">
        <v>502.64999390000003</v>
      </c>
      <c r="K183">
        <f t="shared" si="26"/>
        <v>3.4436415471625903E-3</v>
      </c>
      <c r="L183">
        <v>266.25</v>
      </c>
      <c r="M183">
        <f t="shared" si="27"/>
        <v>1.5446177008225259E-2</v>
      </c>
      <c r="N183">
        <v>529.59997559999999</v>
      </c>
      <c r="O183">
        <f t="shared" si="28"/>
        <v>1.485101152125079E-2</v>
      </c>
      <c r="P183">
        <v>178.8999939</v>
      </c>
      <c r="Q183">
        <f t="shared" si="29"/>
        <v>-7.4896316227461845E-3</v>
      </c>
      <c r="R183">
        <v>410.14999390000003</v>
      </c>
      <c r="S183">
        <f t="shared" si="30"/>
        <v>-2.4322023953214922E-3</v>
      </c>
      <c r="T183">
        <v>1127.400024</v>
      </c>
      <c r="U183">
        <f t="shared" si="31"/>
        <v>-4.5472824839372095E-3</v>
      </c>
      <c r="W183">
        <f t="shared" si="32"/>
        <v>5.4552567031978865E-3</v>
      </c>
      <c r="X183">
        <v>-1.0740522304697443E-2</v>
      </c>
    </row>
    <row r="184" spans="1:24" x14ac:dyDescent="0.35">
      <c r="A184" s="1">
        <v>43081</v>
      </c>
      <c r="B184">
        <v>837.16302489999998</v>
      </c>
      <c r="C184">
        <f t="shared" si="22"/>
        <v>-6.003213260108442E-4</v>
      </c>
      <c r="D184">
        <v>1306.0749510000001</v>
      </c>
      <c r="E184">
        <f t="shared" si="23"/>
        <v>-1.8394721805763403E-2</v>
      </c>
      <c r="F184">
        <v>909.95001219999995</v>
      </c>
      <c r="G184">
        <f t="shared" si="24"/>
        <v>-1.4352252843265245E-2</v>
      </c>
      <c r="H184">
        <v>472.12362669999999</v>
      </c>
      <c r="I184">
        <f t="shared" si="25"/>
        <v>-1.6613432956400942E-2</v>
      </c>
      <c r="J184">
        <v>505.25</v>
      </c>
      <c r="K184">
        <f t="shared" si="26"/>
        <v>5.1725974963747756E-3</v>
      </c>
      <c r="L184">
        <v>261.5499878</v>
      </c>
      <c r="M184">
        <f t="shared" si="27"/>
        <v>-1.7652627981220692E-2</v>
      </c>
      <c r="N184">
        <v>520.84997559999999</v>
      </c>
      <c r="O184">
        <f t="shared" si="28"/>
        <v>-1.6521904084468408E-2</v>
      </c>
      <c r="P184">
        <v>183.3000031</v>
      </c>
      <c r="Q184">
        <f t="shared" si="29"/>
        <v>2.4594797931963397E-2</v>
      </c>
      <c r="R184">
        <v>406.85000609999997</v>
      </c>
      <c r="S184">
        <f t="shared" si="30"/>
        <v>-8.0458072633902145E-3</v>
      </c>
      <c r="T184">
        <v>1115.75</v>
      </c>
      <c r="U184">
        <f t="shared" si="31"/>
        <v>-1.0333531800598927E-2</v>
      </c>
      <c r="W184">
        <f t="shared" si="32"/>
        <v>-7.2747204632780515E-3</v>
      </c>
      <c r="X184">
        <v>-1.0614477836212322E-2</v>
      </c>
    </row>
    <row r="185" spans="1:24" x14ac:dyDescent="0.35">
      <c r="A185" s="1">
        <v>43082</v>
      </c>
      <c r="B185">
        <v>836.29443360000005</v>
      </c>
      <c r="C185">
        <f t="shared" si="22"/>
        <v>-1.0375414037232522E-3</v>
      </c>
      <c r="D185">
        <v>1314.1999510000001</v>
      </c>
      <c r="E185">
        <f t="shared" si="23"/>
        <v>6.2209293530812726E-3</v>
      </c>
      <c r="F185">
        <v>910.67498780000005</v>
      </c>
      <c r="G185">
        <f t="shared" si="24"/>
        <v>7.9672024867316615E-4</v>
      </c>
      <c r="H185">
        <v>466.26544189999998</v>
      </c>
      <c r="I185">
        <f t="shared" si="25"/>
        <v>-1.2408158517604684E-2</v>
      </c>
      <c r="J185">
        <v>501.875</v>
      </c>
      <c r="K185">
        <f t="shared" si="26"/>
        <v>-6.6798614547254331E-3</v>
      </c>
      <c r="L185">
        <v>259</v>
      </c>
      <c r="M185">
        <f t="shared" si="27"/>
        <v>-9.7495236816830255E-3</v>
      </c>
      <c r="N185">
        <v>516.84997559999999</v>
      </c>
      <c r="O185">
        <f t="shared" si="28"/>
        <v>-7.6797546076337042E-3</v>
      </c>
      <c r="P185">
        <v>183.8999939</v>
      </c>
      <c r="Q185">
        <f t="shared" si="29"/>
        <v>3.2732721759567429E-3</v>
      </c>
      <c r="R185">
        <v>401.9500122</v>
      </c>
      <c r="S185">
        <f t="shared" si="30"/>
        <v>-1.2043735594280847E-2</v>
      </c>
      <c r="T185">
        <v>1108</v>
      </c>
      <c r="U185">
        <f t="shared" si="31"/>
        <v>-6.9460004481290971E-3</v>
      </c>
      <c r="W185">
        <f t="shared" si="32"/>
        <v>-4.6253653930068859E-3</v>
      </c>
      <c r="X185">
        <v>-1.0611799212345441E-2</v>
      </c>
    </row>
    <row r="186" spans="1:24" x14ac:dyDescent="0.35">
      <c r="A186" s="1">
        <v>43083</v>
      </c>
      <c r="B186">
        <v>842.55761719999998</v>
      </c>
      <c r="C186">
        <f t="shared" si="22"/>
        <v>7.4892087623239512E-3</v>
      </c>
      <c r="D186">
        <v>1278.900024</v>
      </c>
      <c r="E186">
        <f t="shared" si="23"/>
        <v>-2.6860392874873851E-2</v>
      </c>
      <c r="F186">
        <v>919.02502440000001</v>
      </c>
      <c r="G186">
        <f t="shared" si="24"/>
        <v>9.1690632902654556E-3</v>
      </c>
      <c r="H186">
        <v>468.92416379999997</v>
      </c>
      <c r="I186">
        <f t="shared" si="25"/>
        <v>5.7021637485417109E-3</v>
      </c>
      <c r="J186">
        <v>506.5499878</v>
      </c>
      <c r="K186">
        <f t="shared" si="26"/>
        <v>9.3150441843088405E-3</v>
      </c>
      <c r="L186">
        <v>264.25</v>
      </c>
      <c r="M186">
        <f t="shared" si="27"/>
        <v>2.0270270270270174E-2</v>
      </c>
      <c r="N186">
        <v>514.40002440000001</v>
      </c>
      <c r="O186">
        <f t="shared" si="28"/>
        <v>-4.7401592641189705E-3</v>
      </c>
      <c r="P186">
        <v>184.3500061</v>
      </c>
      <c r="Q186">
        <f t="shared" si="29"/>
        <v>2.4470484770364731E-3</v>
      </c>
      <c r="R186">
        <v>402.39999390000003</v>
      </c>
      <c r="S186">
        <f t="shared" si="30"/>
        <v>1.1194966695911024E-3</v>
      </c>
      <c r="T186">
        <v>1104.1999510000001</v>
      </c>
      <c r="U186">
        <f t="shared" si="31"/>
        <v>-3.4296471119132921E-3</v>
      </c>
      <c r="W186">
        <f t="shared" si="32"/>
        <v>2.0482096151431596E-3</v>
      </c>
      <c r="X186">
        <v>-1.055819302754595E-2</v>
      </c>
    </row>
    <row r="187" spans="1:24" x14ac:dyDescent="0.35">
      <c r="A187" s="1">
        <v>43084</v>
      </c>
      <c r="B187">
        <v>840.95751949999999</v>
      </c>
      <c r="C187">
        <f t="shared" si="22"/>
        <v>-1.8990958806086589E-3</v>
      </c>
      <c r="D187">
        <v>1272.8000489999999</v>
      </c>
      <c r="E187">
        <f t="shared" si="23"/>
        <v>-4.7697043439887121E-3</v>
      </c>
      <c r="F187">
        <v>936.72497559999999</v>
      </c>
      <c r="G187">
        <f t="shared" si="24"/>
        <v>1.925948775067976E-2</v>
      </c>
      <c r="H187">
        <v>466.80621339999999</v>
      </c>
      <c r="I187">
        <f t="shared" si="25"/>
        <v>-4.5166160405061273E-3</v>
      </c>
      <c r="J187">
        <v>511.4500122</v>
      </c>
      <c r="K187">
        <f t="shared" si="26"/>
        <v>9.6733284335497327E-3</v>
      </c>
      <c r="L187">
        <v>264.60000609999997</v>
      </c>
      <c r="M187">
        <f t="shared" si="27"/>
        <v>1.3245263954586584E-3</v>
      </c>
      <c r="N187">
        <v>518.34997559999999</v>
      </c>
      <c r="O187">
        <f t="shared" si="28"/>
        <v>7.678753912593983E-3</v>
      </c>
      <c r="P187">
        <v>183</v>
      </c>
      <c r="Q187">
        <f t="shared" si="29"/>
        <v>-7.3230596980164986E-3</v>
      </c>
      <c r="R187">
        <v>405.10000609999997</v>
      </c>
      <c r="S187">
        <f t="shared" si="30"/>
        <v>6.7097719705009329E-3</v>
      </c>
      <c r="T187">
        <v>1121.8000489999999</v>
      </c>
      <c r="U187">
        <f t="shared" si="31"/>
        <v>1.5939230919237657E-2</v>
      </c>
      <c r="W187">
        <f t="shared" si="32"/>
        <v>4.2076623418900727E-3</v>
      </c>
      <c r="X187">
        <v>-1.0510959883538295E-2</v>
      </c>
    </row>
    <row r="188" spans="1:24" x14ac:dyDescent="0.35">
      <c r="A188" s="1">
        <v>43087</v>
      </c>
      <c r="B188">
        <v>842.10040279999998</v>
      </c>
      <c r="C188">
        <f t="shared" si="22"/>
        <v>1.3590261975175988E-3</v>
      </c>
      <c r="D188">
        <v>1290.25</v>
      </c>
      <c r="E188">
        <f t="shared" si="23"/>
        <v>1.3709891835492982E-2</v>
      </c>
      <c r="F188">
        <v>939.47497559999999</v>
      </c>
      <c r="G188">
        <f t="shared" si="24"/>
        <v>2.9357603049267045E-3</v>
      </c>
      <c r="H188">
        <v>474.28662109999999</v>
      </c>
      <c r="I188">
        <f t="shared" si="25"/>
        <v>1.6024653239973263E-2</v>
      </c>
      <c r="J188">
        <v>508.2999878</v>
      </c>
      <c r="K188">
        <f t="shared" si="26"/>
        <v>-6.1590073807021861E-3</v>
      </c>
      <c r="L188">
        <v>263.2000122</v>
      </c>
      <c r="M188">
        <f t="shared" si="27"/>
        <v>-5.290982115362719E-3</v>
      </c>
      <c r="N188">
        <v>529.79998780000005</v>
      </c>
      <c r="O188">
        <f t="shared" si="28"/>
        <v>2.2089346462776271E-2</v>
      </c>
      <c r="P188">
        <v>183.0500031</v>
      </c>
      <c r="Q188">
        <f t="shared" si="29"/>
        <v>2.7324098360659299E-4</v>
      </c>
      <c r="R188">
        <v>405.7999878</v>
      </c>
      <c r="S188">
        <f t="shared" si="30"/>
        <v>1.7279232028133418E-3</v>
      </c>
      <c r="T188">
        <v>1135.25</v>
      </c>
      <c r="U188">
        <f t="shared" si="31"/>
        <v>1.1989615272338217E-2</v>
      </c>
      <c r="W188">
        <f t="shared" si="32"/>
        <v>5.8659468003380072E-3</v>
      </c>
      <c r="X188">
        <v>-1.0508087497507569E-2</v>
      </c>
    </row>
    <row r="189" spans="1:24" x14ac:dyDescent="0.35">
      <c r="A189" s="1">
        <v>43088</v>
      </c>
      <c r="B189">
        <v>846.62640380000005</v>
      </c>
      <c r="C189">
        <f t="shared" si="22"/>
        <v>5.3746572082746802E-3</v>
      </c>
      <c r="D189">
        <v>1287.650024</v>
      </c>
      <c r="E189">
        <f t="shared" si="23"/>
        <v>-2.0150947490795712E-3</v>
      </c>
      <c r="F189">
        <v>942.25</v>
      </c>
      <c r="G189">
        <f t="shared" si="24"/>
        <v>2.9538034243303812E-3</v>
      </c>
      <c r="H189">
        <v>483.61465449999997</v>
      </c>
      <c r="I189">
        <f t="shared" si="25"/>
        <v>1.9667502697769068E-2</v>
      </c>
      <c r="J189">
        <v>501.97500609999997</v>
      </c>
      <c r="K189">
        <f t="shared" si="26"/>
        <v>-1.2443403210327664E-2</v>
      </c>
      <c r="L189">
        <v>264.25</v>
      </c>
      <c r="M189">
        <f t="shared" si="27"/>
        <v>3.9893151646290814E-3</v>
      </c>
      <c r="N189">
        <v>527.5</v>
      </c>
      <c r="O189">
        <f t="shared" si="28"/>
        <v>-4.3412379255627354E-3</v>
      </c>
      <c r="P189">
        <v>185.1999969</v>
      </c>
      <c r="Q189">
        <f t="shared" si="29"/>
        <v>1.1745390677898371E-2</v>
      </c>
      <c r="R189">
        <v>420.10000609999997</v>
      </c>
      <c r="S189">
        <f t="shared" si="30"/>
        <v>3.5239080162436487E-2</v>
      </c>
      <c r="T189">
        <v>1146</v>
      </c>
      <c r="U189">
        <f t="shared" si="31"/>
        <v>9.4692798942963563E-3</v>
      </c>
      <c r="W189">
        <f t="shared" si="32"/>
        <v>6.9639293344664456E-3</v>
      </c>
      <c r="X189">
        <v>-1.0479591670126165E-2</v>
      </c>
    </row>
    <row r="190" spans="1:24" x14ac:dyDescent="0.35">
      <c r="A190" s="1">
        <v>43089</v>
      </c>
      <c r="B190">
        <v>839.49456789999999</v>
      </c>
      <c r="C190">
        <f t="shared" si="22"/>
        <v>-8.4238288198779099E-3</v>
      </c>
      <c r="D190">
        <v>1294.474976</v>
      </c>
      <c r="E190">
        <f t="shared" si="23"/>
        <v>5.3003159808895361E-3</v>
      </c>
      <c r="F190">
        <v>934.07501219999995</v>
      </c>
      <c r="G190">
        <f t="shared" si="24"/>
        <v>-8.6760284425577705E-3</v>
      </c>
      <c r="H190">
        <v>476.67495730000002</v>
      </c>
      <c r="I190">
        <f t="shared" si="25"/>
        <v>-1.4349642086786574E-2</v>
      </c>
      <c r="J190">
        <v>507.9249878</v>
      </c>
      <c r="K190">
        <f t="shared" si="26"/>
        <v>1.1853143339201955E-2</v>
      </c>
      <c r="L190">
        <v>263.2999878</v>
      </c>
      <c r="M190">
        <f t="shared" si="27"/>
        <v>-3.5951265846736469E-3</v>
      </c>
      <c r="N190">
        <v>527.25</v>
      </c>
      <c r="O190">
        <f t="shared" si="28"/>
        <v>-4.7393364928904891E-4</v>
      </c>
      <c r="P190">
        <v>188</v>
      </c>
      <c r="Q190">
        <f t="shared" si="29"/>
        <v>1.5118807488489816E-2</v>
      </c>
      <c r="R190">
        <v>422.60000609999997</v>
      </c>
      <c r="S190">
        <f t="shared" si="30"/>
        <v>5.9509639697670202E-3</v>
      </c>
      <c r="T190">
        <v>1143</v>
      </c>
      <c r="U190">
        <f t="shared" si="31"/>
        <v>-2.6178010471203939E-3</v>
      </c>
      <c r="W190">
        <f t="shared" si="32"/>
        <v>8.6870148042982021E-6</v>
      </c>
      <c r="X190">
        <v>-1.0432975945792724E-2</v>
      </c>
    </row>
    <row r="191" spans="1:24" x14ac:dyDescent="0.35">
      <c r="A191" s="1">
        <v>43090</v>
      </c>
      <c r="B191">
        <v>834.7400513</v>
      </c>
      <c r="C191">
        <f t="shared" si="22"/>
        <v>-5.6635465931523798E-3</v>
      </c>
      <c r="D191">
        <v>1297.849976</v>
      </c>
      <c r="E191">
        <f t="shared" si="23"/>
        <v>2.6072346415138004E-3</v>
      </c>
      <c r="F191">
        <v>934.15002440000001</v>
      </c>
      <c r="G191">
        <f t="shared" si="24"/>
        <v>8.0306398330343143E-5</v>
      </c>
      <c r="H191">
        <v>472.34893799999998</v>
      </c>
      <c r="I191">
        <f t="shared" si="25"/>
        <v>-9.0754071170502382E-3</v>
      </c>
      <c r="J191">
        <v>511.02499390000003</v>
      </c>
      <c r="K191">
        <f t="shared" si="26"/>
        <v>6.1032754333021355E-3</v>
      </c>
      <c r="L191">
        <v>263.0499878</v>
      </c>
      <c r="M191">
        <f t="shared" si="27"/>
        <v>-9.4948732086497234E-4</v>
      </c>
      <c r="N191">
        <v>528.20001219999995</v>
      </c>
      <c r="O191">
        <f t="shared" si="28"/>
        <v>1.8018249407301123E-3</v>
      </c>
      <c r="P191">
        <v>188</v>
      </c>
      <c r="Q191">
        <f t="shared" si="29"/>
        <v>0</v>
      </c>
      <c r="R191">
        <v>420.7999878</v>
      </c>
      <c r="S191">
        <f t="shared" si="30"/>
        <v>-4.2593901420201474E-3</v>
      </c>
      <c r="T191">
        <v>1155.599976</v>
      </c>
      <c r="U191">
        <f t="shared" si="31"/>
        <v>1.102360104986877E-2</v>
      </c>
      <c r="W191">
        <f t="shared" si="32"/>
        <v>1.668411290657424E-4</v>
      </c>
      <c r="X191">
        <v>-1.0425733250348481E-2</v>
      </c>
    </row>
    <row r="192" spans="1:24" x14ac:dyDescent="0.35">
      <c r="A192" s="1">
        <v>43091</v>
      </c>
      <c r="B192">
        <v>841.55181879999998</v>
      </c>
      <c r="C192">
        <f t="shared" si="22"/>
        <v>8.1603458338814772E-3</v>
      </c>
      <c r="D192">
        <v>1323.375</v>
      </c>
      <c r="E192">
        <f t="shared" si="23"/>
        <v>1.9667160667266481E-2</v>
      </c>
      <c r="F192">
        <v>938.32501219999995</v>
      </c>
      <c r="G192">
        <f t="shared" si="24"/>
        <v>4.4692904682859247E-3</v>
      </c>
      <c r="H192">
        <v>476.35952759999998</v>
      </c>
      <c r="I192">
        <f t="shared" si="25"/>
        <v>8.4907348727858434E-3</v>
      </c>
      <c r="J192">
        <v>519.67498780000005</v>
      </c>
      <c r="K192">
        <f t="shared" si="26"/>
        <v>1.6926753100637404E-2</v>
      </c>
      <c r="L192">
        <v>263.10000609999997</v>
      </c>
      <c r="M192">
        <f t="shared" si="27"/>
        <v>1.9014750929402524E-4</v>
      </c>
      <c r="N192">
        <v>530.95001219999995</v>
      </c>
      <c r="O192">
        <f t="shared" si="28"/>
        <v>5.2063611065551463E-3</v>
      </c>
      <c r="P192">
        <v>193.3999939</v>
      </c>
      <c r="Q192">
        <f t="shared" si="29"/>
        <v>2.87233718085107E-2</v>
      </c>
      <c r="R192">
        <v>422</v>
      </c>
      <c r="S192">
        <f t="shared" si="30"/>
        <v>2.8517401016900923E-3</v>
      </c>
      <c r="T192">
        <v>1151.099976</v>
      </c>
      <c r="U192">
        <f t="shared" si="31"/>
        <v>-3.8940810777586821E-3</v>
      </c>
      <c r="W192">
        <f t="shared" si="32"/>
        <v>9.0791824391148416E-3</v>
      </c>
      <c r="X192">
        <v>-1.0394029142195504E-2</v>
      </c>
    </row>
    <row r="193" spans="1:24" x14ac:dyDescent="0.35">
      <c r="A193" s="1">
        <v>43095</v>
      </c>
      <c r="B193">
        <v>850.14654540000004</v>
      </c>
      <c r="C193">
        <f t="shared" si="22"/>
        <v>1.0212949943184224E-2</v>
      </c>
      <c r="D193">
        <v>1324.724976</v>
      </c>
      <c r="E193">
        <f t="shared" si="23"/>
        <v>1.0201008784358478E-3</v>
      </c>
      <c r="F193">
        <v>934.17498780000005</v>
      </c>
      <c r="G193">
        <f t="shared" si="24"/>
        <v>-4.4228005712750873E-3</v>
      </c>
      <c r="H193">
        <v>489.33764650000001</v>
      </c>
      <c r="I193">
        <f t="shared" si="25"/>
        <v>2.7244377719044532E-2</v>
      </c>
      <c r="J193">
        <v>517.79998780000005</v>
      </c>
      <c r="K193">
        <f t="shared" si="26"/>
        <v>-3.608024330625681E-3</v>
      </c>
      <c r="L193">
        <v>264.14999390000003</v>
      </c>
      <c r="M193">
        <f t="shared" si="27"/>
        <v>3.9908315304293396E-3</v>
      </c>
      <c r="N193">
        <v>541.29998780000005</v>
      </c>
      <c r="O193">
        <f t="shared" si="28"/>
        <v>1.9493314553501673E-2</v>
      </c>
      <c r="P193">
        <v>193.6999969</v>
      </c>
      <c r="Q193">
        <f t="shared" si="29"/>
        <v>1.5512048059067585E-3</v>
      </c>
      <c r="R193">
        <v>424.2000122</v>
      </c>
      <c r="S193">
        <f t="shared" si="30"/>
        <v>5.2132990521327471E-3</v>
      </c>
      <c r="T193">
        <v>1150.150024</v>
      </c>
      <c r="U193">
        <f t="shared" si="31"/>
        <v>-8.2525585944404067E-4</v>
      </c>
      <c r="W193">
        <f t="shared" si="32"/>
        <v>5.9869997721290315E-3</v>
      </c>
      <c r="X193">
        <v>-1.0352894982727468E-2</v>
      </c>
    </row>
    <row r="194" spans="1:24" x14ac:dyDescent="0.35">
      <c r="A194" s="1">
        <v>43096</v>
      </c>
      <c r="B194">
        <v>844.61486820000005</v>
      </c>
      <c r="C194">
        <f t="shared" si="22"/>
        <v>-6.5067337271802472E-3</v>
      </c>
      <c r="D194">
        <v>1309.9499510000001</v>
      </c>
      <c r="E194">
        <f t="shared" si="23"/>
        <v>-1.1153277297309638E-2</v>
      </c>
      <c r="F194">
        <v>928.375</v>
      </c>
      <c r="G194">
        <f t="shared" si="24"/>
        <v>-6.2086738306482703E-3</v>
      </c>
      <c r="H194">
        <v>481.85720830000002</v>
      </c>
      <c r="I194">
        <f t="shared" si="25"/>
        <v>-1.5286864302192948E-2</v>
      </c>
      <c r="J194">
        <v>517.125</v>
      </c>
      <c r="K194">
        <f t="shared" si="26"/>
        <v>-1.3035685900030236E-3</v>
      </c>
      <c r="L194">
        <v>262.14999390000003</v>
      </c>
      <c r="M194">
        <f t="shared" si="27"/>
        <v>-7.5714557871886523E-3</v>
      </c>
      <c r="N194">
        <v>576.29998780000005</v>
      </c>
      <c r="O194">
        <f t="shared" si="28"/>
        <v>6.4659155346095787E-2</v>
      </c>
      <c r="P194">
        <v>192.6000061</v>
      </c>
      <c r="Q194">
        <f t="shared" si="29"/>
        <v>-5.6788374682725795E-3</v>
      </c>
      <c r="R194">
        <v>422.4500122</v>
      </c>
      <c r="S194">
        <f t="shared" si="30"/>
        <v>-4.125412422607222E-3</v>
      </c>
      <c r="T194">
        <v>1146.349976</v>
      </c>
      <c r="U194">
        <f t="shared" si="31"/>
        <v>-3.3039585451506426E-3</v>
      </c>
      <c r="W194">
        <f t="shared" si="32"/>
        <v>3.5203733755425623E-4</v>
      </c>
      <c r="X194">
        <v>-1.0346905054346503E-2</v>
      </c>
    </row>
    <row r="195" spans="1:24" x14ac:dyDescent="0.35">
      <c r="A195" s="1">
        <v>43097</v>
      </c>
      <c r="B195">
        <v>845.02630620000002</v>
      </c>
      <c r="C195">
        <f t="shared" si="22"/>
        <v>4.8713089893470674E-4</v>
      </c>
      <c r="D195">
        <v>1313.474976</v>
      </c>
      <c r="E195">
        <f t="shared" si="23"/>
        <v>2.6909615877377391E-3</v>
      </c>
      <c r="F195">
        <v>939.02502440000001</v>
      </c>
      <c r="G195">
        <f t="shared" si="24"/>
        <v>1.1471683748485173E-2</v>
      </c>
      <c r="H195">
        <v>478.88305659999997</v>
      </c>
      <c r="I195">
        <f t="shared" si="25"/>
        <v>-6.1722677356906841E-3</v>
      </c>
      <c r="J195">
        <v>516.625</v>
      </c>
      <c r="K195">
        <f t="shared" si="26"/>
        <v>-9.6688421561519355E-4</v>
      </c>
      <c r="L195">
        <v>261.85000609999997</v>
      </c>
      <c r="M195">
        <f t="shared" si="27"/>
        <v>-1.1443364752260488E-3</v>
      </c>
      <c r="N195">
        <v>568.40002440000001</v>
      </c>
      <c r="O195">
        <f t="shared" si="28"/>
        <v>-1.3708074904109968E-2</v>
      </c>
      <c r="P195">
        <v>193</v>
      </c>
      <c r="Q195">
        <f t="shared" si="29"/>
        <v>2.0768114607032651E-3</v>
      </c>
      <c r="R195">
        <v>418.60000609999997</v>
      </c>
      <c r="S195">
        <f t="shared" si="30"/>
        <v>-9.1135187331402578E-3</v>
      </c>
      <c r="T195">
        <v>1148.349976</v>
      </c>
      <c r="U195">
        <f t="shared" si="31"/>
        <v>1.7446678953827455E-3</v>
      </c>
      <c r="W195">
        <f t="shared" si="32"/>
        <v>-1.2633826472538525E-3</v>
      </c>
      <c r="X195">
        <v>-1.0303743898499751E-2</v>
      </c>
    </row>
    <row r="196" spans="1:24" x14ac:dyDescent="0.35">
      <c r="A196" s="1">
        <v>43098</v>
      </c>
      <c r="B196">
        <v>842.14611820000005</v>
      </c>
      <c r="C196">
        <f t="shared" ref="C196:C259" si="33">B196/B195 - 1</f>
        <v>-3.4084003999258483E-3</v>
      </c>
      <c r="D196">
        <v>1350.599976</v>
      </c>
      <c r="E196">
        <f t="shared" ref="E196:E259" si="34">D196/D195 - 1</f>
        <v>2.826471815478282E-2</v>
      </c>
      <c r="F196">
        <v>936.20001219999995</v>
      </c>
      <c r="G196">
        <f t="shared" ref="G196:G259" si="35">F196/F195 - 1</f>
        <v>-3.0084525189358891E-3</v>
      </c>
      <c r="H196">
        <v>477.35092159999999</v>
      </c>
      <c r="I196">
        <f t="shared" ref="I196:I259" si="36">H196/H195 - 1</f>
        <v>-3.1993927930503707E-3</v>
      </c>
      <c r="J196">
        <v>521.02502440000001</v>
      </c>
      <c r="K196">
        <f t="shared" ref="K196:K259" si="37">J196/J195 -1</f>
        <v>8.5168631018630592E-3</v>
      </c>
      <c r="L196">
        <v>263.25</v>
      </c>
      <c r="M196">
        <f t="shared" ref="M196:M259" si="38">L196/L195 -1</f>
        <v>5.3465490448199038E-3</v>
      </c>
      <c r="N196">
        <v>571.15002440000001</v>
      </c>
      <c r="O196">
        <f t="shared" ref="O196:O259" si="39">N196/N195-1</f>
        <v>4.8381419457237396E-3</v>
      </c>
      <c r="P196">
        <v>195.1999969</v>
      </c>
      <c r="Q196">
        <f t="shared" ref="Q196:Q259" si="40">P196/P195 -1</f>
        <v>1.1398947668393777E-2</v>
      </c>
      <c r="R196">
        <v>431.85000609999997</v>
      </c>
      <c r="S196">
        <f t="shared" ref="S196:S259" si="41">R196/R195 - 1</f>
        <v>3.1653129017954917E-2</v>
      </c>
      <c r="T196">
        <v>1181.349976</v>
      </c>
      <c r="U196">
        <f t="shared" ref="U196:U259" si="42">T196/T195 - 1</f>
        <v>2.8736883954965986E-2</v>
      </c>
      <c r="W196">
        <f t="shared" ref="W196:W259" si="43">0.1*C196+0.1*E196+0.1*G196+0.1*I196+0.1*K196+0.1*M196+0.1*O196+0.1*Q196+0.1*S196+0.1*U196</f>
        <v>1.091389871765921E-2</v>
      </c>
      <c r="X196">
        <v>-1.0265810132874644E-2</v>
      </c>
    </row>
    <row r="197" spans="1:24" x14ac:dyDescent="0.35">
      <c r="A197" s="1">
        <v>43101</v>
      </c>
      <c r="B197">
        <v>831.81420900000001</v>
      </c>
      <c r="C197">
        <f t="shared" si="33"/>
        <v>-1.2268546961996862E-2</v>
      </c>
      <c r="D197">
        <v>1322.8000489999999</v>
      </c>
      <c r="E197">
        <f t="shared" si="34"/>
        <v>-2.058339071079629E-2</v>
      </c>
      <c r="F197">
        <v>927.25</v>
      </c>
      <c r="G197">
        <f t="shared" si="35"/>
        <v>-9.5599360001802358E-3</v>
      </c>
      <c r="H197">
        <v>475.77371219999998</v>
      </c>
      <c r="I197">
        <f t="shared" si="36"/>
        <v>-3.3040878913849214E-3</v>
      </c>
      <c r="J197">
        <v>516.77502440000001</v>
      </c>
      <c r="K197">
        <f t="shared" si="37"/>
        <v>-8.1569978426548895E-3</v>
      </c>
      <c r="L197">
        <v>262.2999878</v>
      </c>
      <c r="M197">
        <f t="shared" si="38"/>
        <v>-3.6087832858500146E-3</v>
      </c>
      <c r="N197">
        <v>574.04998780000005</v>
      </c>
      <c r="O197">
        <f t="shared" si="39"/>
        <v>5.0774109710429727E-3</v>
      </c>
      <c r="P197">
        <v>192.3500061</v>
      </c>
      <c r="Q197">
        <f t="shared" si="40"/>
        <v>-1.4600362936788569E-2</v>
      </c>
      <c r="R197">
        <v>424.4500122</v>
      </c>
      <c r="S197">
        <f t="shared" si="41"/>
        <v>-1.7135565116297324E-2</v>
      </c>
      <c r="T197">
        <v>1170.5</v>
      </c>
      <c r="U197">
        <f t="shared" si="42"/>
        <v>-9.1843875400391406E-3</v>
      </c>
      <c r="W197">
        <f t="shared" si="43"/>
        <v>-9.3324647314945268E-3</v>
      </c>
      <c r="X197">
        <v>-1.0243613405044049E-2</v>
      </c>
    </row>
    <row r="198" spans="1:24" x14ac:dyDescent="0.35">
      <c r="A198" s="1">
        <v>43102</v>
      </c>
      <c r="B198">
        <v>833.09423830000003</v>
      </c>
      <c r="C198">
        <f t="shared" si="33"/>
        <v>1.5388403878540124E-3</v>
      </c>
      <c r="D198">
        <v>1315.599976</v>
      </c>
      <c r="E198">
        <f t="shared" si="34"/>
        <v>-5.4430546819551617E-3</v>
      </c>
      <c r="F198">
        <v>936.17498780000005</v>
      </c>
      <c r="G198">
        <f t="shared" si="35"/>
        <v>9.6252227554598502E-3</v>
      </c>
      <c r="H198">
        <v>465.54443359999999</v>
      </c>
      <c r="I198">
        <f t="shared" si="36"/>
        <v>-2.1500302218673051E-2</v>
      </c>
      <c r="J198">
        <v>514.84997559999999</v>
      </c>
      <c r="K198">
        <f t="shared" si="37"/>
        <v>-3.7251196538282683E-3</v>
      </c>
      <c r="L198">
        <v>260.75</v>
      </c>
      <c r="M198">
        <f t="shared" si="38"/>
        <v>-5.9092179645156007E-3</v>
      </c>
      <c r="N198">
        <v>572.15002440000001</v>
      </c>
      <c r="O198">
        <f t="shared" si="39"/>
        <v>-3.3097525309276898E-3</v>
      </c>
      <c r="P198">
        <v>196.8500061</v>
      </c>
      <c r="Q198">
        <f t="shared" si="40"/>
        <v>2.3394852390389298E-2</v>
      </c>
      <c r="R198">
        <v>439.2999878</v>
      </c>
      <c r="S198">
        <f t="shared" si="41"/>
        <v>3.498639456512187E-2</v>
      </c>
      <c r="T198">
        <v>1160</v>
      </c>
      <c r="U198">
        <f t="shared" si="42"/>
        <v>-8.9705254164886838E-3</v>
      </c>
      <c r="W198">
        <f t="shared" si="43"/>
        <v>2.0687337632436576E-3</v>
      </c>
      <c r="X198">
        <v>-1.0225523516106196E-2</v>
      </c>
    </row>
    <row r="199" spans="1:24" x14ac:dyDescent="0.35">
      <c r="A199" s="1">
        <v>43103</v>
      </c>
      <c r="B199">
        <v>836.43157959999996</v>
      </c>
      <c r="C199">
        <f t="shared" si="33"/>
        <v>4.0059589258594208E-3</v>
      </c>
      <c r="D199">
        <v>1319.3249510000001</v>
      </c>
      <c r="E199">
        <f t="shared" si="34"/>
        <v>2.8313887716278074E-3</v>
      </c>
      <c r="F199">
        <v>926.32501219999995</v>
      </c>
      <c r="G199">
        <f t="shared" si="35"/>
        <v>-1.0521511179386933E-2</v>
      </c>
      <c r="H199">
        <v>467.03152469999998</v>
      </c>
      <c r="I199">
        <f t="shared" si="36"/>
        <v>3.1943054038912067E-3</v>
      </c>
      <c r="J199">
        <v>510.64999390000003</v>
      </c>
      <c r="K199">
        <f t="shared" si="37"/>
        <v>-8.1576806818439707E-3</v>
      </c>
      <c r="L199">
        <v>261.14999390000003</v>
      </c>
      <c r="M199">
        <f t="shared" si="38"/>
        <v>1.5340130393097784E-3</v>
      </c>
      <c r="N199">
        <v>569.04998780000005</v>
      </c>
      <c r="O199">
        <f t="shared" si="39"/>
        <v>-5.4182233117107126E-3</v>
      </c>
      <c r="P199">
        <v>193.4499969</v>
      </c>
      <c r="Q199">
        <f t="shared" si="40"/>
        <v>-1.7272080744934248E-2</v>
      </c>
      <c r="R199">
        <v>433.89999390000003</v>
      </c>
      <c r="S199">
        <f t="shared" si="41"/>
        <v>-1.2292269633429664E-2</v>
      </c>
      <c r="T199">
        <v>1184.5500489999999</v>
      </c>
      <c r="U199">
        <f t="shared" si="42"/>
        <v>2.1163835344827575E-2</v>
      </c>
      <c r="W199">
        <f t="shared" si="43"/>
        <v>-2.0932264065789742E-3</v>
      </c>
      <c r="X199">
        <v>-1.0197869409383732E-2</v>
      </c>
    </row>
    <row r="200" spans="1:24" x14ac:dyDescent="0.35">
      <c r="A200" s="1">
        <v>43104</v>
      </c>
      <c r="B200">
        <v>841.46038820000001</v>
      </c>
      <c r="C200">
        <f t="shared" si="33"/>
        <v>6.0122175234045283E-3</v>
      </c>
      <c r="D200">
        <v>1328.5500489999999</v>
      </c>
      <c r="E200">
        <f t="shared" si="34"/>
        <v>6.9922864666567275E-3</v>
      </c>
      <c r="F200">
        <v>929.95001219999995</v>
      </c>
      <c r="G200">
        <f t="shared" si="35"/>
        <v>3.9133133104014561E-3</v>
      </c>
      <c r="H200">
        <v>471.3575439</v>
      </c>
      <c r="I200">
        <f t="shared" si="36"/>
        <v>9.2627991285574307E-3</v>
      </c>
      <c r="J200">
        <v>507.7000122</v>
      </c>
      <c r="K200">
        <f t="shared" si="37"/>
        <v>-5.7769151772040228E-3</v>
      </c>
      <c r="L200">
        <v>261.5499878</v>
      </c>
      <c r="M200">
        <f t="shared" si="38"/>
        <v>1.5316634476090218E-3</v>
      </c>
      <c r="N200">
        <v>581.20001219999995</v>
      </c>
      <c r="O200">
        <f t="shared" si="39"/>
        <v>2.1351418435088698E-2</v>
      </c>
      <c r="P200">
        <v>199.5</v>
      </c>
      <c r="Q200">
        <f t="shared" si="40"/>
        <v>3.1274247593435778E-2</v>
      </c>
      <c r="R200">
        <v>429.9500122</v>
      </c>
      <c r="S200">
        <f t="shared" si="41"/>
        <v>-9.1034380168956153E-3</v>
      </c>
      <c r="T200">
        <v>1203.099976</v>
      </c>
      <c r="U200">
        <f t="shared" si="42"/>
        <v>1.5659892982706758E-2</v>
      </c>
      <c r="W200">
        <f t="shared" si="43"/>
        <v>8.111748569376076E-3</v>
      </c>
      <c r="X200">
        <v>-1.0182573352126011E-2</v>
      </c>
    </row>
    <row r="201" spans="1:24" x14ac:dyDescent="0.35">
      <c r="A201" s="1">
        <v>43105</v>
      </c>
      <c r="B201">
        <v>844.15765380000005</v>
      </c>
      <c r="C201">
        <f t="shared" si="33"/>
        <v>3.2054576042133132E-3</v>
      </c>
      <c r="D201">
        <v>1344.599976</v>
      </c>
      <c r="E201">
        <f t="shared" si="34"/>
        <v>1.2080784620858598E-2</v>
      </c>
      <c r="F201">
        <v>931.79998780000005</v>
      </c>
      <c r="G201">
        <f t="shared" si="35"/>
        <v>1.9893280022906801E-3</v>
      </c>
      <c r="H201">
        <v>486.67892460000002</v>
      </c>
      <c r="I201">
        <f t="shared" si="36"/>
        <v>3.2504795771870487E-2</v>
      </c>
      <c r="J201">
        <v>506</v>
      </c>
      <c r="K201">
        <f t="shared" si="37"/>
        <v>-3.3484580641103268E-3</v>
      </c>
      <c r="L201">
        <v>262.89999390000003</v>
      </c>
      <c r="M201">
        <f t="shared" si="38"/>
        <v>5.1615605542767451E-3</v>
      </c>
      <c r="N201">
        <v>578.75</v>
      </c>
      <c r="O201">
        <f t="shared" si="39"/>
        <v>-4.2154372824700914E-3</v>
      </c>
      <c r="P201">
        <v>198.4499969</v>
      </c>
      <c r="Q201">
        <f t="shared" si="40"/>
        <v>-5.2631734335839564E-3</v>
      </c>
      <c r="R201">
        <v>431.60000609999997</v>
      </c>
      <c r="S201">
        <f t="shared" si="41"/>
        <v>3.8376412447511665E-3</v>
      </c>
      <c r="T201">
        <v>1243.400024</v>
      </c>
      <c r="U201">
        <f t="shared" si="42"/>
        <v>3.349684049864865E-2</v>
      </c>
      <c r="W201">
        <f t="shared" si="43"/>
        <v>7.9449339516745269E-3</v>
      </c>
      <c r="X201">
        <v>-1.0180681809903747E-2</v>
      </c>
    </row>
    <row r="202" spans="1:24" x14ac:dyDescent="0.35">
      <c r="A202" s="1">
        <v>43108</v>
      </c>
      <c r="B202">
        <v>849.00366210000004</v>
      </c>
      <c r="C202">
        <f t="shared" si="33"/>
        <v>5.7406436797504679E-3</v>
      </c>
      <c r="D202">
        <v>1357.1999510000001</v>
      </c>
      <c r="E202">
        <f t="shared" si="34"/>
        <v>9.3707981741033564E-3</v>
      </c>
      <c r="F202">
        <v>930.29998780000005</v>
      </c>
      <c r="G202">
        <f t="shared" si="35"/>
        <v>-1.6097875291257724E-3</v>
      </c>
      <c r="H202">
        <v>465.3641968</v>
      </c>
      <c r="I202">
        <f t="shared" si="36"/>
        <v>-4.3796282770038886E-2</v>
      </c>
      <c r="J202">
        <v>518.02502440000001</v>
      </c>
      <c r="K202">
        <f t="shared" si="37"/>
        <v>2.376487035573116E-2</v>
      </c>
      <c r="L202">
        <v>265.60000609999997</v>
      </c>
      <c r="M202">
        <f t="shared" si="38"/>
        <v>1.0270111307141949E-2</v>
      </c>
      <c r="N202">
        <v>591.59997559999999</v>
      </c>
      <c r="O202">
        <f t="shared" si="39"/>
        <v>2.2202981598272054E-2</v>
      </c>
      <c r="P202">
        <v>197.3999939</v>
      </c>
      <c r="Q202">
        <f t="shared" si="40"/>
        <v>-5.2910204908146463E-3</v>
      </c>
      <c r="R202">
        <v>433.5499878</v>
      </c>
      <c r="S202">
        <f t="shared" si="41"/>
        <v>4.5180298249305473E-3</v>
      </c>
      <c r="T202">
        <v>1226.8000489999999</v>
      </c>
      <c r="U202">
        <f t="shared" si="42"/>
        <v>-1.3350470226466737E-2</v>
      </c>
      <c r="W202">
        <f t="shared" si="43"/>
        <v>1.1819873923483498E-3</v>
      </c>
      <c r="X202">
        <v>-1.0019845111736847E-2</v>
      </c>
    </row>
    <row r="203" spans="1:24" x14ac:dyDescent="0.35">
      <c r="A203" s="1">
        <v>43109</v>
      </c>
      <c r="B203">
        <v>860.34136960000001</v>
      </c>
      <c r="C203">
        <f t="shared" si="33"/>
        <v>1.3354132621709036E-2</v>
      </c>
      <c r="D203">
        <v>1354.5</v>
      </c>
      <c r="E203">
        <f t="shared" si="34"/>
        <v>-1.9893538885045192E-3</v>
      </c>
      <c r="F203">
        <v>931.84997559999999</v>
      </c>
      <c r="G203">
        <f t="shared" si="35"/>
        <v>1.666116113432814E-3</v>
      </c>
      <c r="H203">
        <v>459.46096799999998</v>
      </c>
      <c r="I203">
        <f t="shared" si="36"/>
        <v>-1.268518042555189E-2</v>
      </c>
      <c r="J203">
        <v>520.67498780000005</v>
      </c>
      <c r="K203">
        <f t="shared" si="37"/>
        <v>5.1155123308364026E-3</v>
      </c>
      <c r="L203">
        <v>270.5499878</v>
      </c>
      <c r="M203">
        <f t="shared" si="38"/>
        <v>1.8636978864135845E-2</v>
      </c>
      <c r="N203">
        <v>586.5</v>
      </c>
      <c r="O203">
        <f t="shared" si="39"/>
        <v>-8.6206487666393716E-3</v>
      </c>
      <c r="P203">
        <v>197</v>
      </c>
      <c r="Q203">
        <f t="shared" si="40"/>
        <v>-2.02631161276845E-3</v>
      </c>
      <c r="R203">
        <v>437.5499878</v>
      </c>
      <c r="S203">
        <f t="shared" si="41"/>
        <v>9.2261564123148343E-3</v>
      </c>
      <c r="T203">
        <v>1234.099976</v>
      </c>
      <c r="U203">
        <f t="shared" si="42"/>
        <v>5.950380427479196E-3</v>
      </c>
      <c r="W203">
        <f t="shared" si="43"/>
        <v>2.8627782076443898E-3</v>
      </c>
      <c r="X203">
        <v>-1.0010719337252075E-2</v>
      </c>
    </row>
    <row r="204" spans="1:24" x14ac:dyDescent="0.35">
      <c r="A204" s="1">
        <v>43110</v>
      </c>
      <c r="B204">
        <v>861.62145999999996</v>
      </c>
      <c r="C204">
        <f t="shared" si="33"/>
        <v>1.4878866055170192E-3</v>
      </c>
      <c r="D204">
        <v>1403.3000489999999</v>
      </c>
      <c r="E204">
        <f t="shared" si="34"/>
        <v>3.6028090808416291E-2</v>
      </c>
      <c r="F204">
        <v>932.09997559999999</v>
      </c>
      <c r="G204">
        <f t="shared" si="35"/>
        <v>2.6828352905083896E-4</v>
      </c>
      <c r="H204">
        <v>456.39666749999998</v>
      </c>
      <c r="I204">
        <f t="shared" si="36"/>
        <v>-6.6693380143664216E-3</v>
      </c>
      <c r="J204">
        <v>526.125</v>
      </c>
      <c r="K204">
        <f t="shared" si="37"/>
        <v>1.0467205699716375E-2</v>
      </c>
      <c r="L204">
        <v>269.39999390000003</v>
      </c>
      <c r="M204">
        <f t="shared" si="38"/>
        <v>-4.2505782733580633E-3</v>
      </c>
      <c r="N204">
        <v>585.09997559999999</v>
      </c>
      <c r="O204">
        <f t="shared" si="39"/>
        <v>-2.3870833759590537E-3</v>
      </c>
      <c r="P204">
        <v>197.8999939</v>
      </c>
      <c r="Q204">
        <f t="shared" si="40"/>
        <v>4.5684969543147158E-3</v>
      </c>
      <c r="R204">
        <v>433.2999878</v>
      </c>
      <c r="S204">
        <f t="shared" si="41"/>
        <v>-9.7131759078979973E-3</v>
      </c>
      <c r="T204">
        <v>1249.3000489999999</v>
      </c>
      <c r="U204">
        <f t="shared" si="42"/>
        <v>1.231672740912515E-2</v>
      </c>
      <c r="W204">
        <f t="shared" si="43"/>
        <v>4.2116515434558847E-3</v>
      </c>
      <c r="X204">
        <v>-1.0005490797331363E-2</v>
      </c>
    </row>
    <row r="205" spans="1:24" x14ac:dyDescent="0.35">
      <c r="A205" s="1">
        <v>43111</v>
      </c>
      <c r="B205">
        <v>857.41552730000001</v>
      </c>
      <c r="C205">
        <f t="shared" si="33"/>
        <v>-4.8814159062379181E-3</v>
      </c>
      <c r="D205">
        <v>1395.25</v>
      </c>
      <c r="E205">
        <f t="shared" si="34"/>
        <v>-5.7365130185355051E-3</v>
      </c>
      <c r="F205">
        <v>936.27502440000001</v>
      </c>
      <c r="G205">
        <f t="shared" si="35"/>
        <v>4.4791856123722606E-3</v>
      </c>
      <c r="H205">
        <v>463.92218020000001</v>
      </c>
      <c r="I205">
        <f t="shared" si="36"/>
        <v>1.6488973815743435E-2</v>
      </c>
      <c r="J205">
        <v>537.90002440000001</v>
      </c>
      <c r="K205">
        <f t="shared" si="37"/>
        <v>2.238065934901412E-2</v>
      </c>
      <c r="L205">
        <v>269.7999878</v>
      </c>
      <c r="M205">
        <f t="shared" si="38"/>
        <v>1.4847583855122082E-3</v>
      </c>
      <c r="N205">
        <v>587.95001219999995</v>
      </c>
      <c r="O205">
        <f t="shared" si="39"/>
        <v>4.871024985221295E-3</v>
      </c>
      <c r="P205">
        <v>197.8999939</v>
      </c>
      <c r="Q205">
        <f t="shared" si="40"/>
        <v>0</v>
      </c>
      <c r="R205">
        <v>434.75</v>
      </c>
      <c r="S205">
        <f t="shared" si="41"/>
        <v>3.3464395126392432E-3</v>
      </c>
      <c r="T205">
        <v>1245.5</v>
      </c>
      <c r="U205">
        <f t="shared" si="42"/>
        <v>-3.0417424565393203E-3</v>
      </c>
      <c r="W205">
        <f t="shared" si="43"/>
        <v>3.9391370279189819E-3</v>
      </c>
      <c r="X205">
        <v>-9.9489881887599649E-3</v>
      </c>
    </row>
    <row r="206" spans="1:24" x14ac:dyDescent="0.35">
      <c r="A206" s="1">
        <v>43112</v>
      </c>
      <c r="B206">
        <v>867.70172119999995</v>
      </c>
      <c r="C206">
        <f t="shared" si="33"/>
        <v>1.1996743203836147E-2</v>
      </c>
      <c r="D206">
        <v>1388.1750489999999</v>
      </c>
      <c r="E206">
        <f t="shared" si="34"/>
        <v>-5.0707407274682703E-3</v>
      </c>
      <c r="F206">
        <v>932.65002440000001</v>
      </c>
      <c r="G206">
        <f t="shared" si="35"/>
        <v>-3.8717256207095874E-3</v>
      </c>
      <c r="H206">
        <v>459.23562620000001</v>
      </c>
      <c r="I206">
        <f t="shared" si="36"/>
        <v>-1.0102026158739785E-2</v>
      </c>
      <c r="J206">
        <v>539.22497559999999</v>
      </c>
      <c r="K206">
        <f t="shared" si="37"/>
        <v>2.4631923032125691E-3</v>
      </c>
      <c r="L206">
        <v>267.5499878</v>
      </c>
      <c r="M206">
        <f t="shared" si="38"/>
        <v>-8.3395111258044441E-3</v>
      </c>
      <c r="N206">
        <v>583.45001219999995</v>
      </c>
      <c r="O206">
        <f t="shared" si="39"/>
        <v>-7.6537118915294133E-3</v>
      </c>
      <c r="P206">
        <v>200.75</v>
      </c>
      <c r="Q206">
        <f t="shared" si="40"/>
        <v>1.440124400125109E-2</v>
      </c>
      <c r="R206">
        <v>437.10000609999997</v>
      </c>
      <c r="S206">
        <f t="shared" si="41"/>
        <v>5.4054194364576702E-3</v>
      </c>
      <c r="T206">
        <v>1234.599976</v>
      </c>
      <c r="U206">
        <f t="shared" si="42"/>
        <v>-8.7515246888799636E-3</v>
      </c>
      <c r="W206">
        <f t="shared" si="43"/>
        <v>-9.5226412683739874E-4</v>
      </c>
      <c r="X206">
        <v>-9.8246450221833766E-3</v>
      </c>
    </row>
    <row r="207" spans="1:24" x14ac:dyDescent="0.35">
      <c r="A207" s="1">
        <v>43115</v>
      </c>
      <c r="B207">
        <v>867.83886719999998</v>
      </c>
      <c r="C207">
        <f t="shared" si="33"/>
        <v>1.5805661859280562E-4</v>
      </c>
      <c r="D207">
        <v>1373.0500489999999</v>
      </c>
      <c r="E207">
        <f t="shared" si="34"/>
        <v>-1.0895599953979596E-2</v>
      </c>
      <c r="F207">
        <v>948.875</v>
      </c>
      <c r="G207">
        <f t="shared" si="35"/>
        <v>1.7396638798608199E-2</v>
      </c>
      <c r="H207">
        <v>454.68429570000001</v>
      </c>
      <c r="I207">
        <f t="shared" si="36"/>
        <v>-9.9106651146831926E-3</v>
      </c>
      <c r="J207">
        <v>540.57501219999995</v>
      </c>
      <c r="K207">
        <f t="shared" si="37"/>
        <v>2.5036611082374094E-3</v>
      </c>
      <c r="L207">
        <v>267.60000609999997</v>
      </c>
      <c r="M207">
        <f t="shared" si="38"/>
        <v>1.8694936378538252E-4</v>
      </c>
      <c r="N207">
        <v>576.45001219999995</v>
      </c>
      <c r="O207">
        <f t="shared" si="39"/>
        <v>-1.1997600229032956E-2</v>
      </c>
      <c r="P207">
        <v>196.6000061</v>
      </c>
      <c r="Q207">
        <f t="shared" si="40"/>
        <v>-2.0672447820672457E-2</v>
      </c>
      <c r="R207">
        <v>432.35000609999997</v>
      </c>
      <c r="S207">
        <f t="shared" si="41"/>
        <v>-1.0867078320088819E-2</v>
      </c>
      <c r="T207">
        <v>1228.849976</v>
      </c>
      <c r="U207">
        <f t="shared" si="42"/>
        <v>-4.6573789986854575E-3</v>
      </c>
      <c r="W207">
        <f t="shared" si="43"/>
        <v>-4.8755464547918688E-3</v>
      </c>
      <c r="X207">
        <v>-9.8104793870619107E-3</v>
      </c>
    </row>
    <row r="208" spans="1:24" x14ac:dyDescent="0.35">
      <c r="A208" s="1">
        <v>43116</v>
      </c>
      <c r="B208">
        <v>843.88336179999999</v>
      </c>
      <c r="C208">
        <f t="shared" si="33"/>
        <v>-2.7603632777234544E-2</v>
      </c>
      <c r="D208">
        <v>1425.4250489999999</v>
      </c>
      <c r="E208">
        <f t="shared" si="34"/>
        <v>3.8145004283088646E-2</v>
      </c>
      <c r="F208">
        <v>950.07501219999995</v>
      </c>
      <c r="G208">
        <f t="shared" si="35"/>
        <v>1.2646683704387041E-3</v>
      </c>
      <c r="H208">
        <v>448.15017699999999</v>
      </c>
      <c r="I208">
        <f t="shared" si="36"/>
        <v>-1.4370671610596464E-2</v>
      </c>
      <c r="J208">
        <v>561.42498780000005</v>
      </c>
      <c r="K208">
        <f t="shared" si="37"/>
        <v>3.8569995152284431E-2</v>
      </c>
      <c r="L208">
        <v>261.7000122</v>
      </c>
      <c r="M208">
        <f t="shared" si="38"/>
        <v>-2.2047809288147757E-2</v>
      </c>
      <c r="N208">
        <v>577.70001219999995</v>
      </c>
      <c r="O208">
        <f t="shared" si="39"/>
        <v>2.1684447455025957E-3</v>
      </c>
      <c r="P208">
        <v>197.1999969</v>
      </c>
      <c r="Q208">
        <f t="shared" si="40"/>
        <v>3.0518351036816771E-3</v>
      </c>
      <c r="R208">
        <v>421.89999390000003</v>
      </c>
      <c r="S208">
        <f t="shared" si="41"/>
        <v>-2.4170260327423088E-2</v>
      </c>
      <c r="T208">
        <v>1187</v>
      </c>
      <c r="U208">
        <f t="shared" si="42"/>
        <v>-3.4056212570573341E-2</v>
      </c>
      <c r="W208">
        <f t="shared" si="43"/>
        <v>-3.9048638918979146E-3</v>
      </c>
      <c r="X208">
        <v>-9.8056545339943232E-3</v>
      </c>
    </row>
    <row r="209" spans="1:24" x14ac:dyDescent="0.35">
      <c r="A209" s="1">
        <v>43117</v>
      </c>
      <c r="B209">
        <v>845.3005981</v>
      </c>
      <c r="C209">
        <f t="shared" si="33"/>
        <v>1.6794220198594889E-3</v>
      </c>
      <c r="D209">
        <v>1444.474976</v>
      </c>
      <c r="E209">
        <f t="shared" si="34"/>
        <v>1.3364383496252241E-2</v>
      </c>
      <c r="F209">
        <v>945.25</v>
      </c>
      <c r="G209">
        <f t="shared" si="35"/>
        <v>-5.0785592064221952E-3</v>
      </c>
      <c r="H209">
        <v>450.53851320000001</v>
      </c>
      <c r="I209">
        <f t="shared" si="36"/>
        <v>5.329321112819807E-3</v>
      </c>
      <c r="J209">
        <v>576.04998780000005</v>
      </c>
      <c r="K209">
        <f t="shared" si="37"/>
        <v>2.6049784597777847E-2</v>
      </c>
      <c r="L209">
        <v>266.0499878</v>
      </c>
      <c r="M209">
        <f t="shared" si="38"/>
        <v>1.6621992347006787E-2</v>
      </c>
      <c r="N209">
        <v>583.75</v>
      </c>
      <c r="O209">
        <f t="shared" si="39"/>
        <v>1.0472542274943875E-2</v>
      </c>
      <c r="P209">
        <v>195.6999969</v>
      </c>
      <c r="Q209">
        <f t="shared" si="40"/>
        <v>-7.6064909917855639E-3</v>
      </c>
      <c r="R209">
        <v>422.9500122</v>
      </c>
      <c r="S209">
        <f t="shared" si="41"/>
        <v>2.4887848191077477E-3</v>
      </c>
      <c r="T209">
        <v>1167.349976</v>
      </c>
      <c r="U209">
        <f t="shared" si="42"/>
        <v>-1.6554358887952869E-2</v>
      </c>
      <c r="W209">
        <f t="shared" si="43"/>
        <v>4.676682158160716E-3</v>
      </c>
      <c r="X209">
        <v>-9.7855034582496996E-3</v>
      </c>
    </row>
    <row r="210" spans="1:24" x14ac:dyDescent="0.35">
      <c r="A210" s="1">
        <v>43118</v>
      </c>
      <c r="B210">
        <v>840.91180420000001</v>
      </c>
      <c r="C210">
        <f t="shared" si="33"/>
        <v>-5.1919919492128264E-3</v>
      </c>
      <c r="D210">
        <v>1459.099976</v>
      </c>
      <c r="E210">
        <f t="shared" si="34"/>
        <v>1.0124785990061946E-2</v>
      </c>
      <c r="F210">
        <v>967.15002440000001</v>
      </c>
      <c r="G210">
        <f t="shared" si="35"/>
        <v>2.3168499761967665E-2</v>
      </c>
      <c r="H210">
        <v>446.122345</v>
      </c>
      <c r="I210">
        <f t="shared" si="36"/>
        <v>-9.8019771242944254E-3</v>
      </c>
      <c r="J210">
        <v>576.34997559999999</v>
      </c>
      <c r="K210">
        <f t="shared" si="37"/>
        <v>5.2076695834268882E-4</v>
      </c>
      <c r="L210">
        <v>273.39999390000003</v>
      </c>
      <c r="M210">
        <f t="shared" si="38"/>
        <v>2.7626410212524766E-2</v>
      </c>
      <c r="N210">
        <v>576.70001219999995</v>
      </c>
      <c r="O210">
        <f t="shared" si="39"/>
        <v>-1.2077066895075039E-2</v>
      </c>
      <c r="P210">
        <v>194.1000061</v>
      </c>
      <c r="Q210">
        <f t="shared" si="40"/>
        <v>-8.1757323727377207E-3</v>
      </c>
      <c r="R210">
        <v>418.9500122</v>
      </c>
      <c r="S210">
        <f t="shared" si="41"/>
        <v>-9.4573823965479198E-3</v>
      </c>
      <c r="T210">
        <v>1135.4499510000001</v>
      </c>
      <c r="U210">
        <f t="shared" si="42"/>
        <v>-2.7326873393450857E-2</v>
      </c>
      <c r="W210">
        <f t="shared" si="43"/>
        <v>-1.0590561208421727E-3</v>
      </c>
      <c r="X210">
        <v>-9.7795040661354492E-3</v>
      </c>
    </row>
    <row r="211" spans="1:24" x14ac:dyDescent="0.35">
      <c r="A211" s="1">
        <v>43119</v>
      </c>
      <c r="B211">
        <v>851.51806639999995</v>
      </c>
      <c r="C211">
        <f t="shared" si="33"/>
        <v>1.2612811649243216E-2</v>
      </c>
      <c r="D211">
        <v>1479.650024</v>
      </c>
      <c r="E211">
        <f t="shared" si="34"/>
        <v>1.4084057527254723E-2</v>
      </c>
      <c r="F211">
        <v>976.09997559999999</v>
      </c>
      <c r="G211">
        <f t="shared" si="35"/>
        <v>9.2539430018132585E-3</v>
      </c>
      <c r="H211">
        <v>448.73599239999999</v>
      </c>
      <c r="I211">
        <f t="shared" si="36"/>
        <v>5.858588858623559E-3</v>
      </c>
      <c r="J211">
        <v>571.72497559999999</v>
      </c>
      <c r="K211">
        <f t="shared" si="37"/>
        <v>-8.0246381466143601E-3</v>
      </c>
      <c r="L211">
        <v>274.5499878</v>
      </c>
      <c r="M211">
        <f t="shared" si="38"/>
        <v>4.2062689307176271E-3</v>
      </c>
      <c r="N211">
        <v>572.09997559999999</v>
      </c>
      <c r="O211">
        <f t="shared" si="39"/>
        <v>-7.9764808439168888E-3</v>
      </c>
      <c r="P211">
        <v>193.6999969</v>
      </c>
      <c r="Q211">
        <f t="shared" si="40"/>
        <v>-2.0608407389431926E-3</v>
      </c>
      <c r="R211">
        <v>418.0499878</v>
      </c>
      <c r="S211">
        <f t="shared" si="41"/>
        <v>-2.1482858904187108E-3</v>
      </c>
      <c r="T211">
        <v>1144.349976</v>
      </c>
      <c r="U211">
        <f t="shared" si="42"/>
        <v>7.838324350766479E-3</v>
      </c>
      <c r="W211">
        <f t="shared" si="43"/>
        <v>3.3643748698525713E-3</v>
      </c>
      <c r="X211">
        <v>-9.7470631251667331E-3</v>
      </c>
    </row>
    <row r="212" spans="1:24" x14ac:dyDescent="0.35">
      <c r="A212" s="1">
        <v>43122</v>
      </c>
      <c r="B212">
        <v>888.27423099999999</v>
      </c>
      <c r="C212">
        <f t="shared" si="33"/>
        <v>4.3165454792281288E-2</v>
      </c>
      <c r="D212">
        <v>1558.1999510000001</v>
      </c>
      <c r="E212">
        <f t="shared" si="34"/>
        <v>5.3086828456673008E-2</v>
      </c>
      <c r="F212">
        <v>981.67498780000005</v>
      </c>
      <c r="G212">
        <f t="shared" si="35"/>
        <v>5.7115176102460197E-3</v>
      </c>
      <c r="H212">
        <v>442.24694820000002</v>
      </c>
      <c r="I212">
        <f t="shared" si="36"/>
        <v>-1.4460717013793034E-2</v>
      </c>
      <c r="J212">
        <v>575</v>
      </c>
      <c r="K212">
        <f t="shared" si="37"/>
        <v>5.7283213778844821E-3</v>
      </c>
      <c r="L212">
        <v>273.64999390000003</v>
      </c>
      <c r="M212">
        <f t="shared" si="38"/>
        <v>-3.2780693498175584E-3</v>
      </c>
      <c r="N212">
        <v>576.15002440000001</v>
      </c>
      <c r="O212">
        <f t="shared" si="39"/>
        <v>7.0792675628983392E-3</v>
      </c>
      <c r="P212">
        <v>200.6999969</v>
      </c>
      <c r="Q212">
        <f t="shared" si="40"/>
        <v>3.6138358864372222E-2</v>
      </c>
      <c r="R212">
        <v>421.89999390000003</v>
      </c>
      <c r="S212">
        <f t="shared" si="41"/>
        <v>9.2094395702790877E-3</v>
      </c>
      <c r="T212">
        <v>1176.3000489999999</v>
      </c>
      <c r="U212">
        <f t="shared" si="42"/>
        <v>2.7919844164876251E-2</v>
      </c>
      <c r="W212">
        <f t="shared" si="43"/>
        <v>1.7030024603590013E-2</v>
      </c>
      <c r="X212">
        <v>-9.7098274692410738E-3</v>
      </c>
    </row>
    <row r="213" spans="1:24" x14ac:dyDescent="0.35">
      <c r="A213" s="1">
        <v>43123</v>
      </c>
      <c r="B213">
        <v>899.01763919999996</v>
      </c>
      <c r="C213">
        <f t="shared" si="33"/>
        <v>1.2094697588947545E-2</v>
      </c>
      <c r="D213">
        <v>1551</v>
      </c>
      <c r="E213">
        <f t="shared" si="34"/>
        <v>-4.6206849097764069E-3</v>
      </c>
      <c r="F213">
        <v>975.65002440000001</v>
      </c>
      <c r="G213">
        <f t="shared" si="35"/>
        <v>-6.1374319147138312E-3</v>
      </c>
      <c r="H213">
        <v>443.50869749999998</v>
      </c>
      <c r="I213">
        <f t="shared" si="36"/>
        <v>2.8530424124697529E-3</v>
      </c>
      <c r="J213">
        <v>588.54998780000005</v>
      </c>
      <c r="K213">
        <f t="shared" si="37"/>
        <v>2.3565196173913172E-2</v>
      </c>
      <c r="L213">
        <v>276.60000609999997</v>
      </c>
      <c r="M213">
        <f t="shared" si="38"/>
        <v>1.0780238500856631E-2</v>
      </c>
      <c r="N213">
        <v>579.34997559999999</v>
      </c>
      <c r="O213">
        <f t="shared" si="39"/>
        <v>5.554024237580224E-3</v>
      </c>
      <c r="P213">
        <v>207.3500061</v>
      </c>
      <c r="Q213">
        <f t="shared" si="40"/>
        <v>3.3134077243226923E-2</v>
      </c>
      <c r="R213">
        <v>418</v>
      </c>
      <c r="S213">
        <f t="shared" si="41"/>
        <v>-9.2438823332251507E-3</v>
      </c>
      <c r="T213">
        <v>1169.1999510000001</v>
      </c>
      <c r="U213">
        <f t="shared" si="42"/>
        <v>-6.0359582625503228E-3</v>
      </c>
      <c r="W213">
        <f t="shared" si="43"/>
        <v>6.1943318736728536E-3</v>
      </c>
      <c r="X213">
        <v>-9.6683874038001726E-3</v>
      </c>
    </row>
    <row r="214" spans="1:24" x14ac:dyDescent="0.35">
      <c r="A214" s="1">
        <v>43124</v>
      </c>
      <c r="B214">
        <v>883.56542969999998</v>
      </c>
      <c r="C214">
        <f t="shared" si="33"/>
        <v>-1.7187882446611735E-2</v>
      </c>
      <c r="D214">
        <v>1587.3000489999999</v>
      </c>
      <c r="E214">
        <f t="shared" si="34"/>
        <v>2.3404286911669958E-2</v>
      </c>
      <c r="F214">
        <v>978.82501219999995</v>
      </c>
      <c r="G214">
        <f t="shared" si="35"/>
        <v>3.254228176699403E-3</v>
      </c>
      <c r="H214">
        <v>414.12771609999999</v>
      </c>
      <c r="I214">
        <f t="shared" si="36"/>
        <v>-6.6246685951406814E-2</v>
      </c>
      <c r="J214">
        <v>592.90002440000001</v>
      </c>
      <c r="K214">
        <f t="shared" si="37"/>
        <v>7.3911081304416371E-3</v>
      </c>
      <c r="L214">
        <v>281.4500122</v>
      </c>
      <c r="M214">
        <f t="shared" si="38"/>
        <v>1.7534367292264541E-2</v>
      </c>
      <c r="N214">
        <v>586.54998780000005</v>
      </c>
      <c r="O214">
        <f t="shared" si="39"/>
        <v>1.2427742302989486E-2</v>
      </c>
      <c r="P214">
        <v>210.8500061</v>
      </c>
      <c r="Q214">
        <f t="shared" si="40"/>
        <v>1.6879671555505293E-2</v>
      </c>
      <c r="R214">
        <v>403.60000609999997</v>
      </c>
      <c r="S214">
        <f t="shared" si="41"/>
        <v>-3.444974617224883E-2</v>
      </c>
      <c r="T214">
        <v>1142.150024</v>
      </c>
      <c r="U214">
        <f t="shared" si="42"/>
        <v>-2.3135415783129831E-2</v>
      </c>
      <c r="W214">
        <f t="shared" si="43"/>
        <v>-6.0128325983826898E-3</v>
      </c>
      <c r="X214">
        <v>-9.6649093037784791E-3</v>
      </c>
    </row>
    <row r="215" spans="1:24" x14ac:dyDescent="0.35">
      <c r="A215" s="1">
        <v>43125</v>
      </c>
      <c r="B215">
        <v>883.15399170000001</v>
      </c>
      <c r="C215">
        <f t="shared" si="33"/>
        <v>-4.6565651639363104E-4</v>
      </c>
      <c r="D215">
        <v>1560.525024</v>
      </c>
      <c r="E215">
        <f t="shared" si="34"/>
        <v>-1.6868282097558196E-2</v>
      </c>
      <c r="F215">
        <v>987.47497559999999</v>
      </c>
      <c r="G215">
        <f t="shared" si="35"/>
        <v>8.8370886442290519E-3</v>
      </c>
      <c r="H215">
        <v>407.99917599999998</v>
      </c>
      <c r="I215">
        <f t="shared" si="36"/>
        <v>-1.4798671669973729E-2</v>
      </c>
      <c r="J215">
        <v>587.70001219999995</v>
      </c>
      <c r="K215">
        <f t="shared" si="37"/>
        <v>-8.7704705447808617E-3</v>
      </c>
      <c r="L215">
        <v>281.25</v>
      </c>
      <c r="M215">
        <f t="shared" si="38"/>
        <v>-7.106491075860033E-4</v>
      </c>
      <c r="N215">
        <v>579.84997559999999</v>
      </c>
      <c r="O215">
        <f t="shared" si="39"/>
        <v>-1.1422747147485368E-2</v>
      </c>
      <c r="P215">
        <v>208.5</v>
      </c>
      <c r="Q215">
        <f t="shared" si="40"/>
        <v>-1.1145392610922955E-2</v>
      </c>
      <c r="R215">
        <v>400.2999878</v>
      </c>
      <c r="S215">
        <f t="shared" si="41"/>
        <v>-8.1764575077393209E-3</v>
      </c>
      <c r="T215">
        <v>1159.3000489999999</v>
      </c>
      <c r="U215">
        <f t="shared" si="42"/>
        <v>1.5015562438932095E-2</v>
      </c>
      <c r="W215">
        <f t="shared" si="43"/>
        <v>-4.850567611927893E-3</v>
      </c>
      <c r="X215">
        <v>-9.6573845605711466E-3</v>
      </c>
    </row>
    <row r="216" spans="1:24" x14ac:dyDescent="0.35">
      <c r="A216" s="1">
        <v>43129</v>
      </c>
      <c r="B216">
        <v>881.87390140000002</v>
      </c>
      <c r="C216">
        <f t="shared" si="33"/>
        <v>-1.4494531101375552E-3</v>
      </c>
      <c r="D216">
        <v>1599.4250489999999</v>
      </c>
      <c r="E216">
        <f t="shared" si="34"/>
        <v>2.4927524007458679E-2</v>
      </c>
      <c r="F216">
        <v>999.82501219999995</v>
      </c>
      <c r="G216">
        <f t="shared" si="35"/>
        <v>1.2506683111130013E-2</v>
      </c>
      <c r="H216">
        <v>397.0939636</v>
      </c>
      <c r="I216">
        <f t="shared" si="36"/>
        <v>-2.6728515745825909E-2</v>
      </c>
      <c r="J216">
        <v>591.45001219999995</v>
      </c>
      <c r="K216">
        <f t="shared" si="37"/>
        <v>6.3808064014874155E-3</v>
      </c>
      <c r="L216">
        <v>275.64999390000003</v>
      </c>
      <c r="M216">
        <f t="shared" si="38"/>
        <v>-1.9911132799999898E-2</v>
      </c>
      <c r="N216">
        <v>587.95001219999995</v>
      </c>
      <c r="O216">
        <f t="shared" si="39"/>
        <v>1.3969193654993939E-2</v>
      </c>
      <c r="P216">
        <v>205.1499939</v>
      </c>
      <c r="Q216">
        <f t="shared" si="40"/>
        <v>-1.6067175539568379E-2</v>
      </c>
      <c r="R216">
        <v>399.25</v>
      </c>
      <c r="S216">
        <f t="shared" si="41"/>
        <v>-2.6230023282554082E-3</v>
      </c>
      <c r="T216">
        <v>1181.900024</v>
      </c>
      <c r="U216">
        <f t="shared" si="42"/>
        <v>1.9494500168006246E-2</v>
      </c>
      <c r="W216">
        <f t="shared" si="43"/>
        <v>1.0499427819289139E-3</v>
      </c>
      <c r="X216">
        <v>-9.6344489643493646E-3</v>
      </c>
    </row>
    <row r="217" spans="1:24" x14ac:dyDescent="0.35">
      <c r="A217" s="1">
        <v>43130</v>
      </c>
      <c r="B217">
        <v>868.98181150000005</v>
      </c>
      <c r="C217">
        <f t="shared" si="33"/>
        <v>-1.4618972031640087E-2</v>
      </c>
      <c r="D217">
        <v>1576.4250489999999</v>
      </c>
      <c r="E217">
        <f t="shared" si="34"/>
        <v>-1.4380167432278324E-2</v>
      </c>
      <c r="F217">
        <v>997.75</v>
      </c>
      <c r="G217">
        <f t="shared" si="35"/>
        <v>-2.0753753653692808E-3</v>
      </c>
      <c r="H217">
        <v>397.0939636</v>
      </c>
      <c r="I217">
        <f t="shared" si="36"/>
        <v>0</v>
      </c>
      <c r="J217">
        <v>585.32501219999995</v>
      </c>
      <c r="K217">
        <f t="shared" si="37"/>
        <v>-1.0355904765674162E-2</v>
      </c>
      <c r="L217">
        <v>275.2000122</v>
      </c>
      <c r="M217">
        <f t="shared" si="38"/>
        <v>-1.6324386357986498E-3</v>
      </c>
      <c r="N217">
        <v>591.95001219999995</v>
      </c>
      <c r="O217">
        <f t="shared" si="39"/>
        <v>6.8032994591371576E-3</v>
      </c>
      <c r="P217">
        <v>204.8000031</v>
      </c>
      <c r="Q217">
        <f t="shared" si="40"/>
        <v>-1.7060239356897489E-3</v>
      </c>
      <c r="R217">
        <v>395.85000609999997</v>
      </c>
      <c r="S217">
        <f t="shared" si="41"/>
        <v>-8.5159521603006549E-3</v>
      </c>
      <c r="T217">
        <v>1184.599976</v>
      </c>
      <c r="U217">
        <f t="shared" si="42"/>
        <v>2.2844165709230424E-3</v>
      </c>
      <c r="W217">
        <f t="shared" si="43"/>
        <v>-4.4197118296690711E-3</v>
      </c>
      <c r="X217">
        <v>-9.5950497164483672E-3</v>
      </c>
    </row>
    <row r="218" spans="1:24" x14ac:dyDescent="0.35">
      <c r="A218" s="1">
        <v>43131</v>
      </c>
      <c r="B218">
        <v>878.94805910000002</v>
      </c>
      <c r="C218">
        <f t="shared" si="33"/>
        <v>1.1468879403582211E-2</v>
      </c>
      <c r="D218">
        <v>1556.1750489999999</v>
      </c>
      <c r="E218">
        <f t="shared" si="34"/>
        <v>-1.2845520320072024E-2</v>
      </c>
      <c r="F218">
        <v>1002.849976</v>
      </c>
      <c r="G218">
        <f t="shared" si="35"/>
        <v>5.1114768228512908E-3</v>
      </c>
      <c r="H218">
        <v>396.41799930000002</v>
      </c>
      <c r="I218">
        <f t="shared" si="36"/>
        <v>-1.7022779542448241E-3</v>
      </c>
      <c r="J218">
        <v>575.125</v>
      </c>
      <c r="K218">
        <f t="shared" si="37"/>
        <v>-1.7426236684576657E-2</v>
      </c>
      <c r="L218">
        <v>271.39999390000003</v>
      </c>
      <c r="M218">
        <f t="shared" si="38"/>
        <v>-1.3808205419839625E-2</v>
      </c>
      <c r="N218">
        <v>579.90002440000001</v>
      </c>
      <c r="O218">
        <f t="shared" si="39"/>
        <v>-2.0356427995019022E-2</v>
      </c>
      <c r="P218">
        <v>203.4499969</v>
      </c>
      <c r="Q218">
        <f t="shared" si="40"/>
        <v>-6.5918270486587938E-3</v>
      </c>
      <c r="R218">
        <v>399.5</v>
      </c>
      <c r="S218">
        <f t="shared" si="41"/>
        <v>9.2206488411117338E-3</v>
      </c>
      <c r="T218">
        <v>1179.650024</v>
      </c>
      <c r="U218">
        <f t="shared" si="42"/>
        <v>-4.1785852610889407E-3</v>
      </c>
      <c r="W218">
        <f t="shared" si="43"/>
        <v>-5.1108075615954656E-3</v>
      </c>
      <c r="X218">
        <v>-9.5070262210188005E-3</v>
      </c>
    </row>
    <row r="219" spans="1:24" x14ac:dyDescent="0.35">
      <c r="A219" s="1">
        <v>43132</v>
      </c>
      <c r="B219">
        <v>862.99291989999995</v>
      </c>
      <c r="C219">
        <f t="shared" si="33"/>
        <v>-1.8152539316529492E-2</v>
      </c>
      <c r="D219">
        <v>1569.3000489999999</v>
      </c>
      <c r="E219">
        <f t="shared" si="34"/>
        <v>8.4341411388353382E-3</v>
      </c>
      <c r="F219">
        <v>995.57501219999995</v>
      </c>
      <c r="G219">
        <f t="shared" si="35"/>
        <v>-7.2542892497412526E-3</v>
      </c>
      <c r="H219">
        <v>395.1111755</v>
      </c>
      <c r="I219">
        <f t="shared" si="36"/>
        <v>-3.2965803830997675E-3</v>
      </c>
      <c r="J219">
        <v>572.29998780000005</v>
      </c>
      <c r="K219">
        <f t="shared" si="37"/>
        <v>-4.9119968702454608E-3</v>
      </c>
      <c r="L219">
        <v>275.2999878</v>
      </c>
      <c r="M219">
        <f t="shared" si="38"/>
        <v>1.4369911524157786E-2</v>
      </c>
      <c r="N219">
        <v>554.29998780000005</v>
      </c>
      <c r="O219">
        <f t="shared" si="39"/>
        <v>-4.4145603591735139E-2</v>
      </c>
      <c r="P219">
        <v>194.8999939</v>
      </c>
      <c r="Q219">
        <f t="shared" si="40"/>
        <v>-4.2025082970153615E-2</v>
      </c>
      <c r="R219">
        <v>393.64999390000003</v>
      </c>
      <c r="S219">
        <f t="shared" si="41"/>
        <v>-1.4643319399249011E-2</v>
      </c>
      <c r="T219">
        <v>1174.3000489999999</v>
      </c>
      <c r="U219">
        <f t="shared" si="42"/>
        <v>-4.5352222194334768E-3</v>
      </c>
      <c r="W219">
        <f t="shared" si="43"/>
        <v>-1.1616058133719409E-2</v>
      </c>
      <c r="X219">
        <v>-9.4723904858533894E-3</v>
      </c>
    </row>
    <row r="220" spans="1:24" x14ac:dyDescent="0.35">
      <c r="A220" s="1">
        <v>43133</v>
      </c>
      <c r="B220">
        <v>826.87676999999996</v>
      </c>
      <c r="C220">
        <f t="shared" si="33"/>
        <v>-4.1849879723445449E-2</v>
      </c>
      <c r="D220">
        <v>1576.8249510000001</v>
      </c>
      <c r="E220">
        <f t="shared" si="34"/>
        <v>4.7950689893849763E-3</v>
      </c>
      <c r="F220">
        <v>974</v>
      </c>
      <c r="G220">
        <f t="shared" si="35"/>
        <v>-2.1670905693307763E-2</v>
      </c>
      <c r="H220">
        <v>380.64599609999999</v>
      </c>
      <c r="I220">
        <f t="shared" si="36"/>
        <v>-3.6610403088940258E-2</v>
      </c>
      <c r="J220">
        <v>571.625</v>
      </c>
      <c r="K220">
        <f t="shared" si="37"/>
        <v>-1.1794300443632721E-3</v>
      </c>
      <c r="L220">
        <v>275.35000609999997</v>
      </c>
      <c r="M220">
        <f t="shared" si="38"/>
        <v>1.8168653184358341E-4</v>
      </c>
      <c r="N220">
        <v>551.20001219999995</v>
      </c>
      <c r="O220">
        <f t="shared" si="39"/>
        <v>-5.5925954685726031E-3</v>
      </c>
      <c r="P220">
        <v>192.6999969</v>
      </c>
      <c r="Q220">
        <f t="shared" si="40"/>
        <v>-1.1287824878685071E-2</v>
      </c>
      <c r="R220">
        <v>383.75</v>
      </c>
      <c r="S220">
        <f t="shared" si="41"/>
        <v>-2.5149229146222085E-2</v>
      </c>
      <c r="T220">
        <v>1135.099976</v>
      </c>
      <c r="U220">
        <f t="shared" si="42"/>
        <v>-3.3381649803541746E-2</v>
      </c>
      <c r="W220">
        <f t="shared" si="43"/>
        <v>-1.7174516232584969E-2</v>
      </c>
      <c r="X220">
        <v>-9.4067719375142463E-3</v>
      </c>
    </row>
    <row r="221" spans="1:24" x14ac:dyDescent="0.35">
      <c r="A221" s="1">
        <v>43136</v>
      </c>
      <c r="B221">
        <v>824.86523439999996</v>
      </c>
      <c r="C221">
        <f t="shared" si="33"/>
        <v>-2.4326909074976477E-3</v>
      </c>
      <c r="D221">
        <v>1551.599976</v>
      </c>
      <c r="E221">
        <f t="shared" si="34"/>
        <v>-1.5997321062177994E-2</v>
      </c>
      <c r="F221">
        <v>956.92498780000005</v>
      </c>
      <c r="G221">
        <f t="shared" si="35"/>
        <v>-1.7530813347022556E-2</v>
      </c>
      <c r="H221">
        <v>396.73345949999998</v>
      </c>
      <c r="I221">
        <f t="shared" si="36"/>
        <v>4.2263582343773365E-2</v>
      </c>
      <c r="J221">
        <v>569.09997559999999</v>
      </c>
      <c r="K221">
        <f t="shared" si="37"/>
        <v>-4.4172742619724703E-3</v>
      </c>
      <c r="L221">
        <v>279.25</v>
      </c>
      <c r="M221">
        <f t="shared" si="38"/>
        <v>1.4163769070641097E-2</v>
      </c>
      <c r="N221">
        <v>557.45001219999995</v>
      </c>
      <c r="O221">
        <f t="shared" si="39"/>
        <v>1.1338896701134749E-2</v>
      </c>
      <c r="P221">
        <v>188.75</v>
      </c>
      <c r="Q221">
        <f t="shared" si="40"/>
        <v>-2.0498167947816892E-2</v>
      </c>
      <c r="R221">
        <v>395.7999878</v>
      </c>
      <c r="S221">
        <f t="shared" si="41"/>
        <v>3.1400619674267105E-2</v>
      </c>
      <c r="T221">
        <v>1117.3000489999999</v>
      </c>
      <c r="U221">
        <f t="shared" si="42"/>
        <v>-1.5681373778832719E-2</v>
      </c>
      <c r="W221">
        <f t="shared" si="43"/>
        <v>2.2609226484496042E-3</v>
      </c>
      <c r="X221">
        <v>-9.3324647314945268E-3</v>
      </c>
    </row>
    <row r="222" spans="1:24" x14ac:dyDescent="0.35">
      <c r="A222" s="1">
        <v>43137</v>
      </c>
      <c r="B222">
        <v>815.67620850000003</v>
      </c>
      <c r="C222">
        <f t="shared" si="33"/>
        <v>-1.1140032961486024E-2</v>
      </c>
      <c r="D222">
        <v>1498.625</v>
      </c>
      <c r="E222">
        <f t="shared" si="34"/>
        <v>-3.4142160878713468E-2</v>
      </c>
      <c r="F222">
        <v>948.40002440000001</v>
      </c>
      <c r="G222">
        <f t="shared" si="35"/>
        <v>-8.9087060205201851E-3</v>
      </c>
      <c r="H222">
        <v>395.7871399</v>
      </c>
      <c r="I222">
        <f t="shared" si="36"/>
        <v>-2.3852780181248256E-3</v>
      </c>
      <c r="J222">
        <v>553.875</v>
      </c>
      <c r="K222">
        <f t="shared" si="37"/>
        <v>-2.6752725799976229E-2</v>
      </c>
      <c r="L222">
        <v>273.5</v>
      </c>
      <c r="M222">
        <f t="shared" si="38"/>
        <v>-2.0590868397493245E-2</v>
      </c>
      <c r="N222">
        <v>551.79998780000005</v>
      </c>
      <c r="O222">
        <f t="shared" si="39"/>
        <v>-1.0135481704811267E-2</v>
      </c>
      <c r="P222">
        <v>185.4499969</v>
      </c>
      <c r="Q222">
        <f t="shared" si="40"/>
        <v>-1.7483460132450279E-2</v>
      </c>
      <c r="R222">
        <v>375.4500122</v>
      </c>
      <c r="S222">
        <f t="shared" si="41"/>
        <v>-5.1414795925367573E-2</v>
      </c>
      <c r="T222">
        <v>1105.6999510000001</v>
      </c>
      <c r="U222">
        <f t="shared" si="42"/>
        <v>-1.0382258561952185E-2</v>
      </c>
      <c r="W222">
        <f t="shared" si="43"/>
        <v>-1.9333576840089531E-2</v>
      </c>
      <c r="X222">
        <v>-9.3313435814657356E-3</v>
      </c>
    </row>
    <row r="223" spans="1:24" x14ac:dyDescent="0.35">
      <c r="A223" s="1">
        <v>43138</v>
      </c>
      <c r="B223">
        <v>817.77917479999996</v>
      </c>
      <c r="C223">
        <f t="shared" si="33"/>
        <v>2.578187616710359E-3</v>
      </c>
      <c r="D223">
        <v>1477.525024</v>
      </c>
      <c r="E223">
        <f t="shared" si="34"/>
        <v>-1.4079556927183212E-2</v>
      </c>
      <c r="F223">
        <v>936.40002440000001</v>
      </c>
      <c r="G223">
        <f t="shared" si="35"/>
        <v>-1.2652888750811386E-2</v>
      </c>
      <c r="H223">
        <v>387.76593020000001</v>
      </c>
      <c r="I223">
        <f t="shared" si="36"/>
        <v>-2.0266473797068363E-2</v>
      </c>
      <c r="J223">
        <v>554.52502440000001</v>
      </c>
      <c r="K223">
        <f t="shared" si="37"/>
        <v>1.173594041977033E-3</v>
      </c>
      <c r="L223">
        <v>275.14999390000003</v>
      </c>
      <c r="M223">
        <f t="shared" si="38"/>
        <v>6.0328844606947207E-3</v>
      </c>
      <c r="N223">
        <v>549.5</v>
      </c>
      <c r="O223">
        <f t="shared" si="39"/>
        <v>-4.1681548583754058E-3</v>
      </c>
      <c r="P223">
        <v>190</v>
      </c>
      <c r="Q223">
        <f t="shared" si="40"/>
        <v>2.4534932197671999E-2</v>
      </c>
      <c r="R223">
        <v>377.7999878</v>
      </c>
      <c r="S223">
        <f t="shared" si="41"/>
        <v>6.2590904877855014E-3</v>
      </c>
      <c r="T223">
        <v>1122.650024</v>
      </c>
      <c r="U223">
        <f t="shared" si="42"/>
        <v>1.5329722122778611E-2</v>
      </c>
      <c r="W223">
        <f t="shared" si="43"/>
        <v>4.7413365941798621E-4</v>
      </c>
      <c r="X223">
        <v>-9.3252250474319728E-3</v>
      </c>
    </row>
    <row r="224" spans="1:24" x14ac:dyDescent="0.35">
      <c r="A224" s="1">
        <v>43139</v>
      </c>
      <c r="B224">
        <v>827.05963129999998</v>
      </c>
      <c r="C224">
        <f t="shared" si="33"/>
        <v>1.1348364920480858E-2</v>
      </c>
      <c r="D224">
        <v>1487.099976</v>
      </c>
      <c r="E224">
        <f t="shared" si="34"/>
        <v>6.4803992111608366E-3</v>
      </c>
      <c r="F224">
        <v>940.47497559999999</v>
      </c>
      <c r="G224">
        <f t="shared" si="35"/>
        <v>4.3517205188146058E-3</v>
      </c>
      <c r="H224">
        <v>387.36038209999998</v>
      </c>
      <c r="I224">
        <f t="shared" si="36"/>
        <v>-1.045857999414368E-3</v>
      </c>
      <c r="J224">
        <v>567.125</v>
      </c>
      <c r="K224">
        <f t="shared" si="37"/>
        <v>2.2722104586052172E-2</v>
      </c>
      <c r="L224">
        <v>274.10000609999997</v>
      </c>
      <c r="M224">
        <f t="shared" si="38"/>
        <v>-3.8160560540723143E-3</v>
      </c>
      <c r="N224">
        <v>584.09997559999999</v>
      </c>
      <c r="O224">
        <f t="shared" si="39"/>
        <v>6.2966288626023603E-2</v>
      </c>
      <c r="P224">
        <v>188.6999969</v>
      </c>
      <c r="Q224">
        <f t="shared" si="40"/>
        <v>-6.8421215789473688E-3</v>
      </c>
      <c r="R224">
        <v>374.85000609999997</v>
      </c>
      <c r="S224">
        <f t="shared" si="41"/>
        <v>-7.8083160276904984E-3</v>
      </c>
      <c r="T224">
        <v>1165.5500489999999</v>
      </c>
      <c r="U224">
        <f t="shared" si="42"/>
        <v>3.8213177822904454E-2</v>
      </c>
      <c r="W224">
        <f t="shared" si="43"/>
        <v>1.2656970402531198E-2</v>
      </c>
      <c r="X224">
        <v>-9.302928845407267E-3</v>
      </c>
    </row>
    <row r="225" spans="1:24" x14ac:dyDescent="0.35">
      <c r="A225" s="1">
        <v>43140</v>
      </c>
      <c r="B225">
        <v>820.9336548</v>
      </c>
      <c r="C225">
        <f t="shared" si="33"/>
        <v>-7.406934479888716E-3</v>
      </c>
      <c r="D225">
        <v>1485.849976</v>
      </c>
      <c r="E225">
        <f t="shared" si="34"/>
        <v>-8.4056218154360263E-4</v>
      </c>
      <c r="F225">
        <v>924.75</v>
      </c>
      <c r="G225">
        <f t="shared" si="35"/>
        <v>-1.6720248818920314E-2</v>
      </c>
      <c r="H225">
        <v>380.78118899999998</v>
      </c>
      <c r="I225">
        <f t="shared" si="36"/>
        <v>-1.6984682492133474E-2</v>
      </c>
      <c r="J225">
        <v>554.57501219999995</v>
      </c>
      <c r="K225">
        <f t="shared" si="37"/>
        <v>-2.2129138726030506E-2</v>
      </c>
      <c r="L225">
        <v>271.35000609999997</v>
      </c>
      <c r="M225">
        <f t="shared" si="38"/>
        <v>-1.0032834508572508E-2</v>
      </c>
      <c r="N225">
        <v>582.70001219999995</v>
      </c>
      <c r="O225">
        <f t="shared" si="39"/>
        <v>-2.3967872940963142E-3</v>
      </c>
      <c r="P225">
        <v>187.3500061</v>
      </c>
      <c r="Q225">
        <f t="shared" si="40"/>
        <v>-7.1541643994589288E-3</v>
      </c>
      <c r="R225">
        <v>368.75</v>
      </c>
      <c r="S225">
        <f t="shared" si="41"/>
        <v>-1.6273191945400889E-2</v>
      </c>
      <c r="T225">
        <v>1177.8000489999999</v>
      </c>
      <c r="U225">
        <f t="shared" si="42"/>
        <v>1.0510059186656262E-2</v>
      </c>
      <c r="W225">
        <f t="shared" si="43"/>
        <v>-8.9428485659388997E-3</v>
      </c>
      <c r="X225">
        <v>-9.2636086505464722E-3</v>
      </c>
    </row>
    <row r="226" spans="1:24" x14ac:dyDescent="0.35">
      <c r="A226" s="1">
        <v>43143</v>
      </c>
      <c r="B226">
        <v>837.07159420000005</v>
      </c>
      <c r="C226">
        <f t="shared" si="33"/>
        <v>1.9658031200988635E-2</v>
      </c>
      <c r="D226">
        <v>1483.650024</v>
      </c>
      <c r="E226">
        <f t="shared" si="34"/>
        <v>-1.4806016997236382E-3</v>
      </c>
      <c r="F226">
        <v>938.32501219999995</v>
      </c>
      <c r="G226">
        <f t="shared" si="35"/>
        <v>1.4679656339551261E-2</v>
      </c>
      <c r="H226">
        <v>382.49359129999999</v>
      </c>
      <c r="I226">
        <f t="shared" si="36"/>
        <v>4.4970769288710244E-3</v>
      </c>
      <c r="J226">
        <v>551.40002440000001</v>
      </c>
      <c r="K226">
        <f t="shared" si="37"/>
        <v>-5.7250826852164316E-3</v>
      </c>
      <c r="L226">
        <v>269.85000609999997</v>
      </c>
      <c r="M226">
        <f t="shared" si="38"/>
        <v>-5.5279158514085491E-3</v>
      </c>
      <c r="N226">
        <v>589.15002440000001</v>
      </c>
      <c r="O226">
        <f t="shared" si="39"/>
        <v>1.1069181508419401E-2</v>
      </c>
      <c r="P226">
        <v>191</v>
      </c>
      <c r="Q226">
        <f t="shared" si="40"/>
        <v>1.9482219274931767E-2</v>
      </c>
      <c r="R226">
        <v>371.7999878</v>
      </c>
      <c r="S226">
        <f t="shared" si="41"/>
        <v>8.2711533559320927E-3</v>
      </c>
      <c r="T226">
        <v>1187.1999510000001</v>
      </c>
      <c r="U226">
        <f t="shared" si="42"/>
        <v>7.9808979529090163E-3</v>
      </c>
      <c r="W226">
        <f t="shared" si="43"/>
        <v>7.290461632525458E-3</v>
      </c>
      <c r="X226">
        <v>-9.2619070004224657E-3</v>
      </c>
    </row>
    <row r="227" spans="1:24" x14ac:dyDescent="0.35">
      <c r="A227" s="1">
        <v>43145</v>
      </c>
      <c r="B227">
        <v>853.66674799999998</v>
      </c>
      <c r="C227">
        <f t="shared" si="33"/>
        <v>1.9825250211554568E-2</v>
      </c>
      <c r="D227">
        <v>1455.900024</v>
      </c>
      <c r="E227">
        <f t="shared" si="34"/>
        <v>-1.8703871904497071E-2</v>
      </c>
      <c r="F227">
        <v>941.57501219999995</v>
      </c>
      <c r="G227">
        <f t="shared" si="35"/>
        <v>3.4636186371928002E-3</v>
      </c>
      <c r="H227">
        <v>391.86666869999999</v>
      </c>
      <c r="I227">
        <f t="shared" si="36"/>
        <v>2.4505188095160557E-2</v>
      </c>
      <c r="J227">
        <v>548.875</v>
      </c>
      <c r="K227">
        <f t="shared" si="37"/>
        <v>-4.5792968593855177E-3</v>
      </c>
      <c r="L227">
        <v>266.5</v>
      </c>
      <c r="M227">
        <f t="shared" si="38"/>
        <v>-1.2414326567621203E-2</v>
      </c>
      <c r="N227">
        <v>574.79998780000005</v>
      </c>
      <c r="O227">
        <f t="shared" si="39"/>
        <v>-2.4357185785766955E-2</v>
      </c>
      <c r="P227">
        <v>185.75</v>
      </c>
      <c r="Q227">
        <f t="shared" si="40"/>
        <v>-2.7486910994764413E-2</v>
      </c>
      <c r="R227">
        <v>376.85000609999997</v>
      </c>
      <c r="S227">
        <f t="shared" si="41"/>
        <v>1.3582620940580936E-2</v>
      </c>
      <c r="T227">
        <v>1201.400024</v>
      </c>
      <c r="U227">
        <f t="shared" si="42"/>
        <v>1.1960978424939261E-2</v>
      </c>
      <c r="W227">
        <f t="shared" si="43"/>
        <v>-1.4203935802607039E-3</v>
      </c>
      <c r="X227">
        <v>-9.252523326531004E-3</v>
      </c>
    </row>
    <row r="228" spans="1:24" x14ac:dyDescent="0.35">
      <c r="A228" s="1">
        <v>43146</v>
      </c>
      <c r="B228">
        <v>855.49542240000005</v>
      </c>
      <c r="C228">
        <f t="shared" si="33"/>
        <v>2.142140834563877E-3</v>
      </c>
      <c r="D228">
        <v>1462.9250489999999</v>
      </c>
      <c r="E228">
        <f t="shared" si="34"/>
        <v>4.8252111300191025E-3</v>
      </c>
      <c r="F228">
        <v>940.95001219999995</v>
      </c>
      <c r="G228">
        <f t="shared" si="35"/>
        <v>-6.6378142145007146E-4</v>
      </c>
      <c r="H228">
        <v>386.59429929999999</v>
      </c>
      <c r="I228">
        <f t="shared" si="36"/>
        <v>-1.3454498228927858E-2</v>
      </c>
      <c r="J228">
        <v>557.22497559999999</v>
      </c>
      <c r="K228">
        <f t="shared" si="37"/>
        <v>1.5212891095422343E-2</v>
      </c>
      <c r="L228">
        <v>268.10000609999997</v>
      </c>
      <c r="M228">
        <f t="shared" si="38"/>
        <v>6.0037752345214468E-3</v>
      </c>
      <c r="N228">
        <v>575.75</v>
      </c>
      <c r="O228">
        <f t="shared" si="39"/>
        <v>1.6527700420385649E-3</v>
      </c>
      <c r="P228">
        <v>188.3000031</v>
      </c>
      <c r="Q228">
        <f t="shared" si="40"/>
        <v>1.372814589502025E-2</v>
      </c>
      <c r="R228">
        <v>375.7999878</v>
      </c>
      <c r="S228">
        <f t="shared" si="41"/>
        <v>-2.7863029932427841E-3</v>
      </c>
      <c r="T228">
        <v>1183.9499510000001</v>
      </c>
      <c r="U228">
        <f t="shared" si="42"/>
        <v>-1.4524781630934958E-2</v>
      </c>
      <c r="W228">
        <f t="shared" si="43"/>
        <v>1.2135569957029916E-3</v>
      </c>
      <c r="X228">
        <v>-9.1611376705197593E-3</v>
      </c>
    </row>
    <row r="229" spans="1:24" x14ac:dyDescent="0.35">
      <c r="A229" s="1">
        <v>43147</v>
      </c>
      <c r="B229">
        <v>842.37475589999997</v>
      </c>
      <c r="C229">
        <f t="shared" si="33"/>
        <v>-1.5336921924364533E-2</v>
      </c>
      <c r="D229">
        <v>1466.525024</v>
      </c>
      <c r="E229">
        <f t="shared" si="34"/>
        <v>2.460806179004793E-3</v>
      </c>
      <c r="F229">
        <v>939.29998780000005</v>
      </c>
      <c r="G229">
        <f t="shared" si="35"/>
        <v>-1.7535728557376284E-3</v>
      </c>
      <c r="H229">
        <v>378.25765990000002</v>
      </c>
      <c r="I229">
        <f t="shared" si="36"/>
        <v>-2.1564310221581118E-2</v>
      </c>
      <c r="J229">
        <v>564.02502440000001</v>
      </c>
      <c r="K229">
        <f t="shared" si="37"/>
        <v>1.2203417107565784E-2</v>
      </c>
      <c r="L229">
        <v>266.4500122</v>
      </c>
      <c r="M229">
        <f t="shared" si="38"/>
        <v>-6.1543970998065856E-3</v>
      </c>
      <c r="N229">
        <v>575.25</v>
      </c>
      <c r="O229">
        <f t="shared" si="39"/>
        <v>-8.6843247937473667E-4</v>
      </c>
      <c r="P229">
        <v>186.8999939</v>
      </c>
      <c r="Q229">
        <f t="shared" si="40"/>
        <v>-7.4349929737201892E-3</v>
      </c>
      <c r="R229">
        <v>370.75</v>
      </c>
      <c r="S229">
        <f t="shared" si="41"/>
        <v>-1.3437966907778542E-2</v>
      </c>
      <c r="T229">
        <v>1173.5</v>
      </c>
      <c r="U229">
        <f t="shared" si="42"/>
        <v>-8.8263452278314336E-3</v>
      </c>
      <c r="W229">
        <f t="shared" si="43"/>
        <v>-6.071271640362419E-3</v>
      </c>
      <c r="X229">
        <v>-9.1436972866367431E-3</v>
      </c>
    </row>
    <row r="230" spans="1:24" x14ac:dyDescent="0.35">
      <c r="A230" s="1">
        <v>43150</v>
      </c>
      <c r="B230">
        <v>847.58642580000003</v>
      </c>
      <c r="C230">
        <f t="shared" si="33"/>
        <v>6.1868780652523103E-3</v>
      </c>
      <c r="D230">
        <v>1461.8000489999999</v>
      </c>
      <c r="E230">
        <f t="shared" si="34"/>
        <v>-3.2218850157172962E-3</v>
      </c>
      <c r="F230">
        <v>939.09997559999999</v>
      </c>
      <c r="G230">
        <f t="shared" si="35"/>
        <v>-2.1293750941964174E-4</v>
      </c>
      <c r="H230">
        <v>373.43594359999997</v>
      </c>
      <c r="I230">
        <f t="shared" si="36"/>
        <v>-1.2747174244335913E-2</v>
      </c>
      <c r="J230">
        <v>565.875</v>
      </c>
      <c r="K230">
        <f t="shared" si="37"/>
        <v>3.2799530516716136E-3</v>
      </c>
      <c r="L230">
        <v>264.10000609999997</v>
      </c>
      <c r="M230">
        <f t="shared" si="38"/>
        <v>-8.8196884683798826E-3</v>
      </c>
      <c r="N230">
        <v>561.40002440000001</v>
      </c>
      <c r="O230">
        <f t="shared" si="39"/>
        <v>-2.4076446066927382E-2</v>
      </c>
      <c r="P230">
        <v>185.3000031</v>
      </c>
      <c r="Q230">
        <f t="shared" si="40"/>
        <v>-8.5606787170686705E-3</v>
      </c>
      <c r="R230">
        <v>368.75</v>
      </c>
      <c r="S230">
        <f t="shared" si="41"/>
        <v>-5.3944706675657095E-3</v>
      </c>
      <c r="T230">
        <v>1168.900024</v>
      </c>
      <c r="U230">
        <f t="shared" si="42"/>
        <v>-3.9198772901576362E-3</v>
      </c>
      <c r="W230">
        <f t="shared" si="43"/>
        <v>-5.7486326862648202E-3</v>
      </c>
      <c r="X230">
        <v>-9.1050644345674892E-3</v>
      </c>
    </row>
    <row r="231" spans="1:24" x14ac:dyDescent="0.35">
      <c r="A231" s="1">
        <v>43151</v>
      </c>
      <c r="B231">
        <v>842.19183350000003</v>
      </c>
      <c r="C231">
        <f t="shared" si="33"/>
        <v>-6.3646515986948149E-3</v>
      </c>
      <c r="D231">
        <v>1472.375</v>
      </c>
      <c r="E231">
        <f t="shared" si="34"/>
        <v>7.2341980062418099E-3</v>
      </c>
      <c r="F231">
        <v>931.59997559999999</v>
      </c>
      <c r="G231">
        <f t="shared" si="35"/>
        <v>-7.9863701361595485E-3</v>
      </c>
      <c r="H231">
        <v>376.81567380000001</v>
      </c>
      <c r="I231">
        <f t="shared" si="36"/>
        <v>9.0503612679024847E-3</v>
      </c>
      <c r="J231">
        <v>568.47497559999999</v>
      </c>
      <c r="K231">
        <f t="shared" si="37"/>
        <v>4.5946111773802478E-3</v>
      </c>
      <c r="L231">
        <v>263.25</v>
      </c>
      <c r="M231">
        <f t="shared" si="38"/>
        <v>-3.2185008722722674E-3</v>
      </c>
      <c r="N231">
        <v>559.5</v>
      </c>
      <c r="O231">
        <f t="shared" si="39"/>
        <v>-3.3844394681504797E-3</v>
      </c>
      <c r="P231">
        <v>187</v>
      </c>
      <c r="Q231">
        <f t="shared" si="40"/>
        <v>9.1742950434954285E-3</v>
      </c>
      <c r="R231">
        <v>369.2999878</v>
      </c>
      <c r="S231">
        <f t="shared" si="41"/>
        <v>1.491492338983047E-3</v>
      </c>
      <c r="T231">
        <v>1186.8000489999999</v>
      </c>
      <c r="U231">
        <f t="shared" si="42"/>
        <v>1.5313563720142254E-2</v>
      </c>
      <c r="W231">
        <f t="shared" si="43"/>
        <v>2.5904559478868161E-3</v>
      </c>
      <c r="X231">
        <v>-9.0223275040594037E-3</v>
      </c>
    </row>
    <row r="232" spans="1:24" x14ac:dyDescent="0.35">
      <c r="A232" s="1">
        <v>43152</v>
      </c>
      <c r="B232">
        <v>849.73510739999995</v>
      </c>
      <c r="C232">
        <f t="shared" si="33"/>
        <v>8.9567169853113082E-3</v>
      </c>
      <c r="D232">
        <v>1521.150024</v>
      </c>
      <c r="E232">
        <f t="shared" si="34"/>
        <v>3.3126767297733339E-2</v>
      </c>
      <c r="F232">
        <v>928.70001219999995</v>
      </c>
      <c r="G232">
        <f t="shared" si="35"/>
        <v>-3.1128847960009143E-3</v>
      </c>
      <c r="H232">
        <v>378.21261600000003</v>
      </c>
      <c r="I232">
        <f t="shared" si="36"/>
        <v>3.7072295478384198E-3</v>
      </c>
      <c r="J232">
        <v>573.70001219999995</v>
      </c>
      <c r="K232">
        <f t="shared" si="37"/>
        <v>9.1913220885144753E-3</v>
      </c>
      <c r="L232">
        <v>268.2000122</v>
      </c>
      <c r="M232">
        <f t="shared" si="38"/>
        <v>1.8803465147198439E-2</v>
      </c>
      <c r="N232">
        <v>525.75</v>
      </c>
      <c r="O232">
        <f t="shared" si="39"/>
        <v>-6.032171581769441E-2</v>
      </c>
      <c r="P232">
        <v>190.1499939</v>
      </c>
      <c r="Q232">
        <f t="shared" si="40"/>
        <v>1.6844887165775368E-2</v>
      </c>
      <c r="R232">
        <v>364.4500122</v>
      </c>
      <c r="S232">
        <f t="shared" si="41"/>
        <v>-1.3132888600653203E-2</v>
      </c>
      <c r="T232">
        <v>1237.8000489999999</v>
      </c>
      <c r="U232">
        <f t="shared" si="42"/>
        <v>4.2972697922428305E-2</v>
      </c>
      <c r="W232">
        <f t="shared" si="43"/>
        <v>5.7035596940451135E-3</v>
      </c>
      <c r="X232">
        <v>-8.9852990288283412E-3</v>
      </c>
    </row>
    <row r="233" spans="1:24" x14ac:dyDescent="0.35">
      <c r="A233" s="1">
        <v>43153</v>
      </c>
      <c r="B233">
        <v>845.16345209999997</v>
      </c>
      <c r="C233">
        <f t="shared" si="33"/>
        <v>-5.3800946438334885E-3</v>
      </c>
      <c r="D233">
        <v>1525.099976</v>
      </c>
      <c r="E233">
        <f t="shared" si="34"/>
        <v>2.5966879911116791E-3</v>
      </c>
      <c r="F233">
        <v>926.59997559999999</v>
      </c>
      <c r="G233">
        <f t="shared" si="35"/>
        <v>-2.2612647490174442E-3</v>
      </c>
      <c r="H233">
        <v>375.01315310000001</v>
      </c>
      <c r="I233">
        <f t="shared" si="36"/>
        <v>-8.4594293385497066E-3</v>
      </c>
      <c r="J233">
        <v>580.375</v>
      </c>
      <c r="K233">
        <f t="shared" si="37"/>
        <v>1.1634979358642772E-2</v>
      </c>
      <c r="L233">
        <v>267.10000609999997</v>
      </c>
      <c r="M233">
        <f t="shared" si="38"/>
        <v>-4.1014394107474761E-3</v>
      </c>
      <c r="N233">
        <v>541.45001219999995</v>
      </c>
      <c r="O233">
        <f t="shared" si="39"/>
        <v>2.9862124964336489E-2</v>
      </c>
      <c r="P233">
        <v>186.1000061</v>
      </c>
      <c r="Q233">
        <f t="shared" si="40"/>
        <v>-2.1298911017214595E-2</v>
      </c>
      <c r="R233">
        <v>358.5</v>
      </c>
      <c r="S233">
        <f t="shared" si="41"/>
        <v>-1.6326003569276382E-2</v>
      </c>
      <c r="T233">
        <v>1240.650024</v>
      </c>
      <c r="U233">
        <f t="shared" si="42"/>
        <v>2.3024518396994598E-3</v>
      </c>
      <c r="W233">
        <f t="shared" si="43"/>
        <v>-1.143089857484869E-3</v>
      </c>
      <c r="X233">
        <v>-8.978178893187418E-3</v>
      </c>
    </row>
    <row r="234" spans="1:24" x14ac:dyDescent="0.35">
      <c r="A234" s="1">
        <v>43154</v>
      </c>
      <c r="B234">
        <v>854.21533199999999</v>
      </c>
      <c r="C234">
        <f t="shared" si="33"/>
        <v>1.0710212181452627E-2</v>
      </c>
      <c r="D234">
        <v>1537.900024</v>
      </c>
      <c r="E234">
        <f t="shared" si="34"/>
        <v>8.3929238747821877E-3</v>
      </c>
      <c r="F234">
        <v>940.27502440000001</v>
      </c>
      <c r="G234">
        <f t="shared" si="35"/>
        <v>1.4758309043926943E-2</v>
      </c>
      <c r="H234">
        <v>383.53002930000002</v>
      </c>
      <c r="I234">
        <f t="shared" si="36"/>
        <v>2.2710873284300215E-2</v>
      </c>
      <c r="J234">
        <v>577.82501219999995</v>
      </c>
      <c r="K234">
        <f t="shared" si="37"/>
        <v>-4.3936899418480779E-3</v>
      </c>
      <c r="L234">
        <v>269.0499878</v>
      </c>
      <c r="M234">
        <f t="shared" si="38"/>
        <v>7.3005677853483775E-3</v>
      </c>
      <c r="N234">
        <v>569.65002440000001</v>
      </c>
      <c r="O234">
        <f t="shared" si="39"/>
        <v>5.2082392768667329E-2</v>
      </c>
      <c r="P234">
        <v>189.8000031</v>
      </c>
      <c r="Q234">
        <f t="shared" si="40"/>
        <v>1.9881767215052193E-2</v>
      </c>
      <c r="R234">
        <v>360.2000122</v>
      </c>
      <c r="S234">
        <f t="shared" si="41"/>
        <v>4.7420145048815421E-3</v>
      </c>
      <c r="T234">
        <v>1300.25</v>
      </c>
      <c r="U234">
        <f t="shared" si="42"/>
        <v>4.8039313945960949E-2</v>
      </c>
      <c r="W234">
        <f t="shared" si="43"/>
        <v>1.842246846625243E-2</v>
      </c>
      <c r="X234">
        <v>-8.9494137917899858E-3</v>
      </c>
    </row>
    <row r="235" spans="1:24" x14ac:dyDescent="0.35">
      <c r="A235" s="1">
        <v>43157</v>
      </c>
      <c r="B235">
        <v>858.28411870000002</v>
      </c>
      <c r="C235">
        <f t="shared" si="33"/>
        <v>4.7631862219958965E-3</v>
      </c>
      <c r="D235">
        <v>1515.849976</v>
      </c>
      <c r="E235">
        <f t="shared" si="34"/>
        <v>-1.4337764260285879E-2</v>
      </c>
      <c r="F235">
        <v>955.77502440000001</v>
      </c>
      <c r="G235">
        <f t="shared" si="35"/>
        <v>1.6484538669833126E-2</v>
      </c>
      <c r="H235">
        <v>381.36700439999998</v>
      </c>
      <c r="I235">
        <f t="shared" si="36"/>
        <v>-5.639779768869424E-3</v>
      </c>
      <c r="J235">
        <v>569.29998780000005</v>
      </c>
      <c r="K235">
        <f t="shared" si="37"/>
        <v>-1.4753643784892412E-2</v>
      </c>
      <c r="L235">
        <v>266.5499878</v>
      </c>
      <c r="M235">
        <f t="shared" si="38"/>
        <v>-9.2919535898972061E-3</v>
      </c>
      <c r="N235">
        <v>555.95001219999995</v>
      </c>
      <c r="O235">
        <f t="shared" si="39"/>
        <v>-2.404987556075322E-2</v>
      </c>
      <c r="P235">
        <v>190.3500061</v>
      </c>
      <c r="Q235">
        <f t="shared" si="40"/>
        <v>2.897802903144342E-3</v>
      </c>
      <c r="R235">
        <v>372.0499878</v>
      </c>
      <c r="S235">
        <f t="shared" si="41"/>
        <v>3.289832092904077E-2</v>
      </c>
      <c r="T235">
        <v>1291.1999510000001</v>
      </c>
      <c r="U235">
        <f t="shared" si="42"/>
        <v>-6.9602376466063598E-3</v>
      </c>
      <c r="W235">
        <f t="shared" si="43"/>
        <v>-1.798940588729037E-3</v>
      </c>
      <c r="X235">
        <v>-8.9428485659388997E-3</v>
      </c>
    </row>
    <row r="236" spans="1:24" x14ac:dyDescent="0.35">
      <c r="A236" s="1">
        <v>43158</v>
      </c>
      <c r="B236">
        <v>869.07324219999998</v>
      </c>
      <c r="C236">
        <f t="shared" si="33"/>
        <v>1.2570573385817463E-2</v>
      </c>
      <c r="D236">
        <v>1521.1750489999999</v>
      </c>
      <c r="E236">
        <f t="shared" si="34"/>
        <v>3.5129287754793737E-3</v>
      </c>
      <c r="F236">
        <v>951.27502440000001</v>
      </c>
      <c r="G236">
        <f t="shared" si="35"/>
        <v>-4.7082209569401234E-3</v>
      </c>
      <c r="H236">
        <v>387.9912415</v>
      </c>
      <c r="I236">
        <f t="shared" si="36"/>
        <v>1.7369717420682163E-2</v>
      </c>
      <c r="J236">
        <v>575.09997559999999</v>
      </c>
      <c r="K236">
        <f t="shared" si="37"/>
        <v>1.0187928902674726E-2</v>
      </c>
      <c r="L236">
        <v>266.39999390000003</v>
      </c>
      <c r="M236">
        <f t="shared" si="38"/>
        <v>-5.6272334220675013E-4</v>
      </c>
      <c r="N236">
        <v>544.79998780000005</v>
      </c>
      <c r="O236">
        <f t="shared" si="39"/>
        <v>-2.0055803858834542E-2</v>
      </c>
      <c r="P236">
        <v>188.5</v>
      </c>
      <c r="Q236">
        <f t="shared" si="40"/>
        <v>-9.7189705317272113E-3</v>
      </c>
      <c r="R236">
        <v>372.5499878</v>
      </c>
      <c r="S236">
        <f t="shared" si="41"/>
        <v>1.3439054331290112E-3</v>
      </c>
      <c r="T236">
        <v>1354.6999510000001</v>
      </c>
      <c r="U236">
        <f t="shared" si="42"/>
        <v>4.9179060106702144E-2</v>
      </c>
      <c r="W236">
        <f t="shared" si="43"/>
        <v>5.9118395334776253E-3</v>
      </c>
      <c r="X236">
        <v>-8.9306778964710065E-3</v>
      </c>
    </row>
    <row r="237" spans="1:24" x14ac:dyDescent="0.35">
      <c r="A237" s="1">
        <v>43159</v>
      </c>
      <c r="B237">
        <v>872.77630620000002</v>
      </c>
      <c r="C237">
        <f t="shared" si="33"/>
        <v>4.2609343150710188E-3</v>
      </c>
      <c r="D237">
        <v>1517.525024</v>
      </c>
      <c r="E237">
        <f t="shared" si="34"/>
        <v>-2.399477300393138E-3</v>
      </c>
      <c r="F237">
        <v>942.09997559999999</v>
      </c>
      <c r="G237">
        <f t="shared" si="35"/>
        <v>-9.6450012505973071E-3</v>
      </c>
      <c r="H237">
        <v>386.23379519999997</v>
      </c>
      <c r="I237">
        <f t="shared" si="36"/>
        <v>-4.529603021979578E-3</v>
      </c>
      <c r="J237">
        <v>586.29998780000005</v>
      </c>
      <c r="K237">
        <f t="shared" si="37"/>
        <v>1.9474895974939122E-2</v>
      </c>
      <c r="L237">
        <v>265.0499878</v>
      </c>
      <c r="M237">
        <f t="shared" si="38"/>
        <v>-5.0675905815027456E-3</v>
      </c>
      <c r="N237">
        <v>535.34997559999999</v>
      </c>
      <c r="O237">
        <f t="shared" si="39"/>
        <v>-1.7345837759947247E-2</v>
      </c>
      <c r="P237">
        <v>188.3000031</v>
      </c>
      <c r="Q237">
        <f t="shared" si="40"/>
        <v>-1.0609915119363933E-3</v>
      </c>
      <c r="R237">
        <v>369.89999390000003</v>
      </c>
      <c r="S237">
        <f t="shared" si="41"/>
        <v>-7.1131230352438068E-3</v>
      </c>
      <c r="T237">
        <v>1348.150024</v>
      </c>
      <c r="U237">
        <f t="shared" si="42"/>
        <v>-4.8349651117688408E-3</v>
      </c>
      <c r="W237">
        <f t="shared" si="43"/>
        <v>-2.826075928335892E-3</v>
      </c>
      <c r="X237">
        <v>-8.9022204695980885E-3</v>
      </c>
    </row>
    <row r="238" spans="1:24" x14ac:dyDescent="0.35">
      <c r="A238" s="1">
        <v>43160</v>
      </c>
      <c r="B238">
        <v>867.15313719999995</v>
      </c>
      <c r="C238">
        <f t="shared" si="33"/>
        <v>-6.4428524927342412E-3</v>
      </c>
      <c r="D238">
        <v>1518.849976</v>
      </c>
      <c r="E238">
        <f t="shared" si="34"/>
        <v>8.7310059408940432E-4</v>
      </c>
      <c r="F238">
        <v>937.17498780000005</v>
      </c>
      <c r="G238">
        <f t="shared" si="35"/>
        <v>-5.2276700218183425E-3</v>
      </c>
      <c r="H238">
        <v>385.51278689999998</v>
      </c>
      <c r="I238">
        <f t="shared" si="36"/>
        <v>-1.8667664739866474E-3</v>
      </c>
      <c r="J238">
        <v>580.375</v>
      </c>
      <c r="K238">
        <f t="shared" si="37"/>
        <v>-1.0105727312450852E-2</v>
      </c>
      <c r="L238">
        <v>264</v>
      </c>
      <c r="M238">
        <f t="shared" si="38"/>
        <v>-3.9614708482548222E-3</v>
      </c>
      <c r="N238">
        <v>535.40002440000001</v>
      </c>
      <c r="O238">
        <f t="shared" si="39"/>
        <v>9.348800276653968E-5</v>
      </c>
      <c r="P238">
        <v>189.6999969</v>
      </c>
      <c r="Q238">
        <f t="shared" si="40"/>
        <v>7.4349111893350361E-3</v>
      </c>
      <c r="R238">
        <v>370.75</v>
      </c>
      <c r="S238">
        <f t="shared" si="41"/>
        <v>2.297934885151065E-3</v>
      </c>
      <c r="T238">
        <v>1314.25</v>
      </c>
      <c r="U238">
        <f t="shared" si="42"/>
        <v>-2.5145587209513764E-2</v>
      </c>
      <c r="W238">
        <f t="shared" si="43"/>
        <v>-4.2050639687416626E-3</v>
      </c>
      <c r="X238">
        <v>-8.8698657643841664E-3</v>
      </c>
    </row>
    <row r="239" spans="1:24" x14ac:dyDescent="0.35">
      <c r="A239" s="1">
        <v>43164</v>
      </c>
      <c r="B239">
        <v>844.93487549999998</v>
      </c>
      <c r="C239">
        <f t="shared" si="33"/>
        <v>-2.5622073826246816E-2</v>
      </c>
      <c r="D239">
        <v>1552.9250489999999</v>
      </c>
      <c r="E239">
        <f t="shared" si="34"/>
        <v>2.2434785224633602E-2</v>
      </c>
      <c r="F239">
        <v>934.97497559999999</v>
      </c>
      <c r="G239">
        <f t="shared" si="35"/>
        <v>-2.3474935082983261E-3</v>
      </c>
      <c r="H239">
        <v>379.8348694</v>
      </c>
      <c r="I239">
        <f t="shared" si="36"/>
        <v>-1.4728220938292291E-2</v>
      </c>
      <c r="J239">
        <v>577.95001219999995</v>
      </c>
      <c r="K239">
        <f t="shared" si="37"/>
        <v>-4.1783119534783975E-3</v>
      </c>
      <c r="L239">
        <v>260.25</v>
      </c>
      <c r="M239">
        <f t="shared" si="38"/>
        <v>-1.4204545454545414E-2</v>
      </c>
      <c r="N239">
        <v>548.54998780000005</v>
      </c>
      <c r="O239">
        <f t="shared" si="39"/>
        <v>2.4561006351721204E-2</v>
      </c>
      <c r="P239">
        <v>185.5500031</v>
      </c>
      <c r="Q239">
        <f t="shared" si="40"/>
        <v>-2.1876615012216716E-2</v>
      </c>
      <c r="R239">
        <v>352.0499878</v>
      </c>
      <c r="S239">
        <f t="shared" si="41"/>
        <v>-5.0438333648010758E-2</v>
      </c>
      <c r="T239">
        <v>1314.3000489999999</v>
      </c>
      <c r="U239">
        <f t="shared" si="42"/>
        <v>3.8081795700861676E-5</v>
      </c>
      <c r="W239">
        <f t="shared" si="43"/>
        <v>-8.6361720969033058E-3</v>
      </c>
      <c r="X239">
        <v>-8.8623165176798697E-3</v>
      </c>
    </row>
    <row r="240" spans="1:24" x14ac:dyDescent="0.35">
      <c r="A240" s="1">
        <v>43165</v>
      </c>
      <c r="B240">
        <v>832.81994629999997</v>
      </c>
      <c r="C240">
        <f t="shared" si="33"/>
        <v>-1.4338299378198638E-2</v>
      </c>
      <c r="D240">
        <v>1521.400024</v>
      </c>
      <c r="E240">
        <f t="shared" si="34"/>
        <v>-2.0300416314554481E-2</v>
      </c>
      <c r="F240">
        <v>923.125</v>
      </c>
      <c r="G240">
        <f t="shared" si="35"/>
        <v>-1.2674109905878028E-2</v>
      </c>
      <c r="H240">
        <v>373.0303955</v>
      </c>
      <c r="I240">
        <f t="shared" si="36"/>
        <v>-1.7914294995476809E-2</v>
      </c>
      <c r="J240">
        <v>575.67498780000005</v>
      </c>
      <c r="K240">
        <f t="shared" si="37"/>
        <v>-3.936368806949031E-3</v>
      </c>
      <c r="L240">
        <v>256.5</v>
      </c>
      <c r="M240">
        <f t="shared" si="38"/>
        <v>-1.4409221902017322E-2</v>
      </c>
      <c r="N240">
        <v>531.75</v>
      </c>
      <c r="O240">
        <f t="shared" si="39"/>
        <v>-3.0626174776482329E-2</v>
      </c>
      <c r="P240">
        <v>185.3999939</v>
      </c>
      <c r="Q240">
        <f t="shared" si="40"/>
        <v>-8.0845700616427596E-4</v>
      </c>
      <c r="R240">
        <v>346.5</v>
      </c>
      <c r="S240">
        <f t="shared" si="41"/>
        <v>-1.5764772027638707E-2</v>
      </c>
      <c r="T240">
        <v>1327.150024</v>
      </c>
      <c r="U240">
        <f t="shared" si="42"/>
        <v>9.7770482545269655E-3</v>
      </c>
      <c r="W240">
        <f t="shared" si="43"/>
        <v>-1.2099506685883266E-2</v>
      </c>
      <c r="X240">
        <v>-8.7938206304783335E-3</v>
      </c>
    </row>
    <row r="241" spans="1:24" x14ac:dyDescent="0.35">
      <c r="A241" s="1">
        <v>43166</v>
      </c>
      <c r="B241">
        <v>813.5275269</v>
      </c>
      <c r="C241">
        <f t="shared" si="33"/>
        <v>-2.3165174520268339E-2</v>
      </c>
      <c r="D241">
        <v>1513.724976</v>
      </c>
      <c r="E241">
        <f t="shared" si="34"/>
        <v>-5.0447271453442077E-3</v>
      </c>
      <c r="F241">
        <v>916.29998780000005</v>
      </c>
      <c r="G241">
        <f t="shared" si="35"/>
        <v>-7.3933781448882741E-3</v>
      </c>
      <c r="H241">
        <v>363.38693239999998</v>
      </c>
      <c r="I241">
        <f t="shared" si="36"/>
        <v>-2.5851681837010032E-2</v>
      </c>
      <c r="J241">
        <v>572.04998780000005</v>
      </c>
      <c r="K241">
        <f t="shared" si="37"/>
        <v>-6.296955881048949E-3</v>
      </c>
      <c r="L241">
        <v>259.89999390000003</v>
      </c>
      <c r="M241">
        <f t="shared" si="38"/>
        <v>1.3255336842105336E-2</v>
      </c>
      <c r="N241">
        <v>524.84997559999999</v>
      </c>
      <c r="O241">
        <f t="shared" si="39"/>
        <v>-1.2976068453220524E-2</v>
      </c>
      <c r="P241">
        <v>181.5</v>
      </c>
      <c r="Q241">
        <f t="shared" si="40"/>
        <v>-2.1035566495776425E-2</v>
      </c>
      <c r="R241">
        <v>347.7999878</v>
      </c>
      <c r="S241">
        <f t="shared" si="41"/>
        <v>3.7517685425685343E-3</v>
      </c>
      <c r="T241">
        <v>1298.8000489999999</v>
      </c>
      <c r="U241">
        <f t="shared" si="42"/>
        <v>-2.1361545030571527E-2</v>
      </c>
      <c r="W241">
        <f t="shared" si="43"/>
        <v>-1.0611799212345441E-2</v>
      </c>
      <c r="X241">
        <v>-8.7809548427472354E-3</v>
      </c>
    </row>
    <row r="242" spans="1:24" x14ac:dyDescent="0.35">
      <c r="A242" s="1">
        <v>43167</v>
      </c>
      <c r="B242">
        <v>833.36853029999997</v>
      </c>
      <c r="C242">
        <f t="shared" si="33"/>
        <v>2.4388853165922209E-2</v>
      </c>
      <c r="D242">
        <v>1501.974976</v>
      </c>
      <c r="E242">
        <f t="shared" si="34"/>
        <v>-7.7623083362535761E-3</v>
      </c>
      <c r="F242">
        <v>926.42498780000005</v>
      </c>
      <c r="G242">
        <f t="shared" si="35"/>
        <v>1.1049874642375279E-2</v>
      </c>
      <c r="H242">
        <v>361.67453</v>
      </c>
      <c r="I242">
        <f t="shared" si="36"/>
        <v>-4.7123389624672551E-3</v>
      </c>
      <c r="J242">
        <v>578.32501219999995</v>
      </c>
      <c r="K242">
        <f t="shared" si="37"/>
        <v>1.0969363751116346E-2</v>
      </c>
      <c r="L242">
        <v>258.85000609999997</v>
      </c>
      <c r="M242">
        <f t="shared" si="38"/>
        <v>-4.0399685442241706E-3</v>
      </c>
      <c r="N242">
        <v>514.59997559999999</v>
      </c>
      <c r="O242">
        <f t="shared" si="39"/>
        <v>-1.952939025724898E-2</v>
      </c>
      <c r="P242">
        <v>180.1499939</v>
      </c>
      <c r="Q242">
        <f t="shared" si="40"/>
        <v>-7.4380501377410146E-3</v>
      </c>
      <c r="R242">
        <v>345.14999390000003</v>
      </c>
      <c r="S242">
        <f t="shared" si="41"/>
        <v>-7.6193041775602932E-3</v>
      </c>
      <c r="T242">
        <v>1293.150024</v>
      </c>
      <c r="U242">
        <f t="shared" si="42"/>
        <v>-4.350188471543448E-3</v>
      </c>
      <c r="W242">
        <f t="shared" si="43"/>
        <v>-9.0434573276248998E-4</v>
      </c>
      <c r="X242">
        <v>-8.7759084023729013E-3</v>
      </c>
    </row>
    <row r="243" spans="1:24" x14ac:dyDescent="0.35">
      <c r="A243" s="1">
        <v>43168</v>
      </c>
      <c r="B243">
        <v>834.87719730000003</v>
      </c>
      <c r="C243">
        <f t="shared" si="33"/>
        <v>1.8103239385065528E-3</v>
      </c>
      <c r="D243">
        <v>1517.0500489999999</v>
      </c>
      <c r="E243">
        <f t="shared" si="34"/>
        <v>1.0036833662933065E-2</v>
      </c>
      <c r="F243">
        <v>925.52502440000001</v>
      </c>
      <c r="G243">
        <f t="shared" si="35"/>
        <v>-9.7143688032119702E-4</v>
      </c>
      <c r="H243">
        <v>362.4406128</v>
      </c>
      <c r="I243">
        <f t="shared" si="36"/>
        <v>2.1181552375280077E-3</v>
      </c>
      <c r="J243">
        <v>581.70001219999995</v>
      </c>
      <c r="K243">
        <f t="shared" si="37"/>
        <v>5.835818836818385E-3</v>
      </c>
      <c r="L243">
        <v>259.25</v>
      </c>
      <c r="M243">
        <f t="shared" si="38"/>
        <v>1.5452729015794642E-3</v>
      </c>
      <c r="N243">
        <v>506.7999878</v>
      </c>
      <c r="O243">
        <f t="shared" si="39"/>
        <v>-1.5157380819743715E-2</v>
      </c>
      <c r="P243">
        <v>179.8999939</v>
      </c>
      <c r="Q243">
        <f t="shared" si="40"/>
        <v>-1.3877324921741652E-3</v>
      </c>
      <c r="R243">
        <v>341.5</v>
      </c>
      <c r="S243">
        <f t="shared" si="41"/>
        <v>-1.0575094783450978E-2</v>
      </c>
      <c r="T243">
        <v>1306.5500489999999</v>
      </c>
      <c r="U243">
        <f t="shared" si="42"/>
        <v>1.0362312764415904E-2</v>
      </c>
      <c r="W243">
        <f t="shared" si="43"/>
        <v>3.6170723660913242E-4</v>
      </c>
      <c r="X243">
        <v>-8.7605644480934549E-3</v>
      </c>
    </row>
    <row r="244" spans="1:24" x14ac:dyDescent="0.35">
      <c r="A244" s="1">
        <v>43171</v>
      </c>
      <c r="B244">
        <v>850.6036987</v>
      </c>
      <c r="C244">
        <f t="shared" si="33"/>
        <v>1.8836903739687161E-2</v>
      </c>
      <c r="D244">
        <v>1526.0749510000001</v>
      </c>
      <c r="E244">
        <f t="shared" si="34"/>
        <v>5.9489810543489341E-3</v>
      </c>
      <c r="F244">
        <v>933.625</v>
      </c>
      <c r="G244">
        <f t="shared" si="35"/>
        <v>8.7517629307225508E-3</v>
      </c>
      <c r="H244">
        <v>379.9249878</v>
      </c>
      <c r="I244">
        <f t="shared" si="36"/>
        <v>4.8240661731934864E-2</v>
      </c>
      <c r="J244">
        <v>592.875</v>
      </c>
      <c r="K244">
        <f t="shared" si="37"/>
        <v>1.9210912094940635E-2</v>
      </c>
      <c r="L244">
        <v>270.10000609999997</v>
      </c>
      <c r="M244">
        <f t="shared" si="38"/>
        <v>4.1851518225650919E-2</v>
      </c>
      <c r="N244">
        <v>512.65002440000001</v>
      </c>
      <c r="O244">
        <f t="shared" si="39"/>
        <v>1.1543087491763471E-2</v>
      </c>
      <c r="P244">
        <v>183.8500061</v>
      </c>
      <c r="Q244">
        <f t="shared" si="40"/>
        <v>2.1956711139165863E-2</v>
      </c>
      <c r="R244">
        <v>352.60000609999997</v>
      </c>
      <c r="S244">
        <f t="shared" si="41"/>
        <v>3.2503678184480078E-2</v>
      </c>
      <c r="T244">
        <v>1315.650024</v>
      </c>
      <c r="U244">
        <f t="shared" si="42"/>
        <v>6.9648881854660338E-3</v>
      </c>
      <c r="W244">
        <f t="shared" si="43"/>
        <v>2.1580910477816056E-2</v>
      </c>
      <c r="X244">
        <v>-8.7451646026977976E-3</v>
      </c>
    </row>
    <row r="245" spans="1:24" x14ac:dyDescent="0.35">
      <c r="A245" s="1">
        <v>43172</v>
      </c>
      <c r="B245">
        <v>852.02093509999997</v>
      </c>
      <c r="C245">
        <f t="shared" si="33"/>
        <v>1.6661535826447693E-3</v>
      </c>
      <c r="D245">
        <v>1443.400024</v>
      </c>
      <c r="E245">
        <f t="shared" si="34"/>
        <v>-5.417487977626867E-2</v>
      </c>
      <c r="F245">
        <v>930.125</v>
      </c>
      <c r="G245">
        <f t="shared" si="35"/>
        <v>-3.7488284910964786E-3</v>
      </c>
      <c r="H245">
        <v>384.20596310000002</v>
      </c>
      <c r="I245">
        <f t="shared" si="36"/>
        <v>1.1267948772702541E-2</v>
      </c>
      <c r="J245">
        <v>591.90002440000001</v>
      </c>
      <c r="K245">
        <f t="shared" si="37"/>
        <v>-1.6444876238667083E-3</v>
      </c>
      <c r="L245">
        <v>269.4500122</v>
      </c>
      <c r="M245">
        <f t="shared" si="38"/>
        <v>-2.4064934665692927E-3</v>
      </c>
      <c r="N245">
        <v>523.29998780000005</v>
      </c>
      <c r="O245">
        <f t="shared" si="39"/>
        <v>2.0774335107980546E-2</v>
      </c>
      <c r="P245">
        <v>183.6000061</v>
      </c>
      <c r="Q245">
        <f t="shared" si="40"/>
        <v>-1.3598041430796792E-3</v>
      </c>
      <c r="R245">
        <v>353.14999390000003</v>
      </c>
      <c r="S245">
        <f t="shared" si="41"/>
        <v>1.5598065527091531E-3</v>
      </c>
      <c r="T245">
        <v>1337.900024</v>
      </c>
      <c r="U245">
        <f t="shared" si="42"/>
        <v>1.6911792341517184E-2</v>
      </c>
      <c r="W245">
        <f t="shared" si="43"/>
        <v>-1.1154457143326634E-3</v>
      </c>
      <c r="X245">
        <v>-8.7173327752982713E-3</v>
      </c>
    </row>
    <row r="246" spans="1:24" x14ac:dyDescent="0.35">
      <c r="A246" s="1">
        <v>43173</v>
      </c>
      <c r="B246">
        <v>849.4608154</v>
      </c>
      <c r="C246">
        <f t="shared" si="33"/>
        <v>-3.0047614964995306E-3</v>
      </c>
      <c r="D246">
        <v>1443.4499510000001</v>
      </c>
      <c r="E246">
        <f t="shared" si="34"/>
        <v>3.4589856706235267E-5</v>
      </c>
      <c r="F246">
        <v>932.25</v>
      </c>
      <c r="G246">
        <f t="shared" si="35"/>
        <v>2.2846391614030903E-3</v>
      </c>
      <c r="H246">
        <v>380.87130739999998</v>
      </c>
      <c r="I246">
        <f t="shared" si="36"/>
        <v>-8.6793439463929145E-3</v>
      </c>
      <c r="J246">
        <v>590.40002440000001</v>
      </c>
      <c r="K246">
        <f t="shared" si="37"/>
        <v>-2.5342117556432786E-3</v>
      </c>
      <c r="L246">
        <v>268.0499878</v>
      </c>
      <c r="M246">
        <f t="shared" si="38"/>
        <v>-5.1958594789776047E-3</v>
      </c>
      <c r="N246">
        <v>520.09997559999999</v>
      </c>
      <c r="O246">
        <f t="shared" si="39"/>
        <v>-6.1150626306206712E-3</v>
      </c>
      <c r="P246">
        <v>180.6000061</v>
      </c>
      <c r="Q246">
        <f t="shared" si="40"/>
        <v>-1.6339868738163399E-2</v>
      </c>
      <c r="R246">
        <v>354.0499878</v>
      </c>
      <c r="S246">
        <f t="shared" si="41"/>
        <v>2.5484749130557649E-3</v>
      </c>
      <c r="T246">
        <v>1345.1999510000001</v>
      </c>
      <c r="U246">
        <f t="shared" si="42"/>
        <v>5.4562574699528188E-3</v>
      </c>
      <c r="W246">
        <f t="shared" si="43"/>
        <v>-3.1545146645179491E-3</v>
      </c>
      <c r="X246">
        <v>-8.6872940008295256E-3</v>
      </c>
    </row>
    <row r="247" spans="1:24" x14ac:dyDescent="0.35">
      <c r="A247" s="1">
        <v>43174</v>
      </c>
      <c r="B247">
        <v>833.68859859999998</v>
      </c>
      <c r="C247">
        <f t="shared" si="33"/>
        <v>-1.8567327078616414E-2</v>
      </c>
      <c r="D247">
        <v>1434.849976</v>
      </c>
      <c r="E247">
        <f t="shared" si="34"/>
        <v>-5.9579308545073539E-3</v>
      </c>
      <c r="F247">
        <v>940.40002440000001</v>
      </c>
      <c r="G247">
        <f t="shared" si="35"/>
        <v>8.742316331456168E-3</v>
      </c>
      <c r="H247">
        <v>378.93362430000002</v>
      </c>
      <c r="I247">
        <f t="shared" si="36"/>
        <v>-5.087500849637272E-3</v>
      </c>
      <c r="J247">
        <v>591.25</v>
      </c>
      <c r="K247">
        <f t="shared" si="37"/>
        <v>1.4396605096074211E-3</v>
      </c>
      <c r="L247">
        <v>265.5499878</v>
      </c>
      <c r="M247">
        <f t="shared" si="38"/>
        <v>-9.3266185927429746E-3</v>
      </c>
      <c r="N247">
        <v>516.45001219999995</v>
      </c>
      <c r="O247">
        <f t="shared" si="39"/>
        <v>-7.0178111348483396E-3</v>
      </c>
      <c r="P247">
        <v>180.3000031</v>
      </c>
      <c r="Q247">
        <f t="shared" si="40"/>
        <v>-1.661146123294599E-3</v>
      </c>
      <c r="R247">
        <v>353.10000609999997</v>
      </c>
      <c r="S247">
        <f t="shared" si="41"/>
        <v>-2.6831852357996899E-3</v>
      </c>
      <c r="T247">
        <v>1359.8000489999999</v>
      </c>
      <c r="U247">
        <f t="shared" si="42"/>
        <v>1.0853477945153456E-2</v>
      </c>
      <c r="W247">
        <f t="shared" si="43"/>
        <v>-2.9266065083229601E-3</v>
      </c>
      <c r="X247">
        <v>-8.6361720969033058E-3</v>
      </c>
    </row>
    <row r="248" spans="1:24" x14ac:dyDescent="0.35">
      <c r="A248" s="1">
        <v>43175</v>
      </c>
      <c r="B248">
        <v>822.9451904</v>
      </c>
      <c r="C248">
        <f t="shared" si="33"/>
        <v>-1.2886596048022225E-2</v>
      </c>
      <c r="D248">
        <v>1412.849976</v>
      </c>
      <c r="E248">
        <f t="shared" si="34"/>
        <v>-1.5332613421599972E-2</v>
      </c>
      <c r="F248">
        <v>926.5</v>
      </c>
      <c r="G248">
        <f t="shared" si="35"/>
        <v>-1.4780969841922897E-2</v>
      </c>
      <c r="H248">
        <v>375.59896850000001</v>
      </c>
      <c r="I248">
        <f t="shared" si="36"/>
        <v>-8.8001053117418016E-3</v>
      </c>
      <c r="J248">
        <v>585.95001219999995</v>
      </c>
      <c r="K248">
        <f t="shared" si="37"/>
        <v>-8.9640385623679375E-3</v>
      </c>
      <c r="L248">
        <v>260.5</v>
      </c>
      <c r="M248">
        <f t="shared" si="38"/>
        <v>-1.9017089180977109E-2</v>
      </c>
      <c r="N248">
        <v>503.0499878</v>
      </c>
      <c r="O248">
        <f t="shared" si="39"/>
        <v>-2.5946411237203426E-2</v>
      </c>
      <c r="P248">
        <v>177.1499939</v>
      </c>
      <c r="Q248">
        <f t="shared" si="40"/>
        <v>-1.7470932589240706E-2</v>
      </c>
      <c r="R248">
        <v>339.75</v>
      </c>
      <c r="S248">
        <f t="shared" si="41"/>
        <v>-3.7808003028522053E-2</v>
      </c>
      <c r="T248">
        <v>1365.8000489999999</v>
      </c>
      <c r="U248">
        <f t="shared" si="42"/>
        <v>4.4124134312337748E-3</v>
      </c>
      <c r="W248">
        <f t="shared" si="43"/>
        <v>-1.5659434579036437E-2</v>
      </c>
      <c r="X248">
        <v>-8.6103310951222284E-3</v>
      </c>
    </row>
    <row r="249" spans="1:24" x14ac:dyDescent="0.35">
      <c r="A249" s="1">
        <v>43178</v>
      </c>
      <c r="B249">
        <v>818.7849731</v>
      </c>
      <c r="C249">
        <f t="shared" si="33"/>
        <v>-5.0552787093608442E-3</v>
      </c>
      <c r="D249">
        <v>1415.5</v>
      </c>
      <c r="E249">
        <f t="shared" si="34"/>
        <v>1.8756584527839237E-3</v>
      </c>
      <c r="F249">
        <v>923.625</v>
      </c>
      <c r="G249">
        <f t="shared" si="35"/>
        <v>-3.1030760928224543E-3</v>
      </c>
      <c r="H249">
        <v>360.18746950000002</v>
      </c>
      <c r="I249">
        <f t="shared" si="36"/>
        <v>-4.1031792663189903E-2</v>
      </c>
      <c r="J249">
        <v>573.375</v>
      </c>
      <c r="K249">
        <f t="shared" si="37"/>
        <v>-2.1460895875376806E-2</v>
      </c>
      <c r="L249">
        <v>259.14999390000003</v>
      </c>
      <c r="M249">
        <f t="shared" si="38"/>
        <v>-5.1823650671783961E-3</v>
      </c>
      <c r="N249">
        <v>497.64999390000003</v>
      </c>
      <c r="O249">
        <f t="shared" si="39"/>
        <v>-1.0734507565770768E-2</v>
      </c>
      <c r="P249">
        <v>176.8500061</v>
      </c>
      <c r="Q249">
        <f t="shared" si="40"/>
        <v>-1.6934112917290634E-3</v>
      </c>
      <c r="R249">
        <v>335.7000122</v>
      </c>
      <c r="S249">
        <f t="shared" si="41"/>
        <v>-1.1920493892568107E-2</v>
      </c>
      <c r="T249">
        <v>1342.5500489999999</v>
      </c>
      <c r="U249">
        <f t="shared" si="42"/>
        <v>-1.7022989578176495E-2</v>
      </c>
      <c r="W249">
        <f t="shared" si="43"/>
        <v>-1.1532915228338892E-2</v>
      </c>
      <c r="X249">
        <v>-8.6081926119763851E-3</v>
      </c>
    </row>
    <row r="250" spans="1:24" x14ac:dyDescent="0.35">
      <c r="A250" s="1">
        <v>43179</v>
      </c>
      <c r="B250">
        <v>813.57324219999998</v>
      </c>
      <c r="C250">
        <f t="shared" si="33"/>
        <v>-6.3652009638963669E-3</v>
      </c>
      <c r="D250">
        <v>1432.4250489999999</v>
      </c>
      <c r="E250">
        <f t="shared" si="34"/>
        <v>1.1956940303779584E-2</v>
      </c>
      <c r="F250">
        <v>919.75</v>
      </c>
      <c r="G250">
        <f t="shared" si="35"/>
        <v>-4.1954256326972583E-3</v>
      </c>
      <c r="H250">
        <v>360.86340330000002</v>
      </c>
      <c r="I250">
        <f t="shared" si="36"/>
        <v>1.8766166433783482E-3</v>
      </c>
      <c r="J250">
        <v>582.27502440000001</v>
      </c>
      <c r="K250">
        <f t="shared" si="37"/>
        <v>1.5522170307390448E-2</v>
      </c>
      <c r="L250">
        <v>259.2000122</v>
      </c>
      <c r="M250">
        <f t="shared" si="38"/>
        <v>1.9300907265029643E-4</v>
      </c>
      <c r="N250">
        <v>508.75</v>
      </c>
      <c r="O250">
        <f t="shared" si="39"/>
        <v>2.2304845244769389E-2</v>
      </c>
      <c r="P250">
        <v>174.1000061</v>
      </c>
      <c r="Q250">
        <f t="shared" si="40"/>
        <v>-1.5549900509729153E-2</v>
      </c>
      <c r="R250">
        <v>338.7999878</v>
      </c>
      <c r="S250">
        <f t="shared" si="41"/>
        <v>9.2343624883550746E-3</v>
      </c>
      <c r="T250">
        <v>1346.5</v>
      </c>
      <c r="U250">
        <f t="shared" si="42"/>
        <v>2.9421256979895727E-3</v>
      </c>
      <c r="W250">
        <f t="shared" si="43"/>
        <v>3.791954265198994E-3</v>
      </c>
      <c r="X250">
        <v>-8.5341526304929197E-3</v>
      </c>
    </row>
    <row r="251" spans="1:24" x14ac:dyDescent="0.35">
      <c r="A251" s="1">
        <v>43180</v>
      </c>
      <c r="B251">
        <v>820.06500240000003</v>
      </c>
      <c r="C251">
        <f t="shared" si="33"/>
        <v>7.9793187180610126E-3</v>
      </c>
      <c r="D251">
        <v>1428.375</v>
      </c>
      <c r="E251">
        <f t="shared" si="34"/>
        <v>-2.8274072719038923E-3</v>
      </c>
      <c r="F251">
        <v>929.45001219999995</v>
      </c>
      <c r="G251">
        <f t="shared" si="35"/>
        <v>1.0546357379722648E-2</v>
      </c>
      <c r="H251">
        <v>376.90579220000001</v>
      </c>
      <c r="I251">
        <f t="shared" si="36"/>
        <v>4.4455571701914387E-2</v>
      </c>
      <c r="J251">
        <v>583.75</v>
      </c>
      <c r="K251">
        <f t="shared" si="37"/>
        <v>2.533125307100148E-3</v>
      </c>
      <c r="L251">
        <v>259.0499878</v>
      </c>
      <c r="M251">
        <f t="shared" si="38"/>
        <v>-5.7879781226344296E-4</v>
      </c>
      <c r="N251">
        <v>504.5</v>
      </c>
      <c r="O251">
        <f t="shared" si="39"/>
        <v>-8.3538083538083896E-3</v>
      </c>
      <c r="P251">
        <v>175.5500031</v>
      </c>
      <c r="Q251">
        <f t="shared" si="40"/>
        <v>8.3285292888912732E-3</v>
      </c>
      <c r="R251">
        <v>333.85000609999997</v>
      </c>
      <c r="S251">
        <f t="shared" si="41"/>
        <v>-1.461033612233209E-2</v>
      </c>
      <c r="T251">
        <v>1339.599976</v>
      </c>
      <c r="U251">
        <f t="shared" si="42"/>
        <v>-5.1244144077237097E-3</v>
      </c>
      <c r="W251">
        <f t="shared" si="43"/>
        <v>4.2348138427657951E-3</v>
      </c>
      <c r="X251">
        <v>-8.5295010525649022E-3</v>
      </c>
    </row>
    <row r="252" spans="1:24" x14ac:dyDescent="0.35">
      <c r="A252" s="1">
        <v>43181</v>
      </c>
      <c r="B252">
        <v>830.35125730000004</v>
      </c>
      <c r="C252">
        <f t="shared" si="33"/>
        <v>1.254321897641808E-2</v>
      </c>
      <c r="D252">
        <v>1415.6750489999999</v>
      </c>
      <c r="E252">
        <f t="shared" si="34"/>
        <v>-8.8911882383828633E-3</v>
      </c>
      <c r="F252">
        <v>933.875</v>
      </c>
      <c r="G252">
        <f t="shared" si="35"/>
        <v>4.7608669018424088E-3</v>
      </c>
      <c r="H252">
        <v>374.56253049999998</v>
      </c>
      <c r="I252">
        <f t="shared" si="36"/>
        <v>-6.2171018554063595E-3</v>
      </c>
      <c r="J252">
        <v>580.65002440000001</v>
      </c>
      <c r="K252">
        <f t="shared" si="37"/>
        <v>-5.310450706638159E-3</v>
      </c>
      <c r="L252">
        <v>258.2999878</v>
      </c>
      <c r="M252">
        <f t="shared" si="38"/>
        <v>-2.8951941143461335E-3</v>
      </c>
      <c r="N252">
        <v>508.39999390000003</v>
      </c>
      <c r="O252">
        <f t="shared" si="39"/>
        <v>7.730414073340075E-3</v>
      </c>
      <c r="P252">
        <v>178.8999939</v>
      </c>
      <c r="Q252">
        <f t="shared" si="40"/>
        <v>1.9082829625993947E-2</v>
      </c>
      <c r="R252">
        <v>338.2000122</v>
      </c>
      <c r="S252">
        <f t="shared" si="41"/>
        <v>1.3029821837705846E-2</v>
      </c>
      <c r="T252">
        <v>1320.4499510000001</v>
      </c>
      <c r="U252">
        <f t="shared" si="42"/>
        <v>-1.4295330951842211E-2</v>
      </c>
      <c r="W252">
        <f t="shared" si="43"/>
        <v>1.9537885548684634E-3</v>
      </c>
      <c r="X252">
        <v>-8.4861655594969509E-3</v>
      </c>
    </row>
    <row r="253" spans="1:24" x14ac:dyDescent="0.35">
      <c r="A253" s="1">
        <v>43182</v>
      </c>
      <c r="B253">
        <v>817.32202150000001</v>
      </c>
      <c r="C253">
        <f t="shared" si="33"/>
        <v>-1.5691233903066926E-2</v>
      </c>
      <c r="D253">
        <v>1409.0749510000001</v>
      </c>
      <c r="E253">
        <f t="shared" si="34"/>
        <v>-4.6621560538642193E-3</v>
      </c>
      <c r="F253">
        <v>920.77502440000001</v>
      </c>
      <c r="G253">
        <f t="shared" si="35"/>
        <v>-1.4027547155668563E-2</v>
      </c>
      <c r="H253">
        <v>371.94888309999999</v>
      </c>
      <c r="I253">
        <f t="shared" si="36"/>
        <v>-6.9778666769232389E-3</v>
      </c>
      <c r="J253">
        <v>583.79998780000005</v>
      </c>
      <c r="K253">
        <f t="shared" si="37"/>
        <v>5.4248915312713475E-3</v>
      </c>
      <c r="L253">
        <v>256</v>
      </c>
      <c r="M253">
        <f t="shared" si="38"/>
        <v>-8.9043279467007075E-3</v>
      </c>
      <c r="N253">
        <v>502.39999390000003</v>
      </c>
      <c r="O253">
        <f t="shared" si="39"/>
        <v>-1.1801731062137222E-2</v>
      </c>
      <c r="P253">
        <v>177.3999939</v>
      </c>
      <c r="Q253">
        <f t="shared" si="40"/>
        <v>-8.3845726726992087E-3</v>
      </c>
      <c r="R253">
        <v>330.85000609999997</v>
      </c>
      <c r="S253">
        <f t="shared" si="41"/>
        <v>-2.1732719795567235E-2</v>
      </c>
      <c r="T253">
        <v>1281.099976</v>
      </c>
      <c r="U253">
        <f t="shared" si="42"/>
        <v>-2.9800428990284455E-2</v>
      </c>
      <c r="W253">
        <f t="shared" si="43"/>
        <v>-1.1655769272564042E-2</v>
      </c>
      <c r="X253">
        <v>-8.4449982600740339E-3</v>
      </c>
    </row>
    <row r="254" spans="1:24" x14ac:dyDescent="0.35">
      <c r="A254" s="1">
        <v>43185</v>
      </c>
      <c r="B254">
        <v>823.90521239999998</v>
      </c>
      <c r="C254">
        <f t="shared" si="33"/>
        <v>8.05458647488555E-3</v>
      </c>
      <c r="D254">
        <v>1408.5</v>
      </c>
      <c r="E254">
        <f t="shared" si="34"/>
        <v>-4.080343629642158E-4</v>
      </c>
      <c r="F254">
        <v>946.72497559999999</v>
      </c>
      <c r="G254">
        <f t="shared" si="35"/>
        <v>2.8182727063985613E-2</v>
      </c>
      <c r="H254">
        <v>379.87994379999998</v>
      </c>
      <c r="I254">
        <f t="shared" si="36"/>
        <v>2.1322985658402072E-2</v>
      </c>
      <c r="J254">
        <v>577.625</v>
      </c>
      <c r="K254">
        <f t="shared" si="37"/>
        <v>-1.0577231807198162E-2</v>
      </c>
      <c r="L254">
        <v>258.10000609999997</v>
      </c>
      <c r="M254">
        <f t="shared" si="38"/>
        <v>8.2031488281248954E-3</v>
      </c>
      <c r="N254">
        <v>503.2000122</v>
      </c>
      <c r="O254">
        <f t="shared" si="39"/>
        <v>1.5923931323915674E-3</v>
      </c>
      <c r="P254">
        <v>178.8999939</v>
      </c>
      <c r="Q254">
        <f t="shared" si="40"/>
        <v>8.4554681599682269E-3</v>
      </c>
      <c r="R254">
        <v>332.35000609999997</v>
      </c>
      <c r="S254">
        <f t="shared" si="41"/>
        <v>4.5337765523467688E-3</v>
      </c>
      <c r="T254">
        <v>1341.4499510000001</v>
      </c>
      <c r="U254">
        <f t="shared" si="42"/>
        <v>4.7107935469979267E-2</v>
      </c>
      <c r="W254">
        <f t="shared" si="43"/>
        <v>1.1646775516992159E-2</v>
      </c>
      <c r="X254">
        <v>-8.4001597150302545E-3</v>
      </c>
    </row>
    <row r="255" spans="1:24" x14ac:dyDescent="0.35">
      <c r="A255" s="1">
        <v>43186</v>
      </c>
      <c r="B255">
        <v>822.71655269999997</v>
      </c>
      <c r="C255">
        <f t="shared" si="33"/>
        <v>-1.4427141400616961E-3</v>
      </c>
      <c r="D255">
        <v>1423.849976</v>
      </c>
      <c r="E255">
        <f t="shared" si="34"/>
        <v>1.0898101526446657E-2</v>
      </c>
      <c r="F255">
        <v>946.29998780000005</v>
      </c>
      <c r="G255">
        <f t="shared" si="35"/>
        <v>-4.4890312493406359E-4</v>
      </c>
      <c r="H255">
        <v>372.3995056</v>
      </c>
      <c r="I255">
        <f t="shared" si="36"/>
        <v>-1.9691584991752831E-2</v>
      </c>
      <c r="J255">
        <v>577</v>
      </c>
      <c r="K255">
        <f t="shared" si="37"/>
        <v>-1.0820168794632989E-3</v>
      </c>
      <c r="L255">
        <v>258.89999390000003</v>
      </c>
      <c r="M255">
        <f t="shared" si="38"/>
        <v>3.0995264668458589E-3</v>
      </c>
      <c r="N255">
        <v>505.10000609999997</v>
      </c>
      <c r="O255">
        <f t="shared" si="39"/>
        <v>3.7758224442268062E-3</v>
      </c>
      <c r="P255">
        <v>179.6000061</v>
      </c>
      <c r="Q255">
        <f t="shared" si="40"/>
        <v>3.9128687751173175E-3</v>
      </c>
      <c r="R255">
        <v>331.14999390000003</v>
      </c>
      <c r="S255">
        <f t="shared" si="41"/>
        <v>-3.6106880637122307E-3</v>
      </c>
      <c r="T255">
        <v>1355.1999510000001</v>
      </c>
      <c r="U255">
        <f t="shared" si="42"/>
        <v>1.025010287543715E-2</v>
      </c>
      <c r="W255">
        <f t="shared" si="43"/>
        <v>5.6605148881496716E-4</v>
      </c>
      <c r="X255">
        <v>-8.3737938569165109E-3</v>
      </c>
    </row>
    <row r="256" spans="1:24" x14ac:dyDescent="0.35">
      <c r="A256" s="1">
        <v>43187</v>
      </c>
      <c r="B256">
        <v>807.08148189999997</v>
      </c>
      <c r="C256">
        <f t="shared" si="33"/>
        <v>-1.9004201080783711E-2</v>
      </c>
      <c r="D256">
        <v>1424.5749510000001</v>
      </c>
      <c r="E256">
        <f t="shared" si="34"/>
        <v>5.0916529987010684E-4</v>
      </c>
      <c r="F256">
        <v>943.04998780000005</v>
      </c>
      <c r="G256">
        <f t="shared" si="35"/>
        <v>-3.4344288723449079E-3</v>
      </c>
      <c r="H256">
        <v>359.33126829999998</v>
      </c>
      <c r="I256">
        <f t="shared" si="36"/>
        <v>-3.5091983484094147E-2</v>
      </c>
      <c r="J256">
        <v>565.90002440000001</v>
      </c>
      <c r="K256">
        <f t="shared" si="37"/>
        <v>-1.9237392720970581E-2</v>
      </c>
      <c r="L256">
        <v>255.5</v>
      </c>
      <c r="M256">
        <f t="shared" si="38"/>
        <v>-1.3132460332591855E-2</v>
      </c>
      <c r="N256">
        <v>495.10000609999997</v>
      </c>
      <c r="O256">
        <f t="shared" si="39"/>
        <v>-1.9798059551043079E-2</v>
      </c>
      <c r="P256">
        <v>177.8000031</v>
      </c>
      <c r="Q256">
        <f t="shared" si="40"/>
        <v>-1.0022288078307628E-2</v>
      </c>
      <c r="R256">
        <v>326.85000609999997</v>
      </c>
      <c r="S256">
        <f t="shared" si="41"/>
        <v>-1.2985015489079377E-2</v>
      </c>
      <c r="T256">
        <v>1324.8000489999999</v>
      </c>
      <c r="U256">
        <f t="shared" si="42"/>
        <v>-2.2432041838230665E-2</v>
      </c>
      <c r="W256">
        <f t="shared" si="43"/>
        <v>-1.5462870614757585E-2</v>
      </c>
      <c r="X256">
        <v>-8.3729765921374492E-3</v>
      </c>
    </row>
    <row r="257" spans="1:24" x14ac:dyDescent="0.35">
      <c r="A257" s="1">
        <v>43192</v>
      </c>
      <c r="B257">
        <v>816.45336910000003</v>
      </c>
      <c r="C257">
        <f t="shared" si="33"/>
        <v>1.1612070664708041E-2</v>
      </c>
      <c r="D257">
        <v>1454.8249510000001</v>
      </c>
      <c r="E257">
        <f t="shared" si="34"/>
        <v>2.1234403973455773E-2</v>
      </c>
      <c r="F257">
        <v>965.59997559999999</v>
      </c>
      <c r="G257">
        <f t="shared" si="35"/>
        <v>2.39117629942458E-2</v>
      </c>
      <c r="H257">
        <v>356.08673099999999</v>
      </c>
      <c r="I257">
        <f t="shared" si="36"/>
        <v>-9.0293764729963977E-3</v>
      </c>
      <c r="J257">
        <v>568.57501219999995</v>
      </c>
      <c r="K257">
        <f t="shared" si="37"/>
        <v>4.7269618036085426E-3</v>
      </c>
      <c r="L257">
        <v>258.25</v>
      </c>
      <c r="M257">
        <f t="shared" si="38"/>
        <v>1.0763209393346296E-2</v>
      </c>
      <c r="N257">
        <v>507.85000609999997</v>
      </c>
      <c r="O257">
        <f t="shared" si="39"/>
        <v>2.5752372940639257E-2</v>
      </c>
      <c r="P257">
        <v>179.9499969</v>
      </c>
      <c r="Q257">
        <f t="shared" si="40"/>
        <v>1.2092203388718747E-2</v>
      </c>
      <c r="R257">
        <v>339.14999390000003</v>
      </c>
      <c r="S257">
        <f t="shared" si="41"/>
        <v>3.7631903229143226E-2</v>
      </c>
      <c r="T257">
        <v>1357.3000489999999</v>
      </c>
      <c r="U257">
        <f t="shared" si="42"/>
        <v>2.4532003923559698E-2</v>
      </c>
      <c r="W257">
        <f t="shared" si="43"/>
        <v>1.6322751583842901E-2</v>
      </c>
      <c r="X257">
        <v>-8.3713135801110408E-3</v>
      </c>
    </row>
    <row r="258" spans="1:24" x14ac:dyDescent="0.35">
      <c r="A258" s="1">
        <v>43193</v>
      </c>
      <c r="B258">
        <v>822.48797609999997</v>
      </c>
      <c r="C258">
        <f t="shared" si="33"/>
        <v>7.3912451444129168E-3</v>
      </c>
      <c r="D258">
        <v>1455.625</v>
      </c>
      <c r="E258">
        <f t="shared" si="34"/>
        <v>5.4992801673492409E-4</v>
      </c>
      <c r="F258">
        <v>957.95001219999995</v>
      </c>
      <c r="G258">
        <f t="shared" si="35"/>
        <v>-7.9224975075693482E-3</v>
      </c>
      <c r="H258">
        <v>362.4856873</v>
      </c>
      <c r="I258">
        <f t="shared" si="36"/>
        <v>1.7970218328635212E-2</v>
      </c>
      <c r="J258">
        <v>570.22497559999999</v>
      </c>
      <c r="K258">
        <f t="shared" si="37"/>
        <v>2.9019273879373753E-3</v>
      </c>
      <c r="L258">
        <v>258.5</v>
      </c>
      <c r="M258">
        <f t="shared" si="38"/>
        <v>9.6805421103574041E-4</v>
      </c>
      <c r="N258">
        <v>510</v>
      </c>
      <c r="O258">
        <f t="shared" si="39"/>
        <v>4.2335214614070971E-3</v>
      </c>
      <c r="P258">
        <v>177.5</v>
      </c>
      <c r="Q258">
        <f t="shared" si="40"/>
        <v>-1.3614876033376633E-2</v>
      </c>
      <c r="R258">
        <v>343.10000609999997</v>
      </c>
      <c r="S258">
        <f t="shared" si="41"/>
        <v>1.1646800150509895E-2</v>
      </c>
      <c r="T258">
        <v>1364.3000489999999</v>
      </c>
      <c r="U258">
        <f t="shared" si="42"/>
        <v>5.1572973898861285E-3</v>
      </c>
      <c r="W258">
        <f t="shared" si="43"/>
        <v>2.9281618549613308E-3</v>
      </c>
      <c r="X258">
        <v>-8.335856169658375E-3</v>
      </c>
    </row>
    <row r="259" spans="1:24" x14ac:dyDescent="0.35">
      <c r="A259" s="1">
        <v>43194</v>
      </c>
      <c r="B259">
        <v>818.23632810000004</v>
      </c>
      <c r="C259">
        <f t="shared" si="33"/>
        <v>-5.1692524675679419E-3</v>
      </c>
      <c r="D259">
        <v>1455.4499510000001</v>
      </c>
      <c r="E259">
        <f t="shared" si="34"/>
        <v>-1.202569343065063E-4</v>
      </c>
      <c r="F259">
        <v>941.625</v>
      </c>
      <c r="G259">
        <f t="shared" si="35"/>
        <v>-1.7041611766890008E-2</v>
      </c>
      <c r="H259">
        <v>356.04168700000002</v>
      </c>
      <c r="I259">
        <f t="shared" si="36"/>
        <v>-1.777725445657885E-2</v>
      </c>
      <c r="J259">
        <v>562.09997559999999</v>
      </c>
      <c r="K259">
        <f t="shared" si="37"/>
        <v>-1.4248762063518439E-2</v>
      </c>
      <c r="L259">
        <v>258.60000609999997</v>
      </c>
      <c r="M259">
        <f t="shared" si="38"/>
        <v>3.8687079303656446E-4</v>
      </c>
      <c r="N259">
        <v>502.25</v>
      </c>
      <c r="O259">
        <f t="shared" si="39"/>
        <v>-1.5196078431372495E-2</v>
      </c>
      <c r="P259">
        <v>175.3999939</v>
      </c>
      <c r="Q259">
        <f t="shared" si="40"/>
        <v>-1.1831020281690141E-2</v>
      </c>
      <c r="R259">
        <v>355.60000609999997</v>
      </c>
      <c r="S259">
        <f t="shared" si="41"/>
        <v>3.6432526312333513E-2</v>
      </c>
      <c r="T259">
        <v>1359.150024</v>
      </c>
      <c r="U259">
        <f t="shared" si="42"/>
        <v>-3.7748477717748363E-3</v>
      </c>
      <c r="W259">
        <f t="shared" si="43"/>
        <v>-4.8339687068329152E-3</v>
      </c>
      <c r="X259">
        <v>-8.2629596276249002E-3</v>
      </c>
    </row>
    <row r="260" spans="1:24" x14ac:dyDescent="0.35">
      <c r="A260" s="1">
        <v>43195</v>
      </c>
      <c r="B260">
        <v>830.39697269999999</v>
      </c>
      <c r="C260">
        <f t="shared" ref="C260:C323" si="44">B260/B259 - 1</f>
        <v>1.4862019910846236E-2</v>
      </c>
      <c r="D260">
        <v>1478.974976</v>
      </c>
      <c r="E260">
        <f t="shared" ref="E260:E323" si="45">D260/D259 - 1</f>
        <v>1.6163403615381267E-2</v>
      </c>
      <c r="F260">
        <v>954.45001219999995</v>
      </c>
      <c r="G260">
        <f t="shared" ref="G260:G323" si="46">F260/F259 - 1</f>
        <v>1.3620084640913355E-2</v>
      </c>
      <c r="H260">
        <v>355.00524899999999</v>
      </c>
      <c r="I260">
        <f t="shared" ref="I260:I323" si="47">H260/H259 - 1</f>
        <v>-2.9110018232220147E-3</v>
      </c>
      <c r="J260">
        <v>573.77502440000001</v>
      </c>
      <c r="K260">
        <f t="shared" ref="K260:K323" si="48">J260/J259 -1</f>
        <v>2.0770413283754063E-2</v>
      </c>
      <c r="L260">
        <v>259.64999390000003</v>
      </c>
      <c r="M260">
        <f t="shared" ref="M260:M323" si="49">L260/L259 -1</f>
        <v>4.0602775531026758E-3</v>
      </c>
      <c r="N260">
        <v>507.5499878</v>
      </c>
      <c r="O260">
        <f t="shared" ref="O260:O323" si="50">N260/N259-1</f>
        <v>1.0552489397710252E-2</v>
      </c>
      <c r="P260">
        <v>177.4499969</v>
      </c>
      <c r="Q260">
        <f t="shared" ref="Q260:Q323" si="51">P260/P259 -1</f>
        <v>1.1687588775908253E-2</v>
      </c>
      <c r="R260">
        <v>362.2000122</v>
      </c>
      <c r="S260">
        <f t="shared" ref="S260:S323" si="52">R260/R259 - 1</f>
        <v>1.8560196813224961E-2</v>
      </c>
      <c r="T260">
        <v>1401.3000489999999</v>
      </c>
      <c r="U260">
        <f t="shared" ref="U260:U323" si="53">T260/T259 - 1</f>
        <v>3.1012047423544686E-2</v>
      </c>
      <c r="W260">
        <f t="shared" ref="W260:W323" si="54">0.1*C260+0.1*E260+0.1*G260+0.1*I260+0.1*K260+0.1*M260+0.1*O260+0.1*Q260+0.1*S260+0.1*U260</f>
        <v>1.3837751959116372E-2</v>
      </c>
      <c r="X260">
        <v>-8.262130801050406E-3</v>
      </c>
    </row>
    <row r="261" spans="1:24" x14ac:dyDescent="0.35">
      <c r="A261" s="1">
        <v>43196</v>
      </c>
      <c r="B261">
        <v>832.9570923</v>
      </c>
      <c r="C261">
        <f t="shared" si="44"/>
        <v>3.0830069041267727E-3</v>
      </c>
      <c r="D261">
        <v>1475.150024</v>
      </c>
      <c r="E261">
        <f t="shared" si="45"/>
        <v>-2.5862181998135281E-3</v>
      </c>
      <c r="F261">
        <v>961.70001219999995</v>
      </c>
      <c r="G261">
        <f t="shared" si="46"/>
        <v>7.5959975979138505E-3</v>
      </c>
      <c r="H261">
        <v>346.93899540000001</v>
      </c>
      <c r="I261">
        <f t="shared" si="47"/>
        <v>-2.272150516850524E-2</v>
      </c>
      <c r="J261">
        <v>563.5</v>
      </c>
      <c r="K261">
        <f t="shared" si="48"/>
        <v>-1.7907758203216773E-2</v>
      </c>
      <c r="L261">
        <v>260.85000609999997</v>
      </c>
      <c r="M261">
        <f t="shared" si="49"/>
        <v>4.6216531029925623E-3</v>
      </c>
      <c r="N261">
        <v>512.59997559999999</v>
      </c>
      <c r="O261">
        <f t="shared" si="50"/>
        <v>9.9497348465900082E-3</v>
      </c>
      <c r="P261">
        <v>176.9499969</v>
      </c>
      <c r="Q261">
        <f t="shared" si="51"/>
        <v>-2.8176951746117229E-3</v>
      </c>
      <c r="R261">
        <v>364.10000609999997</v>
      </c>
      <c r="S261">
        <f t="shared" si="52"/>
        <v>5.2457035781401373E-3</v>
      </c>
      <c r="T261">
        <v>1419.849976</v>
      </c>
      <c r="U261">
        <f t="shared" si="53"/>
        <v>1.3237655285345706E-2</v>
      </c>
      <c r="W261">
        <f t="shared" si="54"/>
        <v>-2.2994254310382246E-4</v>
      </c>
      <c r="X261">
        <v>-8.2530848927608973E-3</v>
      </c>
    </row>
    <row r="262" spans="1:24" x14ac:dyDescent="0.35">
      <c r="A262" s="1">
        <v>43199</v>
      </c>
      <c r="B262">
        <v>837.52874759999997</v>
      </c>
      <c r="C262">
        <f t="shared" si="44"/>
        <v>5.4884643425947566E-3</v>
      </c>
      <c r="D262">
        <v>1461.9499510000001</v>
      </c>
      <c r="E262">
        <f t="shared" si="45"/>
        <v>-8.9482918925133381E-3</v>
      </c>
      <c r="F262">
        <v>969.52502440000001</v>
      </c>
      <c r="G262">
        <f t="shared" si="46"/>
        <v>8.1366456282967459E-3</v>
      </c>
      <c r="H262">
        <v>342.74813840000002</v>
      </c>
      <c r="I262">
        <f t="shared" si="47"/>
        <v>-1.2079521343999367E-2</v>
      </c>
      <c r="J262">
        <v>555.625</v>
      </c>
      <c r="K262">
        <f t="shared" si="48"/>
        <v>-1.3975155279503104E-2</v>
      </c>
      <c r="L262">
        <v>265.7999878</v>
      </c>
      <c r="M262">
        <f t="shared" si="49"/>
        <v>1.8976352632717131E-2</v>
      </c>
      <c r="N262">
        <v>510.85000609999997</v>
      </c>
      <c r="O262">
        <f t="shared" si="50"/>
        <v>-3.4139086681611586E-3</v>
      </c>
      <c r="P262">
        <v>178.3999939</v>
      </c>
      <c r="Q262">
        <f t="shared" si="51"/>
        <v>8.1943883888251356E-3</v>
      </c>
      <c r="R262">
        <v>358.2999878</v>
      </c>
      <c r="S262">
        <f t="shared" si="52"/>
        <v>-1.5929739639737872E-2</v>
      </c>
      <c r="T262">
        <v>1440.5</v>
      </c>
      <c r="U262">
        <f t="shared" si="53"/>
        <v>1.4543806985985341E-2</v>
      </c>
      <c r="W262">
        <f t="shared" si="54"/>
        <v>9.9304115450427359E-5</v>
      </c>
      <c r="X262">
        <v>-8.2475449004608039E-3</v>
      </c>
    </row>
    <row r="263" spans="1:24" x14ac:dyDescent="0.35">
      <c r="A263" s="1">
        <v>43200</v>
      </c>
      <c r="B263">
        <v>838.48883060000003</v>
      </c>
      <c r="C263">
        <f t="shared" si="44"/>
        <v>1.1463284129067386E-3</v>
      </c>
      <c r="D263">
        <v>1468.8000489999999</v>
      </c>
      <c r="E263">
        <f t="shared" si="45"/>
        <v>4.6855899514988142E-3</v>
      </c>
      <c r="F263">
        <v>960.42498780000005</v>
      </c>
      <c r="G263">
        <f t="shared" si="46"/>
        <v>-9.3860770696780893E-3</v>
      </c>
      <c r="H263">
        <v>347.47973630000001</v>
      </c>
      <c r="I263">
        <f t="shared" si="47"/>
        <v>1.3804882856804923E-2</v>
      </c>
      <c r="J263">
        <v>556.70001219999995</v>
      </c>
      <c r="K263">
        <f t="shared" si="48"/>
        <v>1.9347801124858233E-3</v>
      </c>
      <c r="L263">
        <v>266.7000122</v>
      </c>
      <c r="M263">
        <f t="shared" si="49"/>
        <v>3.3860964684364614E-3</v>
      </c>
      <c r="N263">
        <v>508.25</v>
      </c>
      <c r="O263">
        <f t="shared" si="50"/>
        <v>-5.0895685014262781E-3</v>
      </c>
      <c r="P263">
        <v>180.1999969</v>
      </c>
      <c r="Q263">
        <f t="shared" si="51"/>
        <v>1.0089703259793747E-2</v>
      </c>
      <c r="R263">
        <v>353.25</v>
      </c>
      <c r="S263">
        <f t="shared" si="52"/>
        <v>-1.4094300786911762E-2</v>
      </c>
      <c r="T263">
        <v>1488.849976</v>
      </c>
      <c r="U263">
        <f t="shared" si="53"/>
        <v>3.3564717806317201E-2</v>
      </c>
      <c r="W263">
        <f t="shared" si="54"/>
        <v>4.0042152510227583E-3</v>
      </c>
      <c r="X263">
        <v>-8.2428983787599559E-3</v>
      </c>
    </row>
    <row r="264" spans="1:24" x14ac:dyDescent="0.35">
      <c r="A264" s="1">
        <v>43201</v>
      </c>
      <c r="B264">
        <v>851.10662839999998</v>
      </c>
      <c r="C264">
        <f t="shared" si="44"/>
        <v>1.5048259845001244E-2</v>
      </c>
      <c r="D264">
        <v>1507.0749510000001</v>
      </c>
      <c r="E264">
        <f t="shared" si="45"/>
        <v>2.6058619773371205E-2</v>
      </c>
      <c r="F264">
        <v>959.42498780000005</v>
      </c>
      <c r="G264">
        <f t="shared" si="46"/>
        <v>-1.041205729445549E-3</v>
      </c>
      <c r="H264">
        <v>347.25442500000003</v>
      </c>
      <c r="I264">
        <f t="shared" si="47"/>
        <v>-6.4841565266260393E-4</v>
      </c>
      <c r="J264">
        <v>562.125</v>
      </c>
      <c r="K264">
        <f t="shared" si="48"/>
        <v>9.7449033251522099E-3</v>
      </c>
      <c r="L264">
        <v>265.14999390000003</v>
      </c>
      <c r="M264">
        <f t="shared" si="49"/>
        <v>-5.8118418788732917E-3</v>
      </c>
      <c r="N264">
        <v>521.45001219999995</v>
      </c>
      <c r="O264">
        <f t="shared" si="50"/>
        <v>2.5971494736841905E-2</v>
      </c>
      <c r="P264">
        <v>182.1499939</v>
      </c>
      <c r="Q264">
        <f t="shared" si="51"/>
        <v>1.0821293193929105E-2</v>
      </c>
      <c r="R264">
        <v>355.7999878</v>
      </c>
      <c r="S264">
        <f t="shared" si="52"/>
        <v>7.2186491153574117E-3</v>
      </c>
      <c r="T264">
        <v>1473</v>
      </c>
      <c r="U264">
        <f t="shared" si="53"/>
        <v>-1.0645784501795874E-2</v>
      </c>
      <c r="W264">
        <f t="shared" si="54"/>
        <v>7.6715972226875781E-3</v>
      </c>
      <c r="X264">
        <v>-8.2187587041861136E-3</v>
      </c>
    </row>
    <row r="265" spans="1:24" x14ac:dyDescent="0.35">
      <c r="A265" s="1">
        <v>43202</v>
      </c>
      <c r="B265">
        <v>849.14080809999996</v>
      </c>
      <c r="C265">
        <f t="shared" si="44"/>
        <v>-2.3097227003102683E-3</v>
      </c>
      <c r="D265">
        <v>1569.625</v>
      </c>
      <c r="E265">
        <f t="shared" si="45"/>
        <v>4.1504272205238113E-2</v>
      </c>
      <c r="F265">
        <v>964.40002440000001</v>
      </c>
      <c r="G265">
        <f t="shared" si="46"/>
        <v>5.1854357174998533E-3</v>
      </c>
      <c r="H265">
        <v>342.65802000000002</v>
      </c>
      <c r="I265">
        <f t="shared" si="47"/>
        <v>-1.3236418801574668E-2</v>
      </c>
      <c r="J265">
        <v>581.29998780000005</v>
      </c>
      <c r="K265">
        <f t="shared" si="48"/>
        <v>3.4111608272181515E-2</v>
      </c>
      <c r="L265">
        <v>261.9500122</v>
      </c>
      <c r="M265">
        <f t="shared" si="49"/>
        <v>-1.206857165234132E-2</v>
      </c>
      <c r="N265">
        <v>515.90002440000001</v>
      </c>
      <c r="O265">
        <f t="shared" si="50"/>
        <v>-1.0643374571197128E-2</v>
      </c>
      <c r="P265">
        <v>181.75</v>
      </c>
      <c r="Q265">
        <f t="shared" si="51"/>
        <v>-2.1959588986842915E-3</v>
      </c>
      <c r="R265">
        <v>358.39999390000003</v>
      </c>
      <c r="S265">
        <f t="shared" si="52"/>
        <v>7.3074935052035439E-3</v>
      </c>
      <c r="T265">
        <v>1471.25</v>
      </c>
      <c r="U265">
        <f t="shared" si="53"/>
        <v>-1.1880515953835991E-3</v>
      </c>
      <c r="W265">
        <f t="shared" si="54"/>
        <v>4.6466711480631752E-3</v>
      </c>
      <c r="X265">
        <v>-8.1828230032387813E-3</v>
      </c>
    </row>
    <row r="266" spans="1:24" x14ac:dyDescent="0.35">
      <c r="A266" s="1">
        <v>43203</v>
      </c>
      <c r="B266">
        <v>858.42126459999997</v>
      </c>
      <c r="C266">
        <f t="shared" si="44"/>
        <v>1.0929231537894823E-2</v>
      </c>
      <c r="D266">
        <v>1576.650024</v>
      </c>
      <c r="E266">
        <f t="shared" si="45"/>
        <v>4.475606593931758E-3</v>
      </c>
      <c r="F266">
        <v>962.5</v>
      </c>
      <c r="G266">
        <f t="shared" si="46"/>
        <v>-1.9701621235255207E-3</v>
      </c>
      <c r="H266">
        <v>340.58511349999998</v>
      </c>
      <c r="I266">
        <f t="shared" si="47"/>
        <v>-6.0494906846191299E-3</v>
      </c>
      <c r="J266">
        <v>585.72497559999999</v>
      </c>
      <c r="K266">
        <f t="shared" si="48"/>
        <v>7.612227581058173E-3</v>
      </c>
      <c r="L266">
        <v>260.75</v>
      </c>
      <c r="M266">
        <f t="shared" si="49"/>
        <v>-4.5810732739488547E-3</v>
      </c>
      <c r="N266">
        <v>513</v>
      </c>
      <c r="O266">
        <f t="shared" si="50"/>
        <v>-5.621291457337696E-3</v>
      </c>
      <c r="P266">
        <v>182.5</v>
      </c>
      <c r="Q266">
        <f t="shared" si="51"/>
        <v>4.126547455295837E-3</v>
      </c>
      <c r="R266">
        <v>357.0499878</v>
      </c>
      <c r="S266">
        <f t="shared" si="52"/>
        <v>-3.7667581556285468E-3</v>
      </c>
      <c r="T266">
        <v>1469.099976</v>
      </c>
      <c r="U266">
        <f t="shared" si="53"/>
        <v>-1.4613587085811064E-3</v>
      </c>
      <c r="W266">
        <f t="shared" si="54"/>
        <v>3.6934787645397381E-4</v>
      </c>
      <c r="X266">
        <v>-8.1502162930451108E-3</v>
      </c>
    </row>
    <row r="267" spans="1:24" x14ac:dyDescent="0.35">
      <c r="A267" s="1">
        <v>43206</v>
      </c>
      <c r="B267">
        <v>856.77545169999996</v>
      </c>
      <c r="C267">
        <f t="shared" si="44"/>
        <v>-1.9172555106342637E-3</v>
      </c>
      <c r="D267">
        <v>1593.8249510000001</v>
      </c>
      <c r="E267">
        <f t="shared" si="45"/>
        <v>1.0893303357473627E-2</v>
      </c>
      <c r="F267">
        <v>971.04998780000005</v>
      </c>
      <c r="G267">
        <f t="shared" si="46"/>
        <v>8.8831042077923694E-3</v>
      </c>
      <c r="H267">
        <v>339.45855710000001</v>
      </c>
      <c r="I267">
        <f t="shared" si="47"/>
        <v>-3.3077088673165722E-3</v>
      </c>
      <c r="J267">
        <v>566.59997559999999</v>
      </c>
      <c r="K267">
        <f t="shared" si="48"/>
        <v>-3.2651843094805511E-2</v>
      </c>
      <c r="L267">
        <v>264.4500122</v>
      </c>
      <c r="M267">
        <f t="shared" si="49"/>
        <v>1.4189883796740244E-2</v>
      </c>
      <c r="N267">
        <v>519.40002440000001</v>
      </c>
      <c r="O267">
        <f t="shared" si="50"/>
        <v>1.2475681091618007E-2</v>
      </c>
      <c r="P267">
        <v>181.5</v>
      </c>
      <c r="Q267">
        <f t="shared" si="51"/>
        <v>-5.479452054794498E-3</v>
      </c>
      <c r="R267">
        <v>339.14999390000003</v>
      </c>
      <c r="S267">
        <f t="shared" si="52"/>
        <v>-5.0133019217540431E-2</v>
      </c>
      <c r="T267">
        <v>1481.400024</v>
      </c>
      <c r="U267">
        <f t="shared" si="53"/>
        <v>8.3725057524608459E-3</v>
      </c>
      <c r="W267">
        <f t="shared" si="54"/>
        <v>-3.8674800539006187E-3</v>
      </c>
      <c r="X267">
        <v>-8.1400612514866758E-3</v>
      </c>
    </row>
    <row r="268" spans="1:24" x14ac:dyDescent="0.35">
      <c r="A268" s="1">
        <v>43207</v>
      </c>
      <c r="B268">
        <v>863.35864260000005</v>
      </c>
      <c r="C268">
        <f t="shared" si="44"/>
        <v>7.6836829147448604E-3</v>
      </c>
      <c r="D268">
        <v>1583.3000489999999</v>
      </c>
      <c r="E268">
        <f t="shared" si="45"/>
        <v>-6.6035495261863586E-3</v>
      </c>
      <c r="F268">
        <v>974.25</v>
      </c>
      <c r="G268">
        <f t="shared" si="46"/>
        <v>3.2954144896801818E-3</v>
      </c>
      <c r="H268">
        <v>344.3253479</v>
      </c>
      <c r="I268">
        <f t="shared" si="47"/>
        <v>1.4336921836871852E-2</v>
      </c>
      <c r="J268">
        <v>562.59997559999999</v>
      </c>
      <c r="K268">
        <f t="shared" si="48"/>
        <v>-7.0596543809664514E-3</v>
      </c>
      <c r="L268">
        <v>267.60000609999997</v>
      </c>
      <c r="M268">
        <f t="shared" si="49"/>
        <v>1.1911490847720918E-2</v>
      </c>
      <c r="N268">
        <v>512.15002440000001</v>
      </c>
      <c r="O268">
        <f t="shared" si="50"/>
        <v>-1.395841289837263E-2</v>
      </c>
      <c r="P268">
        <v>180.8000031</v>
      </c>
      <c r="Q268">
        <f t="shared" si="51"/>
        <v>-3.8567322314049246E-3</v>
      </c>
      <c r="R268">
        <v>336.4500122</v>
      </c>
      <c r="S268">
        <f t="shared" si="52"/>
        <v>-7.9610253532722552E-3</v>
      </c>
      <c r="T268">
        <v>1506.8000489999999</v>
      </c>
      <c r="U268">
        <f t="shared" si="53"/>
        <v>1.7145959625014751E-2</v>
      </c>
      <c r="W268">
        <f t="shared" si="54"/>
        <v>1.4934095323829949E-3</v>
      </c>
      <c r="X268">
        <v>-8.1092316343107981E-3</v>
      </c>
    </row>
    <row r="269" spans="1:24" x14ac:dyDescent="0.35">
      <c r="A269" s="1">
        <v>43208</v>
      </c>
      <c r="B269">
        <v>857.64410399999997</v>
      </c>
      <c r="C269">
        <f t="shared" si="44"/>
        <v>-6.6189626396635504E-3</v>
      </c>
      <c r="D269">
        <v>1579.5500489999999</v>
      </c>
      <c r="E269">
        <f t="shared" si="45"/>
        <v>-2.3684708418776346E-3</v>
      </c>
      <c r="F269">
        <v>966.29998780000005</v>
      </c>
      <c r="G269">
        <f t="shared" si="46"/>
        <v>-8.1601356941236602E-3</v>
      </c>
      <c r="H269">
        <v>346.30810550000001</v>
      </c>
      <c r="I269">
        <f t="shared" si="47"/>
        <v>5.7583840750983217E-3</v>
      </c>
      <c r="J269">
        <v>562.97497559999999</v>
      </c>
      <c r="K269">
        <f t="shared" si="48"/>
        <v>6.6654819812250743E-4</v>
      </c>
      <c r="L269">
        <v>275.35000609999997</v>
      </c>
      <c r="M269">
        <f t="shared" si="49"/>
        <v>2.8961135363740897E-2</v>
      </c>
      <c r="N269">
        <v>512</v>
      </c>
      <c r="O269">
        <f t="shared" si="50"/>
        <v>-2.9293057278634294E-4</v>
      </c>
      <c r="P269">
        <v>182.1000061</v>
      </c>
      <c r="Q269">
        <f t="shared" si="51"/>
        <v>7.1902819563613996E-3</v>
      </c>
      <c r="R269">
        <v>334.7999878</v>
      </c>
      <c r="S269">
        <f t="shared" si="52"/>
        <v>-4.9042185768124469E-3</v>
      </c>
      <c r="T269">
        <v>1492.650024</v>
      </c>
      <c r="U269">
        <f t="shared" si="53"/>
        <v>-9.3907781655506728E-3</v>
      </c>
      <c r="W269">
        <f t="shared" si="54"/>
        <v>1.0840853102508821E-3</v>
      </c>
      <c r="X269">
        <v>-8.0808281586701829E-3</v>
      </c>
    </row>
    <row r="270" spans="1:24" x14ac:dyDescent="0.35">
      <c r="A270" s="1">
        <v>43209</v>
      </c>
      <c r="B270">
        <v>861.57574460000001</v>
      </c>
      <c r="C270">
        <f t="shared" si="44"/>
        <v>4.5842332287520104E-3</v>
      </c>
      <c r="D270">
        <v>1595.5749510000001</v>
      </c>
      <c r="E270">
        <f t="shared" si="45"/>
        <v>1.0145232188207842E-2</v>
      </c>
      <c r="F270">
        <v>969.5</v>
      </c>
      <c r="G270">
        <f t="shared" si="46"/>
        <v>3.3116136193744872E-3</v>
      </c>
      <c r="H270">
        <v>356.31207280000001</v>
      </c>
      <c r="I270">
        <f t="shared" si="47"/>
        <v>2.8887476617263319E-2</v>
      </c>
      <c r="J270">
        <v>566.42498780000005</v>
      </c>
      <c r="K270">
        <f t="shared" si="48"/>
        <v>6.1281803801724877E-3</v>
      </c>
      <c r="L270">
        <v>277.35000609999997</v>
      </c>
      <c r="M270">
        <f t="shared" si="49"/>
        <v>7.2634826791093676E-3</v>
      </c>
      <c r="N270">
        <v>509.2000122</v>
      </c>
      <c r="O270">
        <f t="shared" si="50"/>
        <v>-5.4687261718749935E-3</v>
      </c>
      <c r="P270">
        <v>183.9499969</v>
      </c>
      <c r="Q270">
        <f t="shared" si="51"/>
        <v>1.0159202295600522E-2</v>
      </c>
      <c r="R270">
        <v>334.25</v>
      </c>
      <c r="S270">
        <f t="shared" si="52"/>
        <v>-1.6427354242574133E-3</v>
      </c>
      <c r="T270">
        <v>1488.650024</v>
      </c>
      <c r="U270">
        <f t="shared" si="53"/>
        <v>-2.6797976321876193E-3</v>
      </c>
      <c r="W270">
        <f t="shared" si="54"/>
        <v>6.0688161780160016E-3</v>
      </c>
      <c r="X270">
        <v>-8.0637113783424974E-3</v>
      </c>
    </row>
    <row r="271" spans="1:24" x14ac:dyDescent="0.35">
      <c r="A271" s="1">
        <v>43210</v>
      </c>
      <c r="B271">
        <v>848.40930179999998</v>
      </c>
      <c r="C271">
        <f t="shared" si="44"/>
        <v>-1.5281816929645253E-2</v>
      </c>
      <c r="D271">
        <v>1701.224976</v>
      </c>
      <c r="E271">
        <f t="shared" si="45"/>
        <v>6.6214391830221153E-2</v>
      </c>
      <c r="F271">
        <v>977.95001219999995</v>
      </c>
      <c r="G271">
        <f t="shared" si="46"/>
        <v>8.715845487364593E-3</v>
      </c>
      <c r="H271">
        <v>362.3054199</v>
      </c>
      <c r="I271">
        <f t="shared" si="47"/>
        <v>1.6820499661722277E-2</v>
      </c>
      <c r="J271">
        <v>589.22497559999999</v>
      </c>
      <c r="K271">
        <f t="shared" si="48"/>
        <v>4.0252439936584228E-2</v>
      </c>
      <c r="L271">
        <v>276.2000122</v>
      </c>
      <c r="M271">
        <f t="shared" si="49"/>
        <v>-4.1463633485024909E-3</v>
      </c>
      <c r="N271">
        <v>505.2999878</v>
      </c>
      <c r="O271">
        <f t="shared" si="50"/>
        <v>-7.6591207905709613E-3</v>
      </c>
      <c r="P271">
        <v>182.3500061</v>
      </c>
      <c r="Q271">
        <f t="shared" si="51"/>
        <v>-8.6979658981445329E-3</v>
      </c>
      <c r="R271">
        <v>336</v>
      </c>
      <c r="S271">
        <f t="shared" si="52"/>
        <v>5.2356020942407877E-3</v>
      </c>
      <c r="T271">
        <v>1475.400024</v>
      </c>
      <c r="U271">
        <f t="shared" si="53"/>
        <v>-8.9006816823186119E-3</v>
      </c>
      <c r="W271">
        <f t="shared" si="54"/>
        <v>9.2552830360951178E-3</v>
      </c>
      <c r="X271">
        <v>-7.9881165997352632E-3</v>
      </c>
    </row>
    <row r="272" spans="1:24" x14ac:dyDescent="0.35">
      <c r="A272" s="1">
        <v>43213</v>
      </c>
      <c r="B272">
        <v>855.81542969999998</v>
      </c>
      <c r="C272">
        <f t="shared" si="44"/>
        <v>8.7294279827991872E-3</v>
      </c>
      <c r="D272">
        <v>1704.3249510000001</v>
      </c>
      <c r="E272">
        <f t="shared" si="45"/>
        <v>1.8222016745186309E-3</v>
      </c>
      <c r="F272">
        <v>967.875</v>
      </c>
      <c r="G272">
        <f t="shared" si="46"/>
        <v>-1.0302175033808925E-2</v>
      </c>
      <c r="H272">
        <v>363.0715027</v>
      </c>
      <c r="I272">
        <f t="shared" si="47"/>
        <v>2.1144668501271724E-3</v>
      </c>
      <c r="J272">
        <v>593.84997559999999</v>
      </c>
      <c r="K272">
        <f t="shared" si="48"/>
        <v>7.8492938886212116E-3</v>
      </c>
      <c r="L272">
        <v>275.5</v>
      </c>
      <c r="M272">
        <f t="shared" si="49"/>
        <v>-2.5344394246192836E-3</v>
      </c>
      <c r="N272">
        <v>514.25</v>
      </c>
      <c r="O272">
        <f t="shared" si="50"/>
        <v>1.7712274720145915E-2</v>
      </c>
      <c r="P272">
        <v>181.0500031</v>
      </c>
      <c r="Q272">
        <f t="shared" si="51"/>
        <v>-7.1291634577027585E-3</v>
      </c>
      <c r="R272">
        <v>334.0499878</v>
      </c>
      <c r="S272">
        <f t="shared" si="52"/>
        <v>-5.8036077380952955E-3</v>
      </c>
      <c r="T272">
        <v>1489.5</v>
      </c>
      <c r="U272">
        <f t="shared" si="53"/>
        <v>9.5567139559704639E-3</v>
      </c>
      <c r="W272">
        <f t="shared" si="54"/>
        <v>2.2014993417956322E-3</v>
      </c>
      <c r="X272">
        <v>-7.9878051168521536E-3</v>
      </c>
    </row>
    <row r="273" spans="1:24" x14ac:dyDescent="0.35">
      <c r="A273" s="1">
        <v>43214</v>
      </c>
      <c r="B273">
        <v>886.94842530000005</v>
      </c>
      <c r="C273">
        <f t="shared" si="44"/>
        <v>3.6378165804878737E-2</v>
      </c>
      <c r="D273">
        <v>1692.8249510000001</v>
      </c>
      <c r="E273">
        <f t="shared" si="45"/>
        <v>-6.7475395424168028E-3</v>
      </c>
      <c r="F273">
        <v>967.5</v>
      </c>
      <c r="G273">
        <f t="shared" si="46"/>
        <v>-3.8744672607515795E-4</v>
      </c>
      <c r="H273">
        <v>366.13577270000002</v>
      </c>
      <c r="I273">
        <f t="shared" si="47"/>
        <v>8.4398526935118845E-3</v>
      </c>
      <c r="J273">
        <v>577.25</v>
      </c>
      <c r="K273">
        <f t="shared" si="48"/>
        <v>-2.7953146892408465E-2</v>
      </c>
      <c r="L273">
        <v>276</v>
      </c>
      <c r="M273">
        <f t="shared" si="49"/>
        <v>1.814882032667775E-3</v>
      </c>
      <c r="N273">
        <v>517.79998780000005</v>
      </c>
      <c r="O273">
        <f t="shared" si="50"/>
        <v>6.9032334467671319E-3</v>
      </c>
      <c r="P273">
        <v>182.6499939</v>
      </c>
      <c r="Q273">
        <f t="shared" si="51"/>
        <v>8.8372867859951576E-3</v>
      </c>
      <c r="R273">
        <v>331.5499878</v>
      </c>
      <c r="S273">
        <f t="shared" si="52"/>
        <v>-7.4839098676955373E-3</v>
      </c>
      <c r="T273">
        <v>1475.75</v>
      </c>
      <c r="U273">
        <f t="shared" si="53"/>
        <v>-9.2312856663310239E-3</v>
      </c>
      <c r="W273">
        <f t="shared" si="54"/>
        <v>1.0570092068893692E-3</v>
      </c>
      <c r="X273">
        <v>-7.9804209353270053E-3</v>
      </c>
    </row>
    <row r="274" spans="1:24" x14ac:dyDescent="0.35">
      <c r="A274" s="1">
        <v>43215</v>
      </c>
      <c r="B274">
        <v>887.35992429999999</v>
      </c>
      <c r="C274">
        <f t="shared" si="44"/>
        <v>4.6394918606540436E-4</v>
      </c>
      <c r="D274">
        <v>1735.125</v>
      </c>
      <c r="E274">
        <f t="shared" si="45"/>
        <v>2.4987845893346572E-2</v>
      </c>
      <c r="F274">
        <v>960.375</v>
      </c>
      <c r="G274">
        <f t="shared" si="46"/>
        <v>-7.3643410852712865E-3</v>
      </c>
      <c r="H274">
        <v>378.39285280000001</v>
      </c>
      <c r="I274">
        <f t="shared" si="47"/>
        <v>3.3476871188008905E-2</v>
      </c>
      <c r="J274">
        <v>580.17498780000005</v>
      </c>
      <c r="K274">
        <f t="shared" si="48"/>
        <v>5.067107492421119E-3</v>
      </c>
      <c r="L274">
        <v>274.10000609999997</v>
      </c>
      <c r="M274">
        <f t="shared" si="49"/>
        <v>-6.8840358695653192E-3</v>
      </c>
      <c r="N274">
        <v>514.04998780000005</v>
      </c>
      <c r="O274">
        <f t="shared" si="50"/>
        <v>-7.2421786179115433E-3</v>
      </c>
      <c r="P274">
        <v>179.4499969</v>
      </c>
      <c r="Q274">
        <f t="shared" si="51"/>
        <v>-1.7519830861598473E-2</v>
      </c>
      <c r="R274">
        <v>328.60000609999997</v>
      </c>
      <c r="S274">
        <f t="shared" si="52"/>
        <v>-8.8975473037252728E-3</v>
      </c>
      <c r="T274">
        <v>1480.25</v>
      </c>
      <c r="U274">
        <f t="shared" si="53"/>
        <v>3.0492969676436665E-3</v>
      </c>
      <c r="W274">
        <f t="shared" si="54"/>
        <v>1.9137136989413781E-3</v>
      </c>
      <c r="X274">
        <v>-7.9717176231607918E-3</v>
      </c>
    </row>
    <row r="275" spans="1:24" x14ac:dyDescent="0.35">
      <c r="A275" s="1">
        <v>43216</v>
      </c>
      <c r="B275">
        <v>891.79443360000005</v>
      </c>
      <c r="C275">
        <f t="shared" si="44"/>
        <v>4.9974189486845511E-3</v>
      </c>
      <c r="D275">
        <v>1769.625</v>
      </c>
      <c r="E275">
        <f t="shared" si="45"/>
        <v>1.9883293710827754E-2</v>
      </c>
      <c r="F275">
        <v>965.125</v>
      </c>
      <c r="G275">
        <f t="shared" si="46"/>
        <v>4.9459846414161568E-3</v>
      </c>
      <c r="H275">
        <v>368.79446410000003</v>
      </c>
      <c r="I275">
        <f t="shared" si="47"/>
        <v>-2.5366199781456267E-2</v>
      </c>
      <c r="J275">
        <v>588.22497559999999</v>
      </c>
      <c r="K275">
        <f t="shared" si="48"/>
        <v>1.3875103148664136E-2</v>
      </c>
      <c r="L275">
        <v>278.25</v>
      </c>
      <c r="M275">
        <f t="shared" si="49"/>
        <v>1.5140437094649295E-2</v>
      </c>
      <c r="N275">
        <v>512.59997559999999</v>
      </c>
      <c r="O275">
        <f t="shared" si="50"/>
        <v>-2.8207610824109164E-3</v>
      </c>
      <c r="P275">
        <v>180.8000031</v>
      </c>
      <c r="Q275">
        <f t="shared" si="51"/>
        <v>7.5230215844044324E-3</v>
      </c>
      <c r="R275">
        <v>330.25</v>
      </c>
      <c r="S275">
        <f t="shared" si="52"/>
        <v>5.0212838386189951E-3</v>
      </c>
      <c r="T275">
        <v>1474.349976</v>
      </c>
      <c r="U275">
        <f t="shared" si="53"/>
        <v>-3.9858294207060219E-3</v>
      </c>
      <c r="W275">
        <f t="shared" si="54"/>
        <v>3.9213752682692128E-3</v>
      </c>
      <c r="X275">
        <v>-7.7968474097455439E-3</v>
      </c>
    </row>
    <row r="276" spans="1:24" x14ac:dyDescent="0.35">
      <c r="A276" s="1">
        <v>43217</v>
      </c>
      <c r="B276">
        <v>910.94970699999999</v>
      </c>
      <c r="C276">
        <f t="shared" si="44"/>
        <v>2.1479471813558915E-2</v>
      </c>
      <c r="D276">
        <v>1725.974976</v>
      </c>
      <c r="E276">
        <f t="shared" si="45"/>
        <v>-2.4666256410256437E-2</v>
      </c>
      <c r="F276">
        <v>961.70001219999995</v>
      </c>
      <c r="G276">
        <f t="shared" si="46"/>
        <v>-3.5487504727367281E-3</v>
      </c>
      <c r="H276">
        <v>368.38891599999999</v>
      </c>
      <c r="I276">
        <f t="shared" si="47"/>
        <v>-1.0996588600908908E-3</v>
      </c>
      <c r="J276">
        <v>592.59997559999999</v>
      </c>
      <c r="K276">
        <f t="shared" si="48"/>
        <v>7.4376304670460414E-3</v>
      </c>
      <c r="L276">
        <v>279.39999390000003</v>
      </c>
      <c r="M276">
        <f t="shared" si="49"/>
        <v>4.1329520215633853E-3</v>
      </c>
      <c r="N276">
        <v>524.15002440000001</v>
      </c>
      <c r="O276">
        <f t="shared" si="50"/>
        <v>2.2532285114685413E-2</v>
      </c>
      <c r="P276">
        <v>180.6999969</v>
      </c>
      <c r="Q276">
        <f t="shared" si="51"/>
        <v>-5.5313162768411139E-4</v>
      </c>
      <c r="R276">
        <v>336.89999390000003</v>
      </c>
      <c r="S276">
        <f t="shared" si="52"/>
        <v>2.0136241937925847E-2</v>
      </c>
      <c r="T276">
        <v>1483</v>
      </c>
      <c r="U276">
        <f t="shared" si="53"/>
        <v>5.867008607731039E-3</v>
      </c>
      <c r="W276">
        <f t="shared" si="54"/>
        <v>5.1717792591742468E-3</v>
      </c>
      <c r="X276">
        <v>-7.7960218900626869E-3</v>
      </c>
    </row>
    <row r="277" spans="1:24" x14ac:dyDescent="0.35">
      <c r="A277" s="1">
        <v>43220</v>
      </c>
      <c r="B277">
        <v>880.77673340000001</v>
      </c>
      <c r="C277">
        <f t="shared" si="44"/>
        <v>-3.3122546028767741E-2</v>
      </c>
      <c r="D277">
        <v>1766.0500489999999</v>
      </c>
      <c r="E277">
        <f t="shared" si="45"/>
        <v>2.3218803028578705E-2</v>
      </c>
      <c r="F277">
        <v>972.15002440000001</v>
      </c>
      <c r="G277">
        <f t="shared" si="46"/>
        <v>1.086618703070874E-2</v>
      </c>
      <c r="H277">
        <v>369.10992429999999</v>
      </c>
      <c r="I277">
        <f t="shared" si="47"/>
        <v>1.9571932506243783E-3</v>
      </c>
      <c r="J277">
        <v>599.75</v>
      </c>
      <c r="K277">
        <f t="shared" si="48"/>
        <v>1.206551585284954E-2</v>
      </c>
      <c r="L277">
        <v>281.4500122</v>
      </c>
      <c r="M277">
        <f t="shared" si="49"/>
        <v>7.3372166956227058E-3</v>
      </c>
      <c r="N277">
        <v>528.40002440000001</v>
      </c>
      <c r="O277">
        <f t="shared" si="50"/>
        <v>8.1083655483276118E-3</v>
      </c>
      <c r="P277">
        <v>180.5500031</v>
      </c>
      <c r="Q277">
        <f t="shared" si="51"/>
        <v>-8.3007084987951618E-4</v>
      </c>
      <c r="R277">
        <v>340.39999390000003</v>
      </c>
      <c r="S277">
        <f t="shared" si="52"/>
        <v>1.0388839606328082E-2</v>
      </c>
      <c r="T277">
        <v>1490.650024</v>
      </c>
      <c r="U277">
        <f t="shared" si="53"/>
        <v>5.1584787592717785E-3</v>
      </c>
      <c r="W277">
        <f t="shared" si="54"/>
        <v>4.5147982893664288E-3</v>
      </c>
      <c r="X277">
        <v>-7.7744544482889148E-3</v>
      </c>
    </row>
    <row r="278" spans="1:24" x14ac:dyDescent="0.35">
      <c r="A278" s="1">
        <v>43222</v>
      </c>
      <c r="B278">
        <v>889.37145999999996</v>
      </c>
      <c r="C278">
        <f t="shared" si="44"/>
        <v>9.7581217510394058E-3</v>
      </c>
      <c r="D278">
        <v>1749.875</v>
      </c>
      <c r="E278">
        <f t="shared" si="45"/>
        <v>-9.1588848284106517E-3</v>
      </c>
      <c r="F278">
        <v>984.75</v>
      </c>
      <c r="G278">
        <f t="shared" si="46"/>
        <v>1.296093739006654E-2</v>
      </c>
      <c r="H278">
        <v>368.11853029999997</v>
      </c>
      <c r="I278">
        <f t="shared" si="47"/>
        <v>-2.6859044819240729E-3</v>
      </c>
      <c r="J278">
        <v>598.52502440000001</v>
      </c>
      <c r="K278">
        <f t="shared" si="48"/>
        <v>-2.0424770320967012E-3</v>
      </c>
      <c r="L278">
        <v>287.25</v>
      </c>
      <c r="M278">
        <f t="shared" si="49"/>
        <v>2.0607523711452247E-2</v>
      </c>
      <c r="N278">
        <v>515.20001219999995</v>
      </c>
      <c r="O278">
        <f t="shared" si="50"/>
        <v>-2.4981096878238684E-2</v>
      </c>
      <c r="P278">
        <v>180.0500031</v>
      </c>
      <c r="Q278">
        <f t="shared" si="51"/>
        <v>-2.7693159314047255E-3</v>
      </c>
      <c r="R278">
        <v>336.0499878</v>
      </c>
      <c r="S278">
        <f t="shared" si="52"/>
        <v>-1.2779101580354113E-2</v>
      </c>
      <c r="T278">
        <v>1495.849976</v>
      </c>
      <c r="U278">
        <f t="shared" si="53"/>
        <v>3.4883788389485915E-3</v>
      </c>
      <c r="W278">
        <f t="shared" si="54"/>
        <v>-7.6018190409221653E-4</v>
      </c>
      <c r="X278">
        <v>-7.7715787319766359E-3</v>
      </c>
    </row>
    <row r="279" spans="1:24" x14ac:dyDescent="0.35">
      <c r="A279" s="1">
        <v>43223</v>
      </c>
      <c r="B279">
        <v>879.22235109999997</v>
      </c>
      <c r="C279">
        <f t="shared" si="44"/>
        <v>-1.1411552266361258E-2</v>
      </c>
      <c r="D279">
        <v>1740.9250489999999</v>
      </c>
      <c r="E279">
        <f t="shared" si="45"/>
        <v>-5.1146230445031637E-3</v>
      </c>
      <c r="F279">
        <v>983.95001219999995</v>
      </c>
      <c r="G279">
        <f t="shared" si="46"/>
        <v>-8.1237654226962164E-4</v>
      </c>
      <c r="H279">
        <v>364.46844479999999</v>
      </c>
      <c r="I279">
        <f t="shared" si="47"/>
        <v>-9.9155168772007141E-3</v>
      </c>
      <c r="J279">
        <v>591.27502440000001</v>
      </c>
      <c r="K279">
        <f t="shared" si="48"/>
        <v>-1.2113110905041746E-2</v>
      </c>
      <c r="L279">
        <v>285</v>
      </c>
      <c r="M279">
        <f t="shared" si="49"/>
        <v>-7.8328981723237989E-3</v>
      </c>
      <c r="N279">
        <v>536</v>
      </c>
      <c r="O279">
        <f t="shared" si="50"/>
        <v>4.0372646171300097E-2</v>
      </c>
      <c r="P279">
        <v>181.1000061</v>
      </c>
      <c r="Q279">
        <f t="shared" si="51"/>
        <v>5.8317299745718199E-3</v>
      </c>
      <c r="R279">
        <v>333.5</v>
      </c>
      <c r="S279">
        <f t="shared" si="52"/>
        <v>-7.5881204956853576E-3</v>
      </c>
      <c r="T279">
        <v>1492.3000489999999</v>
      </c>
      <c r="U279">
        <f t="shared" si="53"/>
        <v>-2.3731838466132249E-3</v>
      </c>
      <c r="W279">
        <f t="shared" si="54"/>
        <v>-1.0957006004126974E-3</v>
      </c>
      <c r="X279">
        <v>-7.7627693139970429E-3</v>
      </c>
    </row>
    <row r="280" spans="1:24" x14ac:dyDescent="0.35">
      <c r="A280" s="1">
        <v>43224</v>
      </c>
      <c r="B280">
        <v>872.22772220000002</v>
      </c>
      <c r="C280">
        <f t="shared" si="44"/>
        <v>-7.95547211834291E-3</v>
      </c>
      <c r="D280">
        <v>1740.375</v>
      </c>
      <c r="E280">
        <f t="shared" si="45"/>
        <v>-3.1595214298052454E-4</v>
      </c>
      <c r="F280">
        <v>994.25</v>
      </c>
      <c r="G280">
        <f t="shared" si="46"/>
        <v>1.0467999057157895E-2</v>
      </c>
      <c r="H280">
        <v>357.57382200000001</v>
      </c>
      <c r="I280">
        <f t="shared" si="47"/>
        <v>-1.8916926549796043E-2</v>
      </c>
      <c r="J280">
        <v>586.54998780000005</v>
      </c>
      <c r="K280">
        <f t="shared" si="48"/>
        <v>-7.9912670162158861E-3</v>
      </c>
      <c r="L280">
        <v>277.14999390000003</v>
      </c>
      <c r="M280">
        <f t="shared" si="49"/>
        <v>-2.7543881052631503E-2</v>
      </c>
      <c r="N280">
        <v>517.95001219999995</v>
      </c>
      <c r="O280">
        <f t="shared" si="50"/>
        <v>-3.3675350373134405E-2</v>
      </c>
      <c r="P280">
        <v>180.25</v>
      </c>
      <c r="Q280">
        <f t="shared" si="51"/>
        <v>-4.6935730059040059E-3</v>
      </c>
      <c r="R280">
        <v>334.39999390000003</v>
      </c>
      <c r="S280">
        <f t="shared" si="52"/>
        <v>2.698632383808075E-3</v>
      </c>
      <c r="T280">
        <v>1486.8000489999999</v>
      </c>
      <c r="U280">
        <f t="shared" si="53"/>
        <v>-3.6855858871582825E-3</v>
      </c>
      <c r="W280">
        <f t="shared" si="54"/>
        <v>-9.1611376705197593E-3</v>
      </c>
      <c r="X280">
        <v>-7.7507921082403458E-3</v>
      </c>
    </row>
    <row r="281" spans="1:24" x14ac:dyDescent="0.35">
      <c r="A281" s="1">
        <v>43227</v>
      </c>
      <c r="B281">
        <v>887.81707759999995</v>
      </c>
      <c r="C281">
        <f t="shared" si="44"/>
        <v>1.7873033616357947E-2</v>
      </c>
      <c r="D281">
        <v>1710.474976</v>
      </c>
      <c r="E281">
        <f t="shared" si="45"/>
        <v>-1.7180219205630953E-2</v>
      </c>
      <c r="F281">
        <v>988.70001219999995</v>
      </c>
      <c r="G281">
        <f t="shared" si="46"/>
        <v>-5.5820847875283075E-3</v>
      </c>
      <c r="H281">
        <v>358.9257202</v>
      </c>
      <c r="I281">
        <f t="shared" si="47"/>
        <v>3.7807527196440649E-3</v>
      </c>
      <c r="J281">
        <v>591.5</v>
      </c>
      <c r="K281">
        <f t="shared" si="48"/>
        <v>8.4391992207963895E-3</v>
      </c>
      <c r="L281">
        <v>282.25</v>
      </c>
      <c r="M281">
        <f t="shared" si="49"/>
        <v>1.8401610002705349E-2</v>
      </c>
      <c r="N281">
        <v>513.70001219999995</v>
      </c>
      <c r="O281">
        <f t="shared" si="50"/>
        <v>-8.2054250408221119E-3</v>
      </c>
      <c r="P281">
        <v>183.8999939</v>
      </c>
      <c r="Q281">
        <f t="shared" si="51"/>
        <v>2.0249619417475717E-2</v>
      </c>
      <c r="R281">
        <v>335.14999390000003</v>
      </c>
      <c r="S281">
        <f t="shared" si="52"/>
        <v>2.2428230074198474E-3</v>
      </c>
      <c r="T281">
        <v>1465</v>
      </c>
      <c r="U281">
        <f t="shared" si="53"/>
        <v>-1.4662394593450756E-2</v>
      </c>
      <c r="W281">
        <f t="shared" si="54"/>
        <v>2.5356914356967184E-3</v>
      </c>
      <c r="X281">
        <v>-7.7294678334960719E-3</v>
      </c>
    </row>
    <row r="282" spans="1:24" x14ac:dyDescent="0.35">
      <c r="A282" s="1">
        <v>43228</v>
      </c>
      <c r="B282">
        <v>884.25115970000002</v>
      </c>
      <c r="C282">
        <f t="shared" si="44"/>
        <v>-4.0165006846224482E-3</v>
      </c>
      <c r="D282">
        <v>1720.599976</v>
      </c>
      <c r="E282">
        <f t="shared" si="45"/>
        <v>5.919408434537754E-3</v>
      </c>
      <c r="F282">
        <v>983.52502440000001</v>
      </c>
      <c r="G282">
        <f t="shared" si="46"/>
        <v>-5.2341334440614284E-3</v>
      </c>
      <c r="H282">
        <v>361.53933719999998</v>
      </c>
      <c r="I282">
        <f t="shared" si="47"/>
        <v>7.2817768493815827E-3</v>
      </c>
      <c r="J282">
        <v>582.77502440000001</v>
      </c>
      <c r="K282">
        <f t="shared" si="48"/>
        <v>-1.4750592730346512E-2</v>
      </c>
      <c r="L282">
        <v>282.7000122</v>
      </c>
      <c r="M282">
        <f t="shared" si="49"/>
        <v>1.5943744906996571E-3</v>
      </c>
      <c r="N282">
        <v>511.4500122</v>
      </c>
      <c r="O282">
        <f t="shared" si="50"/>
        <v>-4.3799882160094894E-3</v>
      </c>
      <c r="P282">
        <v>183.1000061</v>
      </c>
      <c r="Q282">
        <f t="shared" si="51"/>
        <v>-4.3501241247185796E-3</v>
      </c>
      <c r="R282">
        <v>332.14999390000003</v>
      </c>
      <c r="S282">
        <f t="shared" si="52"/>
        <v>-8.9512160364088045E-3</v>
      </c>
      <c r="T282">
        <v>1467.150024</v>
      </c>
      <c r="U282">
        <f t="shared" si="53"/>
        <v>1.4675931740615322E-3</v>
      </c>
      <c r="W282">
        <f t="shared" si="54"/>
        <v>-2.5419402287486736E-3</v>
      </c>
      <c r="X282">
        <v>-7.6921152625125111E-3</v>
      </c>
    </row>
    <row r="283" spans="1:24" x14ac:dyDescent="0.35">
      <c r="A283" s="1">
        <v>43229</v>
      </c>
      <c r="B283">
        <v>893.02874759999997</v>
      </c>
      <c r="C283">
        <f t="shared" si="44"/>
        <v>9.9265777643740005E-3</v>
      </c>
      <c r="D283">
        <v>1744.650024</v>
      </c>
      <c r="E283">
        <f t="shared" si="45"/>
        <v>1.3977710296097401E-2</v>
      </c>
      <c r="F283">
        <v>989.20001219999995</v>
      </c>
      <c r="G283">
        <f t="shared" si="46"/>
        <v>5.770049220112039E-3</v>
      </c>
      <c r="H283">
        <v>362.71099850000002</v>
      </c>
      <c r="I283">
        <f t="shared" si="47"/>
        <v>3.2407574486199575E-3</v>
      </c>
      <c r="J283">
        <v>585.34997559999999</v>
      </c>
      <c r="K283">
        <f t="shared" si="48"/>
        <v>4.4184309419419421E-3</v>
      </c>
      <c r="L283">
        <v>282.2999878</v>
      </c>
      <c r="M283">
        <f t="shared" si="49"/>
        <v>-1.4150137344777214E-3</v>
      </c>
      <c r="N283">
        <v>506.14999390000003</v>
      </c>
      <c r="O283">
        <f t="shared" si="50"/>
        <v>-1.0362729833951811E-2</v>
      </c>
      <c r="P283">
        <v>182.8500061</v>
      </c>
      <c r="Q283">
        <f t="shared" si="51"/>
        <v>-1.3653740670191983E-3</v>
      </c>
      <c r="R283">
        <v>341.9500122</v>
      </c>
      <c r="S283">
        <f t="shared" si="52"/>
        <v>2.9504797470959687E-2</v>
      </c>
      <c r="T283">
        <v>1447.75</v>
      </c>
      <c r="U283">
        <f t="shared" si="53"/>
        <v>-1.3222931317622422E-2</v>
      </c>
      <c r="W283">
        <f t="shared" si="54"/>
        <v>4.0472274189033881E-3</v>
      </c>
      <c r="X283">
        <v>-7.6883793357602308E-3</v>
      </c>
    </row>
    <row r="284" spans="1:24" x14ac:dyDescent="0.35">
      <c r="A284" s="1">
        <v>43230</v>
      </c>
      <c r="B284">
        <v>897.09753420000004</v>
      </c>
      <c r="C284">
        <f t="shared" si="44"/>
        <v>4.5561653092744958E-3</v>
      </c>
      <c r="D284">
        <v>1725.625</v>
      </c>
      <c r="E284">
        <f t="shared" si="45"/>
        <v>-1.0904779605241943E-2</v>
      </c>
      <c r="F284">
        <v>996.34997559999999</v>
      </c>
      <c r="G284">
        <f t="shared" si="46"/>
        <v>7.2280259925374679E-3</v>
      </c>
      <c r="H284">
        <v>371.40811159999998</v>
      </c>
      <c r="I284">
        <f t="shared" si="47"/>
        <v>2.3978079341313352E-2</v>
      </c>
      <c r="J284">
        <v>584</v>
      </c>
      <c r="K284">
        <f t="shared" si="48"/>
        <v>-2.3062708743025739E-3</v>
      </c>
      <c r="L284">
        <v>280.14999390000003</v>
      </c>
      <c r="M284">
        <f t="shared" si="49"/>
        <v>-7.6159900563763649E-3</v>
      </c>
      <c r="N284">
        <v>497.2000122</v>
      </c>
      <c r="O284">
        <f t="shared" si="50"/>
        <v>-1.7682469244024612E-2</v>
      </c>
      <c r="P284">
        <v>188.25</v>
      </c>
      <c r="Q284">
        <f t="shared" si="51"/>
        <v>2.9532369263618019E-2</v>
      </c>
      <c r="R284">
        <v>333.60000609999997</v>
      </c>
      <c r="S284">
        <f t="shared" si="52"/>
        <v>-2.4418791642318416E-2</v>
      </c>
      <c r="T284">
        <v>1456.4499510000001</v>
      </c>
      <c r="U284">
        <f t="shared" si="53"/>
        <v>6.009290968744585E-3</v>
      </c>
      <c r="W284">
        <f t="shared" si="54"/>
        <v>8.3756294532240155E-4</v>
      </c>
      <c r="X284">
        <v>-7.6423678089589395E-3</v>
      </c>
    </row>
    <row r="285" spans="1:24" x14ac:dyDescent="0.35">
      <c r="A285" s="1">
        <v>43231</v>
      </c>
      <c r="B285">
        <v>904.50366210000004</v>
      </c>
      <c r="C285">
        <f t="shared" si="44"/>
        <v>8.2556551742218875E-3</v>
      </c>
      <c r="D285">
        <v>1728.474976</v>
      </c>
      <c r="E285">
        <f t="shared" si="45"/>
        <v>1.6515616081129725E-3</v>
      </c>
      <c r="F285">
        <v>1005.875</v>
      </c>
      <c r="G285">
        <f t="shared" si="46"/>
        <v>9.5599183351855466E-3</v>
      </c>
      <c r="H285">
        <v>348.42605589999999</v>
      </c>
      <c r="I285">
        <f t="shared" si="47"/>
        <v>-6.1878173853002094E-2</v>
      </c>
      <c r="J285">
        <v>590.375</v>
      </c>
      <c r="K285">
        <f t="shared" si="48"/>
        <v>1.0916095890410871E-2</v>
      </c>
      <c r="L285">
        <v>283.64999390000003</v>
      </c>
      <c r="M285">
        <f t="shared" si="49"/>
        <v>1.2493307428910194E-2</v>
      </c>
      <c r="N285">
        <v>472.0499878</v>
      </c>
      <c r="O285">
        <f t="shared" si="50"/>
        <v>-5.0583314124866385E-2</v>
      </c>
      <c r="P285">
        <v>187.5</v>
      </c>
      <c r="Q285">
        <f t="shared" si="51"/>
        <v>-3.9840637450199168E-3</v>
      </c>
      <c r="R285">
        <v>330.7999878</v>
      </c>
      <c r="S285">
        <f t="shared" si="52"/>
        <v>-8.393340074342337E-3</v>
      </c>
      <c r="T285">
        <v>1453.900024</v>
      </c>
      <c r="U285">
        <f t="shared" si="53"/>
        <v>-1.7507824407211325E-3</v>
      </c>
      <c r="W285">
        <f t="shared" si="54"/>
        <v>-8.3713135801110408E-3</v>
      </c>
      <c r="X285">
        <v>-7.631478293341265E-3</v>
      </c>
    </row>
    <row r="286" spans="1:24" x14ac:dyDescent="0.35">
      <c r="A286" s="1">
        <v>43234</v>
      </c>
      <c r="B286">
        <v>902.08062740000003</v>
      </c>
      <c r="C286">
        <f t="shared" si="44"/>
        <v>-2.6788555995167496E-3</v>
      </c>
      <c r="D286">
        <v>1716.775024</v>
      </c>
      <c r="E286">
        <f t="shared" si="45"/>
        <v>-6.7689449731437312E-3</v>
      </c>
      <c r="F286">
        <v>1010.875</v>
      </c>
      <c r="G286">
        <f t="shared" si="46"/>
        <v>4.9707965701504264E-3</v>
      </c>
      <c r="H286">
        <v>345.31671139999997</v>
      </c>
      <c r="I286">
        <f t="shared" si="47"/>
        <v>-8.923972381940426E-3</v>
      </c>
      <c r="J286">
        <v>594.65002440000001</v>
      </c>
      <c r="K286">
        <f t="shared" si="48"/>
        <v>7.2412016091467635E-3</v>
      </c>
      <c r="L286">
        <v>284.7999878</v>
      </c>
      <c r="M286">
        <f t="shared" si="49"/>
        <v>4.0542708434021524E-3</v>
      </c>
      <c r="N286">
        <v>473.7999878</v>
      </c>
      <c r="O286">
        <f t="shared" si="50"/>
        <v>3.7072344989477202E-3</v>
      </c>
      <c r="P286">
        <v>187.25</v>
      </c>
      <c r="Q286">
        <f t="shared" si="51"/>
        <v>-1.3333333333332975E-3</v>
      </c>
      <c r="R286">
        <v>323.60000609999997</v>
      </c>
      <c r="S286">
        <f t="shared" si="52"/>
        <v>-2.1765362652773401E-2</v>
      </c>
      <c r="T286">
        <v>1425.1999510000001</v>
      </c>
      <c r="U286">
        <f t="shared" si="53"/>
        <v>-1.9740059513198016E-2</v>
      </c>
      <c r="W286">
        <f t="shared" si="54"/>
        <v>-4.1237024932258559E-3</v>
      </c>
      <c r="X286">
        <v>-7.5851362160318514E-3</v>
      </c>
    </row>
    <row r="287" spans="1:24" x14ac:dyDescent="0.35">
      <c r="A287" s="1">
        <v>43235</v>
      </c>
      <c r="B287">
        <v>895.08599849999996</v>
      </c>
      <c r="C287">
        <f t="shared" si="44"/>
        <v>-7.7538843951899805E-3</v>
      </c>
      <c r="D287">
        <v>1741.1999510000001</v>
      </c>
      <c r="E287">
        <f t="shared" si="45"/>
        <v>1.4227214782686737E-2</v>
      </c>
      <c r="F287">
        <v>1018.900024</v>
      </c>
      <c r="G287">
        <f t="shared" si="46"/>
        <v>7.938690738221954E-3</v>
      </c>
      <c r="H287">
        <v>344.23519900000002</v>
      </c>
      <c r="I287">
        <f t="shared" si="47"/>
        <v>-3.131943413961169E-3</v>
      </c>
      <c r="J287">
        <v>597.27502440000001</v>
      </c>
      <c r="K287">
        <f t="shared" si="48"/>
        <v>4.4143612079199368E-3</v>
      </c>
      <c r="L287">
        <v>281.85000609999997</v>
      </c>
      <c r="M287">
        <f t="shared" si="49"/>
        <v>-1.0358082255507828E-2</v>
      </c>
      <c r="N287">
        <v>468.64999390000003</v>
      </c>
      <c r="O287">
        <f t="shared" si="50"/>
        <v>-1.0869552622643552E-2</v>
      </c>
      <c r="P287">
        <v>189</v>
      </c>
      <c r="Q287">
        <f t="shared" si="51"/>
        <v>9.3457943925232545E-3</v>
      </c>
      <c r="R287">
        <v>310.10000609999997</v>
      </c>
      <c r="S287">
        <f t="shared" si="52"/>
        <v>-4.1718169794558557E-2</v>
      </c>
      <c r="T287">
        <v>1485.4499510000001</v>
      </c>
      <c r="U287">
        <f t="shared" si="53"/>
        <v>4.2274769907005183E-2</v>
      </c>
      <c r="W287">
        <f t="shared" si="54"/>
        <v>4.3691985464959764E-4</v>
      </c>
      <c r="X287">
        <v>-7.5710388108379493E-3</v>
      </c>
    </row>
    <row r="288" spans="1:24" x14ac:dyDescent="0.35">
      <c r="A288" s="1">
        <v>43236</v>
      </c>
      <c r="B288">
        <v>874.23919679999995</v>
      </c>
      <c r="C288">
        <f t="shared" si="44"/>
        <v>-2.3290277956459438E-2</v>
      </c>
      <c r="D288">
        <v>1746.9499510000001</v>
      </c>
      <c r="E288">
        <f t="shared" si="45"/>
        <v>3.3023203318480743E-3</v>
      </c>
      <c r="F288">
        <v>1011.674988</v>
      </c>
      <c r="G288">
        <f t="shared" si="46"/>
        <v>-7.0910156343269026E-3</v>
      </c>
      <c r="H288">
        <v>338.2869263</v>
      </c>
      <c r="I288">
        <f t="shared" si="47"/>
        <v>-1.7279675981072495E-2</v>
      </c>
      <c r="J288">
        <v>594.97497559999999</v>
      </c>
      <c r="K288">
        <f t="shared" si="48"/>
        <v>-3.8509040325443999E-3</v>
      </c>
      <c r="L288">
        <v>285.85000609999997</v>
      </c>
      <c r="M288">
        <f t="shared" si="49"/>
        <v>1.4191945763452729E-2</v>
      </c>
      <c r="N288">
        <v>471.7000122</v>
      </c>
      <c r="O288">
        <f t="shared" si="50"/>
        <v>6.5080941847845963E-3</v>
      </c>
      <c r="P288">
        <v>186.1999969</v>
      </c>
      <c r="Q288">
        <f t="shared" si="51"/>
        <v>-1.4814831216931168E-2</v>
      </c>
      <c r="R288">
        <v>310.25</v>
      </c>
      <c r="S288">
        <f t="shared" si="52"/>
        <v>4.8369525007885272E-4</v>
      </c>
      <c r="T288">
        <v>1494.9499510000001</v>
      </c>
      <c r="U288">
        <f t="shared" si="53"/>
        <v>6.3953686178417346E-3</v>
      </c>
      <c r="W288">
        <f t="shared" si="54"/>
        <v>-3.544528067332841E-3</v>
      </c>
      <c r="X288">
        <v>-7.5691085830415289E-3</v>
      </c>
    </row>
    <row r="289" spans="1:24" x14ac:dyDescent="0.35">
      <c r="A289" s="1">
        <v>43237</v>
      </c>
      <c r="B289">
        <v>864.36444089999998</v>
      </c>
      <c r="C289">
        <f t="shared" si="44"/>
        <v>-1.1295256419690203E-2</v>
      </c>
      <c r="D289">
        <v>1745.900024</v>
      </c>
      <c r="E289">
        <f t="shared" si="45"/>
        <v>-6.0100576974120301E-4</v>
      </c>
      <c r="F289">
        <v>1013.875</v>
      </c>
      <c r="G289">
        <f t="shared" si="46"/>
        <v>2.1746232990786929E-3</v>
      </c>
      <c r="H289">
        <v>331.30218509999997</v>
      </c>
      <c r="I289">
        <f t="shared" si="47"/>
        <v>-2.0647387341850232E-2</v>
      </c>
      <c r="J289">
        <v>591.45001219999995</v>
      </c>
      <c r="K289">
        <f t="shared" si="48"/>
        <v>-5.9245574092343656E-3</v>
      </c>
      <c r="L289">
        <v>278.9500122</v>
      </c>
      <c r="M289">
        <f t="shared" si="49"/>
        <v>-2.4138512341280505E-2</v>
      </c>
      <c r="N289">
        <v>479.85000609999997</v>
      </c>
      <c r="O289">
        <f t="shared" si="50"/>
        <v>1.7277917509453733E-2</v>
      </c>
      <c r="P289">
        <v>188.6000061</v>
      </c>
      <c r="Q289">
        <f t="shared" si="51"/>
        <v>1.2889415896655043E-2</v>
      </c>
      <c r="R289">
        <v>314.89999390000003</v>
      </c>
      <c r="S289">
        <f t="shared" si="52"/>
        <v>1.4987893311845468E-2</v>
      </c>
      <c r="T289">
        <v>1495</v>
      </c>
      <c r="U289">
        <f t="shared" si="53"/>
        <v>3.3478712759826834E-5</v>
      </c>
      <c r="W289">
        <f t="shared" si="54"/>
        <v>-1.5243390552003749E-3</v>
      </c>
      <c r="X289">
        <v>-7.5664945226055049E-3</v>
      </c>
    </row>
    <row r="290" spans="1:24" x14ac:dyDescent="0.35">
      <c r="A290" s="1">
        <v>43238</v>
      </c>
      <c r="B290">
        <v>853.84960939999996</v>
      </c>
      <c r="C290">
        <f t="shared" si="44"/>
        <v>-1.2164812667503577E-2</v>
      </c>
      <c r="D290">
        <v>1751.025024</v>
      </c>
      <c r="E290">
        <f t="shared" si="45"/>
        <v>2.9354487253274719E-3</v>
      </c>
      <c r="F290">
        <v>1006.075012</v>
      </c>
      <c r="G290">
        <f t="shared" si="46"/>
        <v>-7.6932442362224185E-3</v>
      </c>
      <c r="H290">
        <v>325.66931149999999</v>
      </c>
      <c r="I290">
        <f t="shared" si="47"/>
        <v>-1.7002222905048936E-2</v>
      </c>
      <c r="J290">
        <v>591.59997559999999</v>
      </c>
      <c r="K290">
        <f t="shared" si="48"/>
        <v>2.5355211244693088E-4</v>
      </c>
      <c r="L290">
        <v>282.2999878</v>
      </c>
      <c r="M290">
        <f t="shared" si="49"/>
        <v>1.2009232670684211E-2</v>
      </c>
      <c r="N290">
        <v>464.89999390000003</v>
      </c>
      <c r="O290">
        <f t="shared" si="50"/>
        <v>-3.11555944773384E-2</v>
      </c>
      <c r="P290">
        <v>185.0500031</v>
      </c>
      <c r="Q290">
        <f t="shared" si="51"/>
        <v>-1.8822920918240671E-2</v>
      </c>
      <c r="R290">
        <v>304.60000609999997</v>
      </c>
      <c r="S290">
        <f t="shared" si="52"/>
        <v>-3.2708758334466403E-2</v>
      </c>
      <c r="T290">
        <v>1417.1999510000001</v>
      </c>
      <c r="U290">
        <f t="shared" si="53"/>
        <v>-5.2040166555183953E-2</v>
      </c>
      <c r="W290">
        <f t="shared" si="54"/>
        <v>-1.5638948658554575E-2</v>
      </c>
      <c r="X290">
        <v>-7.5550969115632093E-3</v>
      </c>
    </row>
    <row r="291" spans="1:24" x14ac:dyDescent="0.35">
      <c r="A291" s="1">
        <v>43241</v>
      </c>
      <c r="B291">
        <v>851.56378170000005</v>
      </c>
      <c r="C291">
        <f t="shared" si="44"/>
        <v>-2.6770846702222073E-3</v>
      </c>
      <c r="D291">
        <v>1778.375</v>
      </c>
      <c r="E291">
        <f t="shared" si="45"/>
        <v>1.5619408989097305E-2</v>
      </c>
      <c r="F291">
        <v>996.52502440000001</v>
      </c>
      <c r="G291">
        <f t="shared" si="46"/>
        <v>-9.4923216321767256E-3</v>
      </c>
      <c r="H291">
        <v>324.45260619999999</v>
      </c>
      <c r="I291">
        <f t="shared" si="47"/>
        <v>-3.7360145922131771E-3</v>
      </c>
      <c r="J291">
        <v>589.75</v>
      </c>
      <c r="K291">
        <f t="shared" si="48"/>
        <v>-3.1270717990204977E-3</v>
      </c>
      <c r="L291">
        <v>282.35000609999997</v>
      </c>
      <c r="M291">
        <f t="shared" si="49"/>
        <v>1.7718137499667108E-4</v>
      </c>
      <c r="N291">
        <v>443.75</v>
      </c>
      <c r="O291">
        <f t="shared" si="50"/>
        <v>-4.5493642025190906E-2</v>
      </c>
      <c r="P291">
        <v>185.75</v>
      </c>
      <c r="Q291">
        <f t="shared" si="51"/>
        <v>3.7827446002349774E-3</v>
      </c>
      <c r="R291">
        <v>295.89999390000003</v>
      </c>
      <c r="S291">
        <f t="shared" si="52"/>
        <v>-2.8562088068848412E-2</v>
      </c>
      <c r="T291">
        <v>1345.4499510000001</v>
      </c>
      <c r="U291">
        <f t="shared" si="53"/>
        <v>-5.0628000621487423E-2</v>
      </c>
      <c r="W291">
        <f t="shared" si="54"/>
        <v>-1.2413688844483042E-2</v>
      </c>
      <c r="X291">
        <v>-7.5516249145225374E-3</v>
      </c>
    </row>
    <row r="292" spans="1:24" x14ac:dyDescent="0.35">
      <c r="A292" s="1">
        <v>43242</v>
      </c>
      <c r="B292">
        <v>847.35784909999995</v>
      </c>
      <c r="C292">
        <f t="shared" si="44"/>
        <v>-4.9390693808086805E-3</v>
      </c>
      <c r="D292">
        <v>1754.4499510000001</v>
      </c>
      <c r="E292">
        <f t="shared" si="45"/>
        <v>-1.3453320587615059E-2</v>
      </c>
      <c r="F292">
        <v>994.95001219999995</v>
      </c>
      <c r="G292">
        <f t="shared" si="46"/>
        <v>-1.5805044142753744E-3</v>
      </c>
      <c r="H292">
        <v>326.11993410000002</v>
      </c>
      <c r="I292">
        <f t="shared" si="47"/>
        <v>5.1388950747779383E-3</v>
      </c>
      <c r="J292">
        <v>596.92498780000005</v>
      </c>
      <c r="K292">
        <f t="shared" si="48"/>
        <v>1.2166151420093252E-2</v>
      </c>
      <c r="L292">
        <v>278.75</v>
      </c>
      <c r="M292">
        <f t="shared" si="49"/>
        <v>-1.2750154142815773E-2</v>
      </c>
      <c r="N292">
        <v>453</v>
      </c>
      <c r="O292">
        <f t="shared" si="50"/>
        <v>2.0845070422535139E-2</v>
      </c>
      <c r="P292">
        <v>185.1999969</v>
      </c>
      <c r="Q292">
        <f t="shared" si="51"/>
        <v>-2.9609857335127776E-3</v>
      </c>
      <c r="R292">
        <v>307.7000122</v>
      </c>
      <c r="S292">
        <f t="shared" si="52"/>
        <v>3.9878399943420906E-2</v>
      </c>
      <c r="T292">
        <v>1380.5500489999999</v>
      </c>
      <c r="U292">
        <f t="shared" si="53"/>
        <v>2.6087999760906699E-2</v>
      </c>
      <c r="W292">
        <f t="shared" si="54"/>
        <v>6.8432482362706269E-3</v>
      </c>
      <c r="X292">
        <v>-7.5468222247198078E-3</v>
      </c>
    </row>
    <row r="293" spans="1:24" x14ac:dyDescent="0.35">
      <c r="A293" s="1">
        <v>43243</v>
      </c>
      <c r="B293">
        <v>834.10003659999995</v>
      </c>
      <c r="C293">
        <f t="shared" si="44"/>
        <v>-1.5646060886886803E-2</v>
      </c>
      <c r="D293">
        <v>1747.5500489999999</v>
      </c>
      <c r="E293">
        <f t="shared" si="45"/>
        <v>-3.9328007026175893E-3</v>
      </c>
      <c r="F293">
        <v>983.75</v>
      </c>
      <c r="G293">
        <f t="shared" si="46"/>
        <v>-1.125685920163455E-2</v>
      </c>
      <c r="H293">
        <v>321.56860349999999</v>
      </c>
      <c r="I293">
        <f t="shared" si="47"/>
        <v>-1.395600245216666E-2</v>
      </c>
      <c r="J293">
        <v>592.45001219999995</v>
      </c>
      <c r="K293">
        <f t="shared" si="48"/>
        <v>-7.4967134756628306E-3</v>
      </c>
      <c r="L293">
        <v>273.4500122</v>
      </c>
      <c r="M293">
        <f t="shared" si="49"/>
        <v>-1.9013409147981997E-2</v>
      </c>
      <c r="N293">
        <v>452.25</v>
      </c>
      <c r="O293">
        <f t="shared" si="50"/>
        <v>-1.6556291390728006E-3</v>
      </c>
      <c r="P293">
        <v>175.3999939</v>
      </c>
      <c r="Q293">
        <f t="shared" si="51"/>
        <v>-5.2915783823104356E-2</v>
      </c>
      <c r="R293">
        <v>309.4500122</v>
      </c>
      <c r="S293">
        <f t="shared" si="52"/>
        <v>5.6873575905564966E-3</v>
      </c>
      <c r="T293">
        <v>1358.75</v>
      </c>
      <c r="U293">
        <f t="shared" si="53"/>
        <v>-1.5790842943934402E-2</v>
      </c>
      <c r="W293">
        <f t="shared" si="54"/>
        <v>-1.3597674418250551E-2</v>
      </c>
      <c r="X293">
        <v>-7.483373958431871E-3</v>
      </c>
    </row>
    <row r="294" spans="1:24" x14ac:dyDescent="0.35">
      <c r="A294" s="1">
        <v>43244</v>
      </c>
      <c r="B294">
        <v>837.39160159999994</v>
      </c>
      <c r="C294">
        <f t="shared" si="44"/>
        <v>3.9462472791840231E-3</v>
      </c>
      <c r="D294">
        <v>1801.849976</v>
      </c>
      <c r="E294">
        <f t="shared" si="45"/>
        <v>3.1072029685829117E-2</v>
      </c>
      <c r="F294">
        <v>993</v>
      </c>
      <c r="G294">
        <f t="shared" si="46"/>
        <v>9.402795425667021E-3</v>
      </c>
      <c r="H294">
        <v>335.17758179999998</v>
      </c>
      <c r="I294">
        <f t="shared" si="47"/>
        <v>4.2320606402110883E-2</v>
      </c>
      <c r="J294">
        <v>610.5</v>
      </c>
      <c r="K294">
        <f t="shared" si="48"/>
        <v>3.0466684831304658E-2</v>
      </c>
      <c r="L294">
        <v>274.85000609999997</v>
      </c>
      <c r="M294">
        <f t="shared" si="49"/>
        <v>5.1197434175866974E-3</v>
      </c>
      <c r="N294">
        <v>462.85000609999997</v>
      </c>
      <c r="O294">
        <f t="shared" si="50"/>
        <v>2.3438377224986207E-2</v>
      </c>
      <c r="P294">
        <v>167.6999969</v>
      </c>
      <c r="Q294">
        <f t="shared" si="51"/>
        <v>-4.3899642347707046E-2</v>
      </c>
      <c r="R294">
        <v>288.64999390000003</v>
      </c>
      <c r="S294">
        <f t="shared" si="52"/>
        <v>-6.7216084924749508E-2</v>
      </c>
      <c r="T294">
        <v>1409.900024</v>
      </c>
      <c r="U294">
        <f t="shared" si="53"/>
        <v>3.7644911867525277E-2</v>
      </c>
      <c r="W294">
        <f t="shared" si="54"/>
        <v>7.2295668861737331E-3</v>
      </c>
      <c r="X294">
        <v>-7.4559221655487893E-3</v>
      </c>
    </row>
    <row r="295" spans="1:24" x14ac:dyDescent="0.35">
      <c r="A295" s="1">
        <v>43245</v>
      </c>
      <c r="B295">
        <v>841.91754149999997</v>
      </c>
      <c r="C295">
        <f t="shared" si="44"/>
        <v>5.4048068924412718E-3</v>
      </c>
      <c r="D295">
        <v>1792.900024</v>
      </c>
      <c r="E295">
        <f t="shared" si="45"/>
        <v>-4.9670905564892509E-3</v>
      </c>
      <c r="F295">
        <v>1004.349976</v>
      </c>
      <c r="G295">
        <f t="shared" si="46"/>
        <v>1.142998590130917E-2</v>
      </c>
      <c r="H295">
        <v>339.72891240000001</v>
      </c>
      <c r="I295">
        <f t="shared" si="47"/>
        <v>1.357886340595349E-2</v>
      </c>
      <c r="J295">
        <v>614.15002440000001</v>
      </c>
      <c r="K295">
        <f t="shared" si="48"/>
        <v>5.9787459459459402E-3</v>
      </c>
      <c r="L295">
        <v>272.2999878</v>
      </c>
      <c r="M295">
        <f t="shared" si="49"/>
        <v>-9.2778542601603675E-3</v>
      </c>
      <c r="N295">
        <v>466.4500122</v>
      </c>
      <c r="O295">
        <f t="shared" si="50"/>
        <v>7.7779108837738864E-3</v>
      </c>
      <c r="P295">
        <v>175.4499969</v>
      </c>
      <c r="Q295">
        <f t="shared" si="51"/>
        <v>4.621347730030867E-2</v>
      </c>
      <c r="R295">
        <v>294.14999390000003</v>
      </c>
      <c r="S295">
        <f t="shared" si="52"/>
        <v>1.9054218313634852E-2</v>
      </c>
      <c r="T295">
        <v>1497.5500489999999</v>
      </c>
      <c r="U295">
        <f t="shared" si="53"/>
        <v>6.2167546285537112E-2</v>
      </c>
      <c r="W295">
        <f t="shared" si="54"/>
        <v>1.5736061011225478E-2</v>
      </c>
      <c r="X295">
        <v>-7.4437441358726538E-3</v>
      </c>
    </row>
    <row r="296" spans="1:24" x14ac:dyDescent="0.35">
      <c r="A296" s="1">
        <v>43248</v>
      </c>
      <c r="B296">
        <v>841.55181879999998</v>
      </c>
      <c r="C296">
        <f t="shared" si="44"/>
        <v>-4.3439254080446243E-4</v>
      </c>
      <c r="D296">
        <v>1751.025024</v>
      </c>
      <c r="E296">
        <f t="shared" si="45"/>
        <v>-2.3356015081407611E-2</v>
      </c>
      <c r="F296">
        <v>1021.099976</v>
      </c>
      <c r="G296">
        <f t="shared" si="46"/>
        <v>1.6677453477631277E-2</v>
      </c>
      <c r="H296">
        <v>338.10665890000001</v>
      </c>
      <c r="I296">
        <f t="shared" si="47"/>
        <v>-4.7751411221955697E-3</v>
      </c>
      <c r="J296">
        <v>607.20001219999995</v>
      </c>
      <c r="K296">
        <f t="shared" si="48"/>
        <v>-1.131647305035921E-2</v>
      </c>
      <c r="L296">
        <v>275.2999878</v>
      </c>
      <c r="M296">
        <f t="shared" si="49"/>
        <v>1.1017260868198875E-2</v>
      </c>
      <c r="N296">
        <v>499.7000122</v>
      </c>
      <c r="O296">
        <f t="shared" si="50"/>
        <v>7.1283093858604873E-2</v>
      </c>
      <c r="P296">
        <v>175.6000061</v>
      </c>
      <c r="Q296">
        <f t="shared" si="51"/>
        <v>8.5499688031065446E-4</v>
      </c>
      <c r="R296">
        <v>296.2999878</v>
      </c>
      <c r="S296">
        <f t="shared" si="52"/>
        <v>7.3091754022980293E-3</v>
      </c>
      <c r="T296">
        <v>1528.900024</v>
      </c>
      <c r="U296">
        <f t="shared" si="53"/>
        <v>2.0934175135538302E-2</v>
      </c>
      <c r="W296">
        <f t="shared" si="54"/>
        <v>8.8194133827815165E-3</v>
      </c>
      <c r="X296">
        <v>-7.4289148727104352E-3</v>
      </c>
    </row>
    <row r="297" spans="1:24" x14ac:dyDescent="0.35">
      <c r="A297" s="1">
        <v>43249</v>
      </c>
      <c r="B297">
        <v>838.85455320000005</v>
      </c>
      <c r="C297">
        <f t="shared" si="44"/>
        <v>-3.2051093464999791E-3</v>
      </c>
      <c r="D297">
        <v>1761.75</v>
      </c>
      <c r="E297">
        <f t="shared" si="45"/>
        <v>6.124970147771025E-3</v>
      </c>
      <c r="F297">
        <v>1016.299988</v>
      </c>
      <c r="G297">
        <f t="shared" si="46"/>
        <v>-4.7008012073442851E-3</v>
      </c>
      <c r="H297">
        <v>341.71170039999998</v>
      </c>
      <c r="I297">
        <f t="shared" si="47"/>
        <v>1.0662438627291992E-2</v>
      </c>
      <c r="J297">
        <v>608.34997559999999</v>
      </c>
      <c r="K297">
        <f t="shared" si="48"/>
        <v>1.8938790792073501E-3</v>
      </c>
      <c r="L297">
        <v>274.0499878</v>
      </c>
      <c r="M297">
        <f t="shared" si="49"/>
        <v>-4.540501472554026E-3</v>
      </c>
      <c r="N297">
        <v>499.5</v>
      </c>
      <c r="O297">
        <f t="shared" si="50"/>
        <v>-4.0026454896291419E-4</v>
      </c>
      <c r="P297">
        <v>175.5500031</v>
      </c>
      <c r="Q297">
        <f t="shared" si="51"/>
        <v>-2.8475511539294285E-4</v>
      </c>
      <c r="R297">
        <v>294.64999390000003</v>
      </c>
      <c r="S297">
        <f t="shared" si="52"/>
        <v>-5.5686600335390635E-3</v>
      </c>
      <c r="T297">
        <v>1544.0500489999999</v>
      </c>
      <c r="U297">
        <f t="shared" si="53"/>
        <v>9.9091011591219136E-3</v>
      </c>
      <c r="W297">
        <f t="shared" si="54"/>
        <v>9.8902972890990704E-4</v>
      </c>
      <c r="X297">
        <v>-7.4151104841102891E-3</v>
      </c>
    </row>
    <row r="298" spans="1:24" x14ac:dyDescent="0.35">
      <c r="A298" s="1">
        <v>43250</v>
      </c>
      <c r="B298">
        <v>837.62017820000005</v>
      </c>
      <c r="C298">
        <f t="shared" si="44"/>
        <v>-1.471500625813138E-3</v>
      </c>
      <c r="D298">
        <v>1757.0500489999999</v>
      </c>
      <c r="E298">
        <f t="shared" si="45"/>
        <v>-2.667774088264574E-3</v>
      </c>
      <c r="F298">
        <v>1024.1750489999999</v>
      </c>
      <c r="G298">
        <f t="shared" si="46"/>
        <v>7.7487563642477664E-3</v>
      </c>
      <c r="H298">
        <v>338.69247439999998</v>
      </c>
      <c r="I298">
        <f t="shared" si="47"/>
        <v>-8.8355944395985819E-3</v>
      </c>
      <c r="J298">
        <v>605.84997559999999</v>
      </c>
      <c r="K298">
        <f t="shared" si="48"/>
        <v>-4.1094766175248099E-3</v>
      </c>
      <c r="L298">
        <v>271.89999390000003</v>
      </c>
      <c r="M298">
        <f t="shared" si="49"/>
        <v>-7.8452617978914674E-3</v>
      </c>
      <c r="N298">
        <v>494.5499878</v>
      </c>
      <c r="O298">
        <f t="shared" si="50"/>
        <v>-9.9099343343342916E-3</v>
      </c>
      <c r="P298">
        <v>174</v>
      </c>
      <c r="Q298">
        <f t="shared" si="51"/>
        <v>-8.8294108381020697E-3</v>
      </c>
      <c r="R298">
        <v>288.89999390000003</v>
      </c>
      <c r="S298">
        <f t="shared" si="52"/>
        <v>-1.9514678836041188E-2</v>
      </c>
      <c r="T298">
        <v>1565.9499510000001</v>
      </c>
      <c r="U298">
        <f t="shared" si="53"/>
        <v>1.4183414594742816E-2</v>
      </c>
      <c r="W298">
        <f t="shared" si="54"/>
        <v>-4.1251460618579542E-3</v>
      </c>
      <c r="X298">
        <v>-7.3929616934252816E-3</v>
      </c>
    </row>
    <row r="299" spans="1:24" x14ac:dyDescent="0.35">
      <c r="A299" s="1">
        <v>43251</v>
      </c>
      <c r="B299">
        <v>842.42047119999995</v>
      </c>
      <c r="C299">
        <f t="shared" si="44"/>
        <v>5.7308707752425914E-3</v>
      </c>
      <c r="D299">
        <v>1741.0500489999999</v>
      </c>
      <c r="E299">
        <f t="shared" si="45"/>
        <v>-9.1061720234469901E-3</v>
      </c>
      <c r="F299">
        <v>1069.724976</v>
      </c>
      <c r="G299">
        <f t="shared" si="46"/>
        <v>4.4474747792845326E-2</v>
      </c>
      <c r="H299">
        <v>336.70971680000002</v>
      </c>
      <c r="I299">
        <f t="shared" si="47"/>
        <v>-5.8541531030840144E-3</v>
      </c>
      <c r="J299">
        <v>615.90002440000001</v>
      </c>
      <c r="K299">
        <f t="shared" si="48"/>
        <v>1.6588345637956081E-2</v>
      </c>
      <c r="L299">
        <v>271.64999390000003</v>
      </c>
      <c r="M299">
        <f t="shared" si="49"/>
        <v>-9.1945570286389167E-4</v>
      </c>
      <c r="N299">
        <v>480.35000609999997</v>
      </c>
      <c r="O299">
        <f t="shared" si="50"/>
        <v>-2.871293509311057E-2</v>
      </c>
      <c r="P299">
        <v>177.8999939</v>
      </c>
      <c r="Q299">
        <f t="shared" si="51"/>
        <v>2.2413758045976895E-2</v>
      </c>
      <c r="R299">
        <v>282.5</v>
      </c>
      <c r="S299">
        <f t="shared" si="52"/>
        <v>-2.2152973468789083E-2</v>
      </c>
      <c r="T299">
        <v>1572.150024</v>
      </c>
      <c r="U299">
        <f t="shared" si="53"/>
        <v>3.9593046993875447E-3</v>
      </c>
      <c r="W299">
        <f t="shared" si="54"/>
        <v>2.6421337560113898E-3</v>
      </c>
      <c r="X299">
        <v>-7.3778760664809035E-3</v>
      </c>
    </row>
    <row r="300" spans="1:24" x14ac:dyDescent="0.35">
      <c r="A300" s="1">
        <v>43252</v>
      </c>
      <c r="B300">
        <v>850.83233640000003</v>
      </c>
      <c r="C300">
        <f t="shared" si="44"/>
        <v>9.9853523122694909E-3</v>
      </c>
      <c r="D300">
        <v>1732.4499510000001</v>
      </c>
      <c r="E300">
        <f t="shared" si="45"/>
        <v>-4.9396041227760534E-3</v>
      </c>
      <c r="F300">
        <v>1055.3000489999999</v>
      </c>
      <c r="G300">
        <f t="shared" si="46"/>
        <v>-1.3484706184891393E-2</v>
      </c>
      <c r="H300">
        <v>345.81240839999998</v>
      </c>
      <c r="I300">
        <f t="shared" si="47"/>
        <v>2.703424090789408E-2</v>
      </c>
      <c r="J300">
        <v>610.40002440000001</v>
      </c>
      <c r="K300">
        <f t="shared" si="48"/>
        <v>-8.9300207535435439E-3</v>
      </c>
      <c r="L300">
        <v>269.9500122</v>
      </c>
      <c r="M300">
        <f t="shared" si="49"/>
        <v>-6.257985415695666E-3</v>
      </c>
      <c r="N300">
        <v>484.35000609999997</v>
      </c>
      <c r="O300">
        <f t="shared" si="50"/>
        <v>8.3272612661677847E-3</v>
      </c>
      <c r="P300">
        <v>173.1999969</v>
      </c>
      <c r="Q300">
        <f t="shared" si="51"/>
        <v>-2.6419320748498287E-2</v>
      </c>
      <c r="R300">
        <v>287.2000122</v>
      </c>
      <c r="S300">
        <f t="shared" si="52"/>
        <v>1.6637211327433565E-2</v>
      </c>
      <c r="T300">
        <v>1531.099976</v>
      </c>
      <c r="U300">
        <f t="shared" si="53"/>
        <v>-2.6110770202170008E-2</v>
      </c>
      <c r="W300">
        <f t="shared" si="54"/>
        <v>-2.4158341613810036E-3</v>
      </c>
      <c r="X300">
        <v>-7.3690661288153391E-3</v>
      </c>
    </row>
    <row r="301" spans="1:24" x14ac:dyDescent="0.35">
      <c r="A301" s="1">
        <v>43255</v>
      </c>
      <c r="B301">
        <v>860.24993900000004</v>
      </c>
      <c r="C301">
        <f t="shared" si="44"/>
        <v>1.106869379206632E-2</v>
      </c>
      <c r="D301">
        <v>1744.25</v>
      </c>
      <c r="E301">
        <f t="shared" si="45"/>
        <v>6.8111918576283514E-3</v>
      </c>
      <c r="F301">
        <v>1023.099976</v>
      </c>
      <c r="G301">
        <f t="shared" si="46"/>
        <v>-3.0512718189023791E-2</v>
      </c>
      <c r="H301">
        <v>335.5380859</v>
      </c>
      <c r="I301">
        <f t="shared" si="47"/>
        <v>-2.9710682006863443E-2</v>
      </c>
      <c r="J301">
        <v>619.70001219999995</v>
      </c>
      <c r="K301">
        <f t="shared" si="48"/>
        <v>1.5235890282182529E-2</v>
      </c>
      <c r="L301">
        <v>268.89999390000003</v>
      </c>
      <c r="M301">
        <f t="shared" si="49"/>
        <v>-3.8896768014295979E-3</v>
      </c>
      <c r="N301">
        <v>478.60000609999997</v>
      </c>
      <c r="O301">
        <f t="shared" si="50"/>
        <v>-1.1871580319156361E-2</v>
      </c>
      <c r="P301">
        <v>171.1000061</v>
      </c>
      <c r="Q301">
        <f t="shared" si="51"/>
        <v>-1.2124658415626155E-2</v>
      </c>
      <c r="R301">
        <v>286.64999390000003</v>
      </c>
      <c r="S301">
        <f t="shared" si="52"/>
        <v>-1.9151054200406969E-3</v>
      </c>
      <c r="T301">
        <v>1486.400024</v>
      </c>
      <c r="U301">
        <f t="shared" si="53"/>
        <v>-2.9194665730959413E-2</v>
      </c>
      <c r="W301">
        <f t="shared" si="54"/>
        <v>-8.6103310951222284E-3</v>
      </c>
      <c r="X301">
        <v>-7.2803028588818829E-3</v>
      </c>
    </row>
    <row r="302" spans="1:24" x14ac:dyDescent="0.35">
      <c r="A302" s="1">
        <v>43256</v>
      </c>
      <c r="B302">
        <v>866.46740720000003</v>
      </c>
      <c r="C302">
        <f t="shared" si="44"/>
        <v>7.2275136772779192E-3</v>
      </c>
      <c r="D302">
        <v>1721.599976</v>
      </c>
      <c r="E302">
        <f t="shared" si="45"/>
        <v>-1.2985537623620536E-2</v>
      </c>
      <c r="F302">
        <v>1031.8000489999999</v>
      </c>
      <c r="G302">
        <f t="shared" si="46"/>
        <v>8.5036391399544442E-3</v>
      </c>
      <c r="H302">
        <v>328.32803339999998</v>
      </c>
      <c r="I302">
        <f t="shared" si="47"/>
        <v>-2.1488030131246671E-2</v>
      </c>
      <c r="J302">
        <v>610.42498780000005</v>
      </c>
      <c r="K302">
        <f t="shared" si="48"/>
        <v>-1.4966958556403065E-2</v>
      </c>
      <c r="L302">
        <v>267.5</v>
      </c>
      <c r="M302">
        <f t="shared" si="49"/>
        <v>-5.2063738629933853E-3</v>
      </c>
      <c r="N302">
        <v>473.5</v>
      </c>
      <c r="O302">
        <f t="shared" si="50"/>
        <v>-1.0656092843706277E-2</v>
      </c>
      <c r="P302">
        <v>171.1999969</v>
      </c>
      <c r="Q302">
        <f t="shared" si="51"/>
        <v>5.8439974538382344E-4</v>
      </c>
      <c r="R302">
        <v>284.9500122</v>
      </c>
      <c r="S302">
        <f t="shared" si="52"/>
        <v>-5.9305136444310902E-3</v>
      </c>
      <c r="T302">
        <v>1453.75</v>
      </c>
      <c r="U302">
        <f t="shared" si="53"/>
        <v>-2.1965839257817477E-2</v>
      </c>
      <c r="W302">
        <f t="shared" si="54"/>
        <v>-7.6883793357602308E-3</v>
      </c>
      <c r="X302">
        <v>-7.2747204632780515E-3</v>
      </c>
    </row>
    <row r="303" spans="1:24" x14ac:dyDescent="0.35">
      <c r="A303" s="1">
        <v>43257</v>
      </c>
      <c r="B303">
        <v>872.63916019999999</v>
      </c>
      <c r="C303">
        <f t="shared" si="44"/>
        <v>7.1228911194063382E-3</v>
      </c>
      <c r="D303">
        <v>1725.75</v>
      </c>
      <c r="E303">
        <f t="shared" si="45"/>
        <v>2.4105623012624644E-3</v>
      </c>
      <c r="F303">
        <v>1028.6750489999999</v>
      </c>
      <c r="G303">
        <f t="shared" si="46"/>
        <v>-3.0286875863484441E-3</v>
      </c>
      <c r="H303">
        <v>342.25244140000001</v>
      </c>
      <c r="I303">
        <f t="shared" si="47"/>
        <v>4.2410049047002962E-2</v>
      </c>
      <c r="J303">
        <v>618.72497559999999</v>
      </c>
      <c r="K303">
        <f t="shared" si="48"/>
        <v>1.3597064284529781E-2</v>
      </c>
      <c r="L303">
        <v>270.39999390000003</v>
      </c>
      <c r="M303">
        <f t="shared" si="49"/>
        <v>1.084109869158878E-2</v>
      </c>
      <c r="N303">
        <v>489.85000609999997</v>
      </c>
      <c r="O303">
        <f t="shared" si="50"/>
        <v>3.4530107919746422E-2</v>
      </c>
      <c r="P303">
        <v>170.3000031</v>
      </c>
      <c r="Q303">
        <f t="shared" si="51"/>
        <v>-5.2569732260316915E-3</v>
      </c>
      <c r="R303">
        <v>295.64999390000003</v>
      </c>
      <c r="S303">
        <f t="shared" si="52"/>
        <v>3.755038161742541E-2</v>
      </c>
      <c r="T303">
        <v>1519.5500489999999</v>
      </c>
      <c r="U303">
        <f t="shared" si="53"/>
        <v>4.526228650042996E-2</v>
      </c>
      <c r="W303">
        <f t="shared" si="54"/>
        <v>1.85438780669012E-2</v>
      </c>
      <c r="X303">
        <v>-7.2651166132180487E-3</v>
      </c>
    </row>
    <row r="304" spans="1:24" x14ac:dyDescent="0.35">
      <c r="A304" s="1">
        <v>43258</v>
      </c>
      <c r="B304">
        <v>888.13708499999996</v>
      </c>
      <c r="C304">
        <f t="shared" si="44"/>
        <v>1.7759831906292156E-2</v>
      </c>
      <c r="D304">
        <v>1735.5500489999999</v>
      </c>
      <c r="E304">
        <f t="shared" si="45"/>
        <v>5.6787188179052706E-3</v>
      </c>
      <c r="F304">
        <v>1031.099976</v>
      </c>
      <c r="G304">
        <f t="shared" si="46"/>
        <v>2.3573304342876522E-3</v>
      </c>
      <c r="H304">
        <v>342.43270869999998</v>
      </c>
      <c r="I304">
        <f t="shared" si="47"/>
        <v>5.2670858756354022E-4</v>
      </c>
      <c r="J304">
        <v>626.22497559999999</v>
      </c>
      <c r="K304">
        <f t="shared" si="48"/>
        <v>1.2121702364975562E-2</v>
      </c>
      <c r="L304">
        <v>271.0499878</v>
      </c>
      <c r="M304">
        <f t="shared" si="49"/>
        <v>2.403823648902792E-3</v>
      </c>
      <c r="N304">
        <v>488.75</v>
      </c>
      <c r="O304">
        <f t="shared" si="50"/>
        <v>-2.2455978081082906E-3</v>
      </c>
      <c r="P304">
        <v>172.6499939</v>
      </c>
      <c r="Q304">
        <f t="shared" si="51"/>
        <v>1.3799123647813882E-2</v>
      </c>
      <c r="R304">
        <v>305.39999390000003</v>
      </c>
      <c r="S304">
        <f t="shared" si="52"/>
        <v>3.297818434353772E-2</v>
      </c>
      <c r="T304">
        <v>1555.5500489999999</v>
      </c>
      <c r="U304">
        <f t="shared" si="53"/>
        <v>2.3691223611681078E-2</v>
      </c>
      <c r="W304">
        <f t="shared" si="54"/>
        <v>1.0907104955485136E-2</v>
      </c>
      <c r="X304">
        <v>-7.2523731401228485E-3</v>
      </c>
    </row>
    <row r="305" spans="1:24" x14ac:dyDescent="0.35">
      <c r="A305" s="1">
        <v>43259</v>
      </c>
      <c r="B305">
        <v>900.0234375</v>
      </c>
      <c r="C305">
        <f t="shared" si="44"/>
        <v>1.3383466022027557E-2</v>
      </c>
      <c r="D305">
        <v>1747.099976</v>
      </c>
      <c r="E305">
        <f t="shared" si="45"/>
        <v>6.6549086306413319E-3</v>
      </c>
      <c r="F305">
        <v>1024.6750489999999</v>
      </c>
      <c r="G305">
        <f t="shared" si="46"/>
        <v>-6.2311387348922276E-3</v>
      </c>
      <c r="H305">
        <v>340.2696838</v>
      </c>
      <c r="I305">
        <f t="shared" si="47"/>
        <v>-6.3166422045709547E-3</v>
      </c>
      <c r="J305">
        <v>630.02502440000001</v>
      </c>
      <c r="K305">
        <f t="shared" si="48"/>
        <v>6.0681846749390811E-3</v>
      </c>
      <c r="L305">
        <v>267.89999390000003</v>
      </c>
      <c r="M305">
        <f t="shared" si="49"/>
        <v>-1.1621450071136907E-2</v>
      </c>
      <c r="N305">
        <v>528.25</v>
      </c>
      <c r="O305">
        <f t="shared" si="50"/>
        <v>8.0818414322250565E-2</v>
      </c>
      <c r="P305">
        <v>173.6999969</v>
      </c>
      <c r="Q305">
        <f t="shared" si="51"/>
        <v>6.0816857057530704E-3</v>
      </c>
      <c r="R305">
        <v>309.9500122</v>
      </c>
      <c r="S305">
        <f t="shared" si="52"/>
        <v>1.489855399764628E-2</v>
      </c>
      <c r="T305">
        <v>1593.5500489999999</v>
      </c>
      <c r="U305">
        <f t="shared" si="53"/>
        <v>2.4428657904275397E-2</v>
      </c>
      <c r="W305">
        <f t="shared" si="54"/>
        <v>1.281646402469332E-2</v>
      </c>
      <c r="X305">
        <v>-7.2431442969618457E-3</v>
      </c>
    </row>
    <row r="306" spans="1:24" x14ac:dyDescent="0.35">
      <c r="A306" s="1">
        <v>43262</v>
      </c>
      <c r="B306">
        <v>898.46905519999996</v>
      </c>
      <c r="C306">
        <f t="shared" si="44"/>
        <v>-1.7270464692760168E-3</v>
      </c>
      <c r="D306">
        <v>1749.6999510000001</v>
      </c>
      <c r="E306">
        <f t="shared" si="45"/>
        <v>1.4881661242722721E-3</v>
      </c>
      <c r="F306">
        <v>1021.150024</v>
      </c>
      <c r="G306">
        <f t="shared" si="46"/>
        <v>-3.4401393919369916E-3</v>
      </c>
      <c r="H306">
        <v>350.40881350000001</v>
      </c>
      <c r="I306">
        <f t="shared" si="47"/>
        <v>2.9797334827981636E-2</v>
      </c>
      <c r="J306">
        <v>631.20001219999995</v>
      </c>
      <c r="K306">
        <f t="shared" si="48"/>
        <v>1.8649859203909713E-3</v>
      </c>
      <c r="L306">
        <v>269.25</v>
      </c>
      <c r="M306">
        <f t="shared" si="49"/>
        <v>5.0392166134347605E-3</v>
      </c>
      <c r="N306">
        <v>535.70001219999995</v>
      </c>
      <c r="O306">
        <f t="shared" si="50"/>
        <v>1.4103193942262005E-2</v>
      </c>
      <c r="P306">
        <v>173.3000031</v>
      </c>
      <c r="Q306">
        <f t="shared" si="51"/>
        <v>-2.3027853030433976E-3</v>
      </c>
      <c r="R306">
        <v>309.75</v>
      </c>
      <c r="S306">
        <f t="shared" si="52"/>
        <v>-6.4530470116885841E-4</v>
      </c>
      <c r="T306">
        <v>1594.400024</v>
      </c>
      <c r="U306">
        <f t="shared" si="53"/>
        <v>5.3338456519358424E-4</v>
      </c>
      <c r="W306">
        <f t="shared" si="54"/>
        <v>4.4711006128109968E-3</v>
      </c>
      <c r="X306">
        <v>-7.1954428321439846E-3</v>
      </c>
    </row>
    <row r="307" spans="1:24" x14ac:dyDescent="0.35">
      <c r="A307" s="1">
        <v>43263</v>
      </c>
      <c r="B307">
        <v>911.72686769999996</v>
      </c>
      <c r="C307">
        <f t="shared" si="44"/>
        <v>1.4756003474208468E-2</v>
      </c>
      <c r="D307">
        <v>1781</v>
      </c>
      <c r="E307">
        <f t="shared" si="45"/>
        <v>1.7888809439647657E-2</v>
      </c>
      <c r="F307">
        <v>1021.924988</v>
      </c>
      <c r="G307">
        <f t="shared" si="46"/>
        <v>7.5891297241947875E-4</v>
      </c>
      <c r="H307">
        <v>343.0635681</v>
      </c>
      <c r="I307">
        <f t="shared" si="47"/>
        <v>-2.0961931084533147E-2</v>
      </c>
      <c r="J307">
        <v>629.25</v>
      </c>
      <c r="K307">
        <f t="shared" si="48"/>
        <v>-3.0893728807186438E-3</v>
      </c>
      <c r="L307">
        <v>270.25</v>
      </c>
      <c r="M307">
        <f t="shared" si="49"/>
        <v>3.7140204271124411E-3</v>
      </c>
      <c r="N307">
        <v>540.45001219999995</v>
      </c>
      <c r="O307">
        <f t="shared" si="50"/>
        <v>8.8669029154821999E-3</v>
      </c>
      <c r="P307">
        <v>171.3999939</v>
      </c>
      <c r="Q307">
        <f t="shared" si="51"/>
        <v>-1.096369974617728E-2</v>
      </c>
      <c r="R307">
        <v>307.7999878</v>
      </c>
      <c r="S307">
        <f t="shared" si="52"/>
        <v>-6.2954389023406332E-3</v>
      </c>
      <c r="T307">
        <v>1607.9499510000001</v>
      </c>
      <c r="U307">
        <f t="shared" si="53"/>
        <v>8.4984488183876827E-3</v>
      </c>
      <c r="W307">
        <f t="shared" si="54"/>
        <v>1.3172655433488223E-3</v>
      </c>
      <c r="X307">
        <v>-7.1868425781652983E-3</v>
      </c>
    </row>
    <row r="308" spans="1:24" x14ac:dyDescent="0.35">
      <c r="A308" s="1">
        <v>43264</v>
      </c>
      <c r="B308">
        <v>916.61853029999997</v>
      </c>
      <c r="C308">
        <f t="shared" si="44"/>
        <v>5.3652719617007794E-3</v>
      </c>
      <c r="D308">
        <v>1824.099976</v>
      </c>
      <c r="E308">
        <f t="shared" si="45"/>
        <v>2.4199874227961882E-2</v>
      </c>
      <c r="F308">
        <v>1015.724976</v>
      </c>
      <c r="G308">
        <f t="shared" si="46"/>
        <v>-6.0669932458878861E-3</v>
      </c>
      <c r="H308">
        <v>338.55728149999999</v>
      </c>
      <c r="I308">
        <f t="shared" si="47"/>
        <v>-1.3135427422262702E-2</v>
      </c>
      <c r="J308">
        <v>637.40002440000001</v>
      </c>
      <c r="K308">
        <f t="shared" si="48"/>
        <v>1.2951965673420718E-2</v>
      </c>
      <c r="L308">
        <v>267.85000609999997</v>
      </c>
      <c r="M308">
        <f t="shared" si="49"/>
        <v>-8.8806434782610078E-3</v>
      </c>
      <c r="N308">
        <v>546.29998780000005</v>
      </c>
      <c r="O308">
        <f t="shared" si="50"/>
        <v>1.0824267680533017E-2</v>
      </c>
      <c r="P308">
        <v>170</v>
      </c>
      <c r="Q308">
        <f t="shared" si="51"/>
        <v>-8.1679927060953617E-3</v>
      </c>
      <c r="R308">
        <v>308.39999390000003</v>
      </c>
      <c r="S308">
        <f t="shared" si="52"/>
        <v>1.949337634119308E-3</v>
      </c>
      <c r="T308">
        <v>1595.849976</v>
      </c>
      <c r="U308">
        <f t="shared" si="53"/>
        <v>-7.5250942931868181E-3</v>
      </c>
      <c r="W308">
        <f t="shared" si="54"/>
        <v>1.151456603204194E-3</v>
      </c>
      <c r="X308">
        <v>-7.1741866215332961E-3</v>
      </c>
    </row>
    <row r="309" spans="1:24" x14ac:dyDescent="0.35">
      <c r="A309" s="1">
        <v>43265</v>
      </c>
      <c r="B309">
        <v>921.6016846</v>
      </c>
      <c r="C309">
        <f t="shared" si="44"/>
        <v>5.4364538085096559E-3</v>
      </c>
      <c r="D309">
        <v>1787.5500489999999</v>
      </c>
      <c r="E309">
        <f t="shared" si="45"/>
        <v>-2.0037238901866039E-2</v>
      </c>
      <c r="F309">
        <v>1018.700012</v>
      </c>
      <c r="G309">
        <f t="shared" si="46"/>
        <v>2.9289778929291188E-3</v>
      </c>
      <c r="H309">
        <v>339.32336429999998</v>
      </c>
      <c r="I309">
        <f t="shared" si="47"/>
        <v>2.2627863639672618E-3</v>
      </c>
      <c r="J309">
        <v>619.84997559999999</v>
      </c>
      <c r="K309">
        <f t="shared" si="48"/>
        <v>-2.7533806288319917E-2</v>
      </c>
      <c r="L309">
        <v>267.25</v>
      </c>
      <c r="M309">
        <f t="shared" si="49"/>
        <v>-2.2400824578513445E-3</v>
      </c>
      <c r="N309">
        <v>559.25</v>
      </c>
      <c r="O309">
        <f t="shared" si="50"/>
        <v>2.3704946895845236E-2</v>
      </c>
      <c r="P309">
        <v>168.5</v>
      </c>
      <c r="Q309">
        <f t="shared" si="51"/>
        <v>-8.8235294117646745E-3</v>
      </c>
      <c r="R309">
        <v>305.89999390000003</v>
      </c>
      <c r="S309">
        <f t="shared" si="52"/>
        <v>-8.1063555429596867E-3</v>
      </c>
      <c r="T309">
        <v>1568.5</v>
      </c>
      <c r="U309">
        <f t="shared" si="53"/>
        <v>-1.7138187430721263E-2</v>
      </c>
      <c r="W309">
        <f t="shared" si="54"/>
        <v>-4.9546035072231646E-3</v>
      </c>
      <c r="X309">
        <v>-7.1665206574495835E-3</v>
      </c>
    </row>
    <row r="310" spans="1:24" x14ac:dyDescent="0.35">
      <c r="A310" s="1">
        <v>43266</v>
      </c>
      <c r="B310">
        <v>927.3162231</v>
      </c>
      <c r="C310">
        <f t="shared" si="44"/>
        <v>6.200659781215867E-3</v>
      </c>
      <c r="D310">
        <v>1840.0500489999999</v>
      </c>
      <c r="E310">
        <f t="shared" si="45"/>
        <v>2.9369807032463058E-2</v>
      </c>
      <c r="F310">
        <v>1014.799988</v>
      </c>
      <c r="G310">
        <f t="shared" si="46"/>
        <v>-3.8284322705987028E-3</v>
      </c>
      <c r="H310">
        <v>340.9005737</v>
      </c>
      <c r="I310">
        <f t="shared" si="47"/>
        <v>4.6481013862800236E-3</v>
      </c>
      <c r="J310">
        <v>640.625</v>
      </c>
      <c r="K310">
        <f t="shared" si="48"/>
        <v>3.3516213951432894E-2</v>
      </c>
      <c r="L310">
        <v>264.5</v>
      </c>
      <c r="M310">
        <f t="shared" si="49"/>
        <v>-1.0289990645463098E-2</v>
      </c>
      <c r="N310">
        <v>571.29998780000005</v>
      </c>
      <c r="O310">
        <f t="shared" si="50"/>
        <v>2.1546692534644807E-2</v>
      </c>
      <c r="P310">
        <v>165.4499969</v>
      </c>
      <c r="Q310">
        <f t="shared" si="51"/>
        <v>-1.8100908605341193E-2</v>
      </c>
      <c r="R310">
        <v>302.9500122</v>
      </c>
      <c r="S310">
        <f t="shared" si="52"/>
        <v>-9.6436147722329668E-3</v>
      </c>
      <c r="T310">
        <v>1535.349976</v>
      </c>
      <c r="U310">
        <f t="shared" si="53"/>
        <v>-2.1134857507172478E-2</v>
      </c>
      <c r="W310">
        <f t="shared" si="54"/>
        <v>3.2283670885228195E-3</v>
      </c>
      <c r="X310">
        <v>-7.1622503225179934E-3</v>
      </c>
    </row>
    <row r="311" spans="1:24" x14ac:dyDescent="0.35">
      <c r="A311" s="1">
        <v>43269</v>
      </c>
      <c r="B311">
        <v>928.5505981</v>
      </c>
      <c r="C311">
        <f t="shared" si="44"/>
        <v>1.3311262859971862E-3</v>
      </c>
      <c r="D311">
        <v>1829</v>
      </c>
      <c r="E311">
        <f t="shared" si="45"/>
        <v>-6.0052980656722932E-3</v>
      </c>
      <c r="F311">
        <v>1009.575012</v>
      </c>
      <c r="G311">
        <f t="shared" si="46"/>
        <v>-5.1487742035724038E-3</v>
      </c>
      <c r="H311">
        <v>334.27630620000002</v>
      </c>
      <c r="I311">
        <f t="shared" si="47"/>
        <v>-1.9431670143886248E-2</v>
      </c>
      <c r="J311">
        <v>633.70001219999995</v>
      </c>
      <c r="K311">
        <f t="shared" si="48"/>
        <v>-1.0809737053658619E-2</v>
      </c>
      <c r="L311">
        <v>264.5499878</v>
      </c>
      <c r="M311">
        <f t="shared" si="49"/>
        <v>1.8898979206039002E-4</v>
      </c>
      <c r="N311">
        <v>570.09997559999999</v>
      </c>
      <c r="O311">
        <f t="shared" si="50"/>
        <v>-2.100494005996989E-3</v>
      </c>
      <c r="P311">
        <v>164.6000061</v>
      </c>
      <c r="Q311">
        <f t="shared" si="51"/>
        <v>-5.1374482679122924E-3</v>
      </c>
      <c r="R311">
        <v>308.7999878</v>
      </c>
      <c r="S311">
        <f t="shared" si="52"/>
        <v>1.9310035862081465E-2</v>
      </c>
      <c r="T311">
        <v>1523.650024</v>
      </c>
      <c r="U311">
        <f t="shared" si="53"/>
        <v>-7.6203811397330679E-3</v>
      </c>
      <c r="W311">
        <f t="shared" si="54"/>
        <v>-3.5423650940292865E-3</v>
      </c>
      <c r="X311">
        <v>-7.1078786513115392E-3</v>
      </c>
    </row>
    <row r="312" spans="1:24" x14ac:dyDescent="0.35">
      <c r="A312" s="1">
        <v>43270</v>
      </c>
      <c r="B312">
        <v>910.72113039999999</v>
      </c>
      <c r="C312">
        <f t="shared" si="44"/>
        <v>-1.9201395956755296E-2</v>
      </c>
      <c r="D312">
        <v>1824.5</v>
      </c>
      <c r="E312">
        <f t="shared" si="45"/>
        <v>-2.4603608529251142E-3</v>
      </c>
      <c r="F312">
        <v>1011.75</v>
      </c>
      <c r="G312">
        <f t="shared" si="46"/>
        <v>2.1543599773643507E-3</v>
      </c>
      <c r="H312">
        <v>334.54669189999998</v>
      </c>
      <c r="I312">
        <f t="shared" si="47"/>
        <v>8.0886887579212363E-4</v>
      </c>
      <c r="J312">
        <v>620.79998780000005</v>
      </c>
      <c r="K312">
        <f t="shared" si="48"/>
        <v>-2.0356673744119425E-2</v>
      </c>
      <c r="L312">
        <v>266.0499878</v>
      </c>
      <c r="M312">
        <f t="shared" si="49"/>
        <v>5.6700059314840345E-3</v>
      </c>
      <c r="N312">
        <v>559.95001219999995</v>
      </c>
      <c r="O312">
        <f t="shared" si="50"/>
        <v>-1.7803830616406779E-2</v>
      </c>
      <c r="P312">
        <v>164.8000031</v>
      </c>
      <c r="Q312">
        <f t="shared" si="51"/>
        <v>1.2150485576440939E-3</v>
      </c>
      <c r="R312">
        <v>305.0499878</v>
      </c>
      <c r="S312">
        <f t="shared" si="52"/>
        <v>-1.2143782863193509E-2</v>
      </c>
      <c r="T312">
        <v>1485.0500489999999</v>
      </c>
      <c r="U312">
        <f t="shared" si="53"/>
        <v>-2.5333885335862449E-2</v>
      </c>
      <c r="W312">
        <f t="shared" si="54"/>
        <v>-8.7451646026977976E-3</v>
      </c>
      <c r="X312">
        <v>-7.0950292888065543E-3</v>
      </c>
    </row>
    <row r="313" spans="1:24" x14ac:dyDescent="0.35">
      <c r="A313" s="1">
        <v>43271</v>
      </c>
      <c r="B313">
        <v>931.93359380000004</v>
      </c>
      <c r="C313">
        <f t="shared" si="44"/>
        <v>2.3291941618487799E-2</v>
      </c>
      <c r="D313">
        <v>1822.4499510000001</v>
      </c>
      <c r="E313">
        <f t="shared" si="45"/>
        <v>-1.1236223622910213E-3</v>
      </c>
      <c r="F313">
        <v>1028.0749510000001</v>
      </c>
      <c r="G313">
        <f t="shared" si="46"/>
        <v>1.6135360513960917E-2</v>
      </c>
      <c r="H313">
        <v>335.17758179999998</v>
      </c>
      <c r="I313">
        <f t="shared" si="47"/>
        <v>1.8858052262211711E-3</v>
      </c>
      <c r="J313">
        <v>621.57501219999995</v>
      </c>
      <c r="K313">
        <f t="shared" si="48"/>
        <v>1.2484285039153775E-3</v>
      </c>
      <c r="L313">
        <v>263.75</v>
      </c>
      <c r="M313">
        <f t="shared" si="49"/>
        <v>-8.6449460833240011E-3</v>
      </c>
      <c r="N313">
        <v>564.09997559999999</v>
      </c>
      <c r="O313">
        <f t="shared" si="50"/>
        <v>7.4113104912618688E-3</v>
      </c>
      <c r="P313">
        <v>162.75</v>
      </c>
      <c r="Q313">
        <f t="shared" si="51"/>
        <v>-1.2439338965036684E-2</v>
      </c>
      <c r="R313">
        <v>305.60000609999997</v>
      </c>
      <c r="S313">
        <f t="shared" si="52"/>
        <v>1.8030431797970703E-3</v>
      </c>
      <c r="T313">
        <v>1483.75</v>
      </c>
      <c r="U313">
        <f t="shared" si="53"/>
        <v>-8.7542436759979747E-4</v>
      </c>
      <c r="W313">
        <f t="shared" si="54"/>
        <v>2.8692557755392706E-3</v>
      </c>
      <c r="X313">
        <v>-7.0865521642469063E-3</v>
      </c>
    </row>
    <row r="314" spans="1:24" x14ac:dyDescent="0.35">
      <c r="A314" s="1">
        <v>43272</v>
      </c>
      <c r="B314">
        <v>943.54565430000002</v>
      </c>
      <c r="C314">
        <f t="shared" si="44"/>
        <v>1.2460180185855707E-2</v>
      </c>
      <c r="D314">
        <v>1819.349976</v>
      </c>
      <c r="E314">
        <f t="shared" si="45"/>
        <v>-1.7009932142713069E-3</v>
      </c>
      <c r="F314">
        <v>1028.8000489999999</v>
      </c>
      <c r="G314">
        <f t="shared" si="46"/>
        <v>7.0529682616493616E-4</v>
      </c>
      <c r="H314">
        <v>332.29354860000001</v>
      </c>
      <c r="I314">
        <f t="shared" si="47"/>
        <v>-8.6044931302143857E-3</v>
      </c>
      <c r="J314">
        <v>623.27502440000001</v>
      </c>
      <c r="K314">
        <f t="shared" si="48"/>
        <v>2.7350073066532143E-3</v>
      </c>
      <c r="L314">
        <v>260.85000609999997</v>
      </c>
      <c r="M314">
        <f t="shared" si="49"/>
        <v>-1.0995237535545099E-2</v>
      </c>
      <c r="N314">
        <v>554.5</v>
      </c>
      <c r="O314">
        <f t="shared" si="50"/>
        <v>-1.7018216655281804E-2</v>
      </c>
      <c r="P314">
        <v>159.6999969</v>
      </c>
      <c r="Q314">
        <f t="shared" si="51"/>
        <v>-1.8740418433179751E-2</v>
      </c>
      <c r="R314">
        <v>307</v>
      </c>
      <c r="S314">
        <f t="shared" si="52"/>
        <v>4.5811317802850748E-3</v>
      </c>
      <c r="T314">
        <v>1490.349976</v>
      </c>
      <c r="U314">
        <f t="shared" si="53"/>
        <v>4.4481725358045399E-3</v>
      </c>
      <c r="W314">
        <f t="shared" si="54"/>
        <v>-3.212957033372888E-3</v>
      </c>
      <c r="X314">
        <v>-7.0689468367535428E-3</v>
      </c>
    </row>
    <row r="315" spans="1:24" x14ac:dyDescent="0.35">
      <c r="A315" s="1">
        <v>43273</v>
      </c>
      <c r="B315">
        <v>925.7619019</v>
      </c>
      <c r="C315">
        <f t="shared" si="44"/>
        <v>-1.884779217513699E-2</v>
      </c>
      <c r="D315">
        <v>1809.8000489999999</v>
      </c>
      <c r="E315">
        <f t="shared" si="45"/>
        <v>-5.2490873806458893E-3</v>
      </c>
      <c r="F315">
        <v>1041.6750489999999</v>
      </c>
      <c r="G315">
        <f t="shared" si="46"/>
        <v>1.2514579497264311E-2</v>
      </c>
      <c r="H315">
        <v>337.56591800000001</v>
      </c>
      <c r="I315">
        <f t="shared" si="47"/>
        <v>1.5866601750811116E-2</v>
      </c>
      <c r="J315">
        <v>623.92498780000005</v>
      </c>
      <c r="K315">
        <f t="shared" si="48"/>
        <v>1.0428195813327878E-3</v>
      </c>
      <c r="L315">
        <v>265.14999390000003</v>
      </c>
      <c r="M315">
        <f t="shared" si="49"/>
        <v>1.6484522520392897E-2</v>
      </c>
      <c r="N315">
        <v>577.25</v>
      </c>
      <c r="O315">
        <f t="shared" si="50"/>
        <v>4.1027953110910786E-2</v>
      </c>
      <c r="P315">
        <v>159.5500031</v>
      </c>
      <c r="Q315">
        <f t="shared" si="51"/>
        <v>-9.3922231002874224E-4</v>
      </c>
      <c r="R315">
        <v>308</v>
      </c>
      <c r="S315">
        <f t="shared" si="52"/>
        <v>3.2573289902280145E-3</v>
      </c>
      <c r="T315">
        <v>1494.25</v>
      </c>
      <c r="U315">
        <f t="shared" si="53"/>
        <v>2.6168511173916276E-3</v>
      </c>
      <c r="W315">
        <f t="shared" si="54"/>
        <v>6.7774554702519909E-3</v>
      </c>
      <c r="X315">
        <v>-7.0070064766842083E-3</v>
      </c>
    </row>
    <row r="316" spans="1:24" x14ac:dyDescent="0.35">
      <c r="A316" s="1">
        <v>43276</v>
      </c>
      <c r="B316">
        <v>918.40148929999998</v>
      </c>
      <c r="C316">
        <f t="shared" si="44"/>
        <v>-7.9506540341460763E-3</v>
      </c>
      <c r="D316">
        <v>1819.25</v>
      </c>
      <c r="E316">
        <f t="shared" si="45"/>
        <v>5.2215442281713376E-3</v>
      </c>
      <c r="F316">
        <v>1047.474976</v>
      </c>
      <c r="G316">
        <f t="shared" si="46"/>
        <v>5.5678851150058328E-3</v>
      </c>
      <c r="H316">
        <v>337.20541379999997</v>
      </c>
      <c r="I316">
        <f t="shared" si="47"/>
        <v>-1.0679520081172678E-3</v>
      </c>
      <c r="J316">
        <v>636.22497559999999</v>
      </c>
      <c r="K316">
        <f t="shared" si="48"/>
        <v>1.971388875347091E-2</v>
      </c>
      <c r="L316">
        <v>262.60000609999997</v>
      </c>
      <c r="M316">
        <f t="shared" si="49"/>
        <v>-9.6171520221183249E-3</v>
      </c>
      <c r="N316">
        <v>571.79998780000005</v>
      </c>
      <c r="O316">
        <f t="shared" si="50"/>
        <v>-9.4413377219574324E-3</v>
      </c>
      <c r="P316">
        <v>156.6499939</v>
      </c>
      <c r="Q316">
        <f t="shared" si="51"/>
        <v>-1.8176177647470038E-2</v>
      </c>
      <c r="R316">
        <v>289.39999390000003</v>
      </c>
      <c r="S316">
        <f t="shared" si="52"/>
        <v>-6.0389630194805144E-2</v>
      </c>
      <c r="T316">
        <v>1480.5</v>
      </c>
      <c r="U316">
        <f t="shared" si="53"/>
        <v>-9.201940772962991E-3</v>
      </c>
      <c r="W316">
        <f t="shared" si="54"/>
        <v>-8.5341526304929197E-3</v>
      </c>
      <c r="X316">
        <v>-6.9742849798224323E-3</v>
      </c>
    </row>
    <row r="317" spans="1:24" x14ac:dyDescent="0.35">
      <c r="A317" s="1">
        <v>43277</v>
      </c>
      <c r="B317">
        <v>895.08599849999996</v>
      </c>
      <c r="C317">
        <f t="shared" si="44"/>
        <v>-2.53870350512726E-2</v>
      </c>
      <c r="D317">
        <v>1852</v>
      </c>
      <c r="E317">
        <f t="shared" si="45"/>
        <v>1.8001923869726433E-2</v>
      </c>
      <c r="F317">
        <v>1046.849976</v>
      </c>
      <c r="G317">
        <f t="shared" si="46"/>
        <v>-5.9667296529286595E-4</v>
      </c>
      <c r="H317">
        <v>342.65802000000002</v>
      </c>
      <c r="I317">
        <f t="shared" si="47"/>
        <v>1.6169984160556927E-2</v>
      </c>
      <c r="J317">
        <v>638.92498780000005</v>
      </c>
      <c r="K317">
        <f t="shared" si="48"/>
        <v>4.2438010193701636E-3</v>
      </c>
      <c r="L317">
        <v>264.7999878</v>
      </c>
      <c r="M317">
        <f t="shared" si="49"/>
        <v>8.3776909706629876E-3</v>
      </c>
      <c r="N317">
        <v>572.95001219999995</v>
      </c>
      <c r="O317">
        <f t="shared" si="50"/>
        <v>2.0112354399037802E-3</v>
      </c>
      <c r="P317">
        <v>158.3000031</v>
      </c>
      <c r="Q317">
        <f t="shared" si="51"/>
        <v>1.0533094569115109E-2</v>
      </c>
      <c r="R317">
        <v>276.85000609999997</v>
      </c>
      <c r="S317">
        <f t="shared" si="52"/>
        <v>-4.336554272470583E-2</v>
      </c>
      <c r="T317">
        <v>1468.25</v>
      </c>
      <c r="U317">
        <f t="shared" si="53"/>
        <v>-8.2742316784869541E-3</v>
      </c>
      <c r="W317">
        <f t="shared" si="54"/>
        <v>-1.8285752390422845E-3</v>
      </c>
      <c r="X317">
        <v>-6.9694045606357282E-3</v>
      </c>
    </row>
    <row r="318" spans="1:24" x14ac:dyDescent="0.35">
      <c r="A318" s="1">
        <v>43278</v>
      </c>
      <c r="B318">
        <v>883.10827640000002</v>
      </c>
      <c r="C318">
        <f t="shared" si="44"/>
        <v>-1.3381643909157748E-2</v>
      </c>
      <c r="D318">
        <v>1858</v>
      </c>
      <c r="E318">
        <f t="shared" si="45"/>
        <v>3.2397408207343048E-3</v>
      </c>
      <c r="F318">
        <v>1056.3000489999999</v>
      </c>
      <c r="G318">
        <f t="shared" si="46"/>
        <v>9.0271511836954588E-3</v>
      </c>
      <c r="H318">
        <v>338.55728149999999</v>
      </c>
      <c r="I318">
        <f t="shared" si="47"/>
        <v>-1.196743768028552E-2</v>
      </c>
      <c r="J318">
        <v>635</v>
      </c>
      <c r="K318">
        <f t="shared" si="48"/>
        <v>-6.1431120631467717E-3</v>
      </c>
      <c r="L318">
        <v>262.75</v>
      </c>
      <c r="M318">
        <f t="shared" si="49"/>
        <v>-7.7416461270697345E-3</v>
      </c>
      <c r="N318">
        <v>576.90002440000001</v>
      </c>
      <c r="O318">
        <f t="shared" si="50"/>
        <v>6.8941654871998992E-3</v>
      </c>
      <c r="P318">
        <v>156.25</v>
      </c>
      <c r="Q318">
        <f t="shared" si="51"/>
        <v>-1.2950114086258013E-2</v>
      </c>
      <c r="R318">
        <v>271.0499878</v>
      </c>
      <c r="S318">
        <f t="shared" si="52"/>
        <v>-2.0950038548689709E-2</v>
      </c>
      <c r="T318">
        <v>1452.5</v>
      </c>
      <c r="U318">
        <f t="shared" si="53"/>
        <v>-1.0727056019070313E-2</v>
      </c>
      <c r="W318">
        <f t="shared" si="54"/>
        <v>-6.4699990942048147E-3</v>
      </c>
      <c r="X318">
        <v>-6.9618693020158107E-3</v>
      </c>
    </row>
    <row r="319" spans="1:24" x14ac:dyDescent="0.35">
      <c r="A319" s="1">
        <v>43279</v>
      </c>
      <c r="B319">
        <v>863.99871829999995</v>
      </c>
      <c r="C319">
        <f t="shared" si="44"/>
        <v>-2.1638975209133382E-2</v>
      </c>
      <c r="D319">
        <v>1842.6999510000001</v>
      </c>
      <c r="E319">
        <f t="shared" si="45"/>
        <v>-8.234687298170007E-3</v>
      </c>
      <c r="F319">
        <v>1065.4250489999999</v>
      </c>
      <c r="G319">
        <f t="shared" si="46"/>
        <v>8.6386439237966517E-3</v>
      </c>
      <c r="H319">
        <v>340.63018799999998</v>
      </c>
      <c r="I319">
        <f t="shared" si="47"/>
        <v>6.1227644870487374E-3</v>
      </c>
      <c r="J319">
        <v>644.79998780000005</v>
      </c>
      <c r="K319">
        <f t="shared" si="48"/>
        <v>1.5433051653543473E-2</v>
      </c>
      <c r="L319">
        <v>260.5</v>
      </c>
      <c r="M319">
        <f t="shared" si="49"/>
        <v>-8.5632730732635443E-3</v>
      </c>
      <c r="N319">
        <v>567.29998780000005</v>
      </c>
      <c r="O319">
        <f t="shared" si="50"/>
        <v>-1.6640728365342694E-2</v>
      </c>
      <c r="P319">
        <v>153.5</v>
      </c>
      <c r="Q319">
        <f t="shared" si="51"/>
        <v>-1.7599999999999949E-2</v>
      </c>
      <c r="R319">
        <v>263.35000609999997</v>
      </c>
      <c r="S319">
        <f t="shared" si="52"/>
        <v>-2.8407976559960635E-2</v>
      </c>
      <c r="T319">
        <v>1435.4499510000001</v>
      </c>
      <c r="U319">
        <f t="shared" si="53"/>
        <v>-1.1738415834767646E-2</v>
      </c>
      <c r="W319">
        <f t="shared" si="54"/>
        <v>-8.2629596276249002E-3</v>
      </c>
      <c r="X319">
        <v>-6.9552672342922178E-3</v>
      </c>
    </row>
    <row r="320" spans="1:24" x14ac:dyDescent="0.35">
      <c r="A320" s="1">
        <v>43280</v>
      </c>
      <c r="B320">
        <v>889.14282230000003</v>
      </c>
      <c r="C320">
        <f t="shared" si="44"/>
        <v>2.910201539358015E-2</v>
      </c>
      <c r="D320">
        <v>1847.75</v>
      </c>
      <c r="E320">
        <f t="shared" si="45"/>
        <v>2.7405704315883739E-3</v>
      </c>
      <c r="F320">
        <v>1054.224976</v>
      </c>
      <c r="G320">
        <f t="shared" si="46"/>
        <v>-1.0512304934553796E-2</v>
      </c>
      <c r="H320">
        <v>344.23519900000002</v>
      </c>
      <c r="I320">
        <f t="shared" si="47"/>
        <v>1.0583357338839416E-2</v>
      </c>
      <c r="J320">
        <v>653.59997559999999</v>
      </c>
      <c r="K320">
        <f t="shared" si="48"/>
        <v>1.3647624017526283E-2</v>
      </c>
      <c r="L320">
        <v>266.2000122</v>
      </c>
      <c r="M320">
        <f t="shared" si="49"/>
        <v>2.1881044913627745E-2</v>
      </c>
      <c r="N320">
        <v>564</v>
      </c>
      <c r="O320">
        <f t="shared" si="50"/>
        <v>-5.8170066472192916E-3</v>
      </c>
      <c r="P320">
        <v>158.3999939</v>
      </c>
      <c r="Q320">
        <f t="shared" si="51"/>
        <v>3.1921784364820738E-2</v>
      </c>
      <c r="R320">
        <v>269.2999878</v>
      </c>
      <c r="S320">
        <f t="shared" si="52"/>
        <v>2.259343672747316E-2</v>
      </c>
      <c r="T320">
        <v>1485.400024</v>
      </c>
      <c r="U320">
        <f t="shared" si="53"/>
        <v>3.4797502319884099E-2</v>
      </c>
      <c r="W320">
        <f t="shared" si="54"/>
        <v>1.509380239255669E-2</v>
      </c>
      <c r="X320">
        <v>-6.9501100857918717E-3</v>
      </c>
    </row>
    <row r="321" spans="1:24" x14ac:dyDescent="0.35">
      <c r="A321" s="1">
        <v>43283</v>
      </c>
      <c r="B321">
        <v>878.30798340000001</v>
      </c>
      <c r="C321">
        <f t="shared" si="44"/>
        <v>-1.2185712607984511E-2</v>
      </c>
      <c r="D321">
        <v>1851.349976</v>
      </c>
      <c r="E321">
        <f t="shared" si="45"/>
        <v>1.9483025301041401E-3</v>
      </c>
      <c r="F321">
        <v>1036.625</v>
      </c>
      <c r="G321">
        <f t="shared" si="46"/>
        <v>-1.6694705969477974E-2</v>
      </c>
      <c r="H321">
        <v>331.70773320000001</v>
      </c>
      <c r="I321">
        <f t="shared" si="47"/>
        <v>-3.6392169761814586E-2</v>
      </c>
      <c r="J321">
        <v>667.34997559999999</v>
      </c>
      <c r="K321">
        <f t="shared" si="48"/>
        <v>2.1037332486705695E-2</v>
      </c>
      <c r="L321">
        <v>263.0499878</v>
      </c>
      <c r="M321">
        <f t="shared" si="49"/>
        <v>-1.1833299232283045E-2</v>
      </c>
      <c r="N321">
        <v>563.15002440000001</v>
      </c>
      <c r="O321">
        <f t="shared" si="50"/>
        <v>-1.5070489361701522E-3</v>
      </c>
      <c r="P321">
        <v>155.5</v>
      </c>
      <c r="Q321">
        <f t="shared" si="51"/>
        <v>-1.8308043003024355E-2</v>
      </c>
      <c r="R321">
        <v>266.7000122</v>
      </c>
      <c r="S321">
        <f t="shared" si="52"/>
        <v>-9.6545700623310582E-3</v>
      </c>
      <c r="T321">
        <v>1525.900024</v>
      </c>
      <c r="U321">
        <f t="shared" si="53"/>
        <v>2.7265382621267653E-2</v>
      </c>
      <c r="W321">
        <f t="shared" si="54"/>
        <v>-5.6324531935008203E-3</v>
      </c>
      <c r="X321">
        <v>-6.9233131519915725E-3</v>
      </c>
    </row>
    <row r="322" spans="1:24" x14ac:dyDescent="0.35">
      <c r="A322" s="1">
        <v>43284</v>
      </c>
      <c r="B322">
        <v>888.09136960000001</v>
      </c>
      <c r="C322">
        <f t="shared" si="44"/>
        <v>1.1138901598193085E-2</v>
      </c>
      <c r="D322">
        <v>1874.0500489999999</v>
      </c>
      <c r="E322">
        <f t="shared" si="45"/>
        <v>1.2261362408119814E-2</v>
      </c>
      <c r="F322">
        <v>1035.099976</v>
      </c>
      <c r="G322">
        <f t="shared" si="46"/>
        <v>-1.4711433739298396E-3</v>
      </c>
      <c r="H322">
        <v>334.14114380000001</v>
      </c>
      <c r="I322">
        <f t="shared" si="47"/>
        <v>7.336008046977982E-3</v>
      </c>
      <c r="J322">
        <v>676.875</v>
      </c>
      <c r="K322">
        <f t="shared" si="48"/>
        <v>1.4272907392311351E-2</v>
      </c>
      <c r="L322">
        <v>265.4500122</v>
      </c>
      <c r="M322">
        <f t="shared" si="49"/>
        <v>9.1238339148860259E-3</v>
      </c>
      <c r="N322">
        <v>573.59997559999999</v>
      </c>
      <c r="O322">
        <f t="shared" si="50"/>
        <v>1.8556247442470974E-2</v>
      </c>
      <c r="P322">
        <v>157.6999969</v>
      </c>
      <c r="Q322">
        <f t="shared" si="51"/>
        <v>1.4147890032154331E-2</v>
      </c>
      <c r="R322">
        <v>269.4500122</v>
      </c>
      <c r="S322">
        <f t="shared" si="52"/>
        <v>1.0311210626933853E-2</v>
      </c>
      <c r="T322">
        <v>1521.9499510000001</v>
      </c>
      <c r="U322">
        <f t="shared" si="53"/>
        <v>-2.5886840145956658E-3</v>
      </c>
      <c r="W322">
        <f t="shared" si="54"/>
        <v>9.3088534073521908E-3</v>
      </c>
      <c r="X322">
        <v>-6.907313433240192E-3</v>
      </c>
    </row>
    <row r="323" spans="1:24" x14ac:dyDescent="0.35">
      <c r="A323" s="1">
        <v>43285</v>
      </c>
      <c r="B323">
        <v>905.28082280000001</v>
      </c>
      <c r="C323">
        <f t="shared" si="44"/>
        <v>1.9355500783373447E-2</v>
      </c>
      <c r="D323">
        <v>1866.150024</v>
      </c>
      <c r="E323">
        <f t="shared" si="45"/>
        <v>-4.2154824009185132E-3</v>
      </c>
      <c r="F323">
        <v>1051.775024</v>
      </c>
      <c r="G323">
        <f t="shared" si="46"/>
        <v>1.6109601378253791E-2</v>
      </c>
      <c r="H323">
        <v>331.12191769999998</v>
      </c>
      <c r="I323">
        <f t="shared" si="47"/>
        <v>-9.0357807053152994E-3</v>
      </c>
      <c r="J323">
        <v>672.59997559999999</v>
      </c>
      <c r="K323">
        <f t="shared" si="48"/>
        <v>-6.3158255216989589E-3</v>
      </c>
      <c r="L323">
        <v>264.39999390000003</v>
      </c>
      <c r="M323">
        <f t="shared" si="49"/>
        <v>-3.9556159417647452E-3</v>
      </c>
      <c r="N323">
        <v>579.29998780000005</v>
      </c>
      <c r="O323">
        <f t="shared" si="50"/>
        <v>9.9372601856158038E-3</v>
      </c>
      <c r="P323">
        <v>156</v>
      </c>
      <c r="Q323">
        <f t="shared" si="51"/>
        <v>-1.0779942507405327E-2</v>
      </c>
      <c r="R323">
        <v>267.0499878</v>
      </c>
      <c r="S323">
        <f t="shared" si="52"/>
        <v>-8.9071229962260912E-3</v>
      </c>
      <c r="T323">
        <v>1538.3000489999999</v>
      </c>
      <c r="U323">
        <f t="shared" si="53"/>
        <v>1.0742861806498416E-2</v>
      </c>
      <c r="W323">
        <f t="shared" si="54"/>
        <v>1.2935454080412524E-3</v>
      </c>
      <c r="X323">
        <v>-6.8841986031009895E-3</v>
      </c>
    </row>
    <row r="324" spans="1:24" x14ac:dyDescent="0.35">
      <c r="A324" s="1">
        <v>43286</v>
      </c>
      <c r="B324">
        <v>881.87390140000002</v>
      </c>
      <c r="C324">
        <f t="shared" ref="C324:C387" si="55">B324/B323 - 1</f>
        <v>-2.5855978399722646E-2</v>
      </c>
      <c r="D324">
        <v>1880.3000489999999</v>
      </c>
      <c r="E324">
        <f t="shared" ref="E324:E387" si="56">D324/D323 - 1</f>
        <v>7.5824691573671554E-3</v>
      </c>
      <c r="F324">
        <v>1061.875</v>
      </c>
      <c r="G324">
        <f t="shared" ref="G324:G387" si="57">F324/F323 - 1</f>
        <v>9.6027912524379033E-3</v>
      </c>
      <c r="H324">
        <v>327.51687620000001</v>
      </c>
      <c r="I324">
        <f t="shared" ref="I324:I387" si="58">H324/H323 - 1</f>
        <v>-1.0887353893819229E-2</v>
      </c>
      <c r="J324">
        <v>642</v>
      </c>
      <c r="K324">
        <f t="shared" ref="K324:K387" si="59">J324/J323 -1</f>
        <v>-4.5495059039666108E-2</v>
      </c>
      <c r="L324">
        <v>272.5</v>
      </c>
      <c r="M324">
        <f t="shared" ref="M324:M387" si="60">L324/L323 -1</f>
        <v>3.0635424685612866E-2</v>
      </c>
      <c r="N324">
        <v>566.95001219999995</v>
      </c>
      <c r="O324">
        <f t="shared" ref="O324:O387" si="61">N324/N323-1</f>
        <v>-2.1318791403572179E-2</v>
      </c>
      <c r="P324">
        <v>156.3999939</v>
      </c>
      <c r="Q324">
        <f t="shared" ref="Q324:Q387" si="62">P324/P323 -1</f>
        <v>2.5640634615384794E-3</v>
      </c>
      <c r="R324">
        <v>261.5499878</v>
      </c>
      <c r="S324">
        <f t="shared" ref="S324:S387" si="63">R324/R323 - 1</f>
        <v>-2.059539506183794E-2</v>
      </c>
      <c r="T324">
        <v>1546.4499510000001</v>
      </c>
      <c r="U324">
        <f t="shared" ref="U324:U387" si="64">T324/T323 - 1</f>
        <v>5.2979924204632489E-3</v>
      </c>
      <c r="W324">
        <f t="shared" ref="W324:W387" si="65">0.1*C324+0.1*E324+0.1*G324+0.1*I324+0.1*K324+0.1*M324+0.1*O324+0.1*Q324+0.1*S324+0.1*U324</f>
        <v>-6.8469836821198459E-3</v>
      </c>
      <c r="X324">
        <v>-6.872861280191378E-3</v>
      </c>
    </row>
    <row r="325" spans="1:24" x14ac:dyDescent="0.35">
      <c r="A325" s="1">
        <v>43287</v>
      </c>
      <c r="B325">
        <v>893.80596920000005</v>
      </c>
      <c r="C325">
        <f t="shared" si="55"/>
        <v>1.3530355962521945E-2</v>
      </c>
      <c r="D325">
        <v>1912.9499510000001</v>
      </c>
      <c r="E325">
        <f t="shared" si="56"/>
        <v>1.7364197813728888E-2</v>
      </c>
      <c r="F325">
        <v>1057.5749510000001</v>
      </c>
      <c r="G325">
        <f t="shared" si="57"/>
        <v>-4.0494869923484167E-3</v>
      </c>
      <c r="H325">
        <v>326.48043819999998</v>
      </c>
      <c r="I325">
        <f t="shared" si="58"/>
        <v>-3.1645331136069821E-3</v>
      </c>
      <c r="J325">
        <v>642.125</v>
      </c>
      <c r="K325">
        <f t="shared" si="59"/>
        <v>1.9470404984422984E-4</v>
      </c>
      <c r="L325">
        <v>272.64999390000003</v>
      </c>
      <c r="M325">
        <f t="shared" si="60"/>
        <v>5.5043633027529459E-4</v>
      </c>
      <c r="N325">
        <v>558.09997559999999</v>
      </c>
      <c r="O325">
        <f t="shared" si="61"/>
        <v>-1.560990635780779E-2</v>
      </c>
      <c r="P325">
        <v>155.4499969</v>
      </c>
      <c r="Q325">
        <f t="shared" si="62"/>
        <v>-6.07414985327559E-3</v>
      </c>
      <c r="R325">
        <v>270.85000609999997</v>
      </c>
      <c r="S325">
        <f t="shared" si="63"/>
        <v>3.5557326453065752E-2</v>
      </c>
      <c r="T325">
        <v>1568.25</v>
      </c>
      <c r="U325">
        <f t="shared" si="64"/>
        <v>1.4096834485916032E-2</v>
      </c>
      <c r="W325">
        <f t="shared" si="65"/>
        <v>5.2395778778313367E-3</v>
      </c>
      <c r="X325">
        <v>-6.8726026349972373E-3</v>
      </c>
    </row>
    <row r="326" spans="1:24" x14ac:dyDescent="0.35">
      <c r="A326" s="1">
        <v>43290</v>
      </c>
      <c r="B326">
        <v>911.68115230000001</v>
      </c>
      <c r="C326">
        <f t="shared" si="55"/>
        <v>1.9998952475109411E-2</v>
      </c>
      <c r="D326">
        <v>1883</v>
      </c>
      <c r="E326">
        <f t="shared" si="56"/>
        <v>-1.5656421635256934E-2</v>
      </c>
      <c r="F326">
        <v>1062.8249510000001</v>
      </c>
      <c r="G326">
        <f t="shared" si="57"/>
        <v>4.9641871670993432E-3</v>
      </c>
      <c r="H326">
        <v>326.34524540000001</v>
      </c>
      <c r="I326">
        <f t="shared" si="58"/>
        <v>-4.1409157848881772E-4</v>
      </c>
      <c r="J326">
        <v>649.42498780000005</v>
      </c>
      <c r="K326">
        <f t="shared" si="59"/>
        <v>1.1368484017909353E-2</v>
      </c>
      <c r="L326">
        <v>274.39999390000003</v>
      </c>
      <c r="M326">
        <f t="shared" si="60"/>
        <v>6.4184853810846931E-3</v>
      </c>
      <c r="N326">
        <v>568.79998780000005</v>
      </c>
      <c r="O326">
        <f t="shared" si="61"/>
        <v>1.917221406164149E-2</v>
      </c>
      <c r="P326">
        <v>157.3999939</v>
      </c>
      <c r="Q326">
        <f t="shared" si="62"/>
        <v>1.2544207390717599E-2</v>
      </c>
      <c r="R326">
        <v>273.5</v>
      </c>
      <c r="S326">
        <f t="shared" si="63"/>
        <v>9.783990549446786E-3</v>
      </c>
      <c r="T326">
        <v>1563.849976</v>
      </c>
      <c r="U326">
        <f t="shared" si="64"/>
        <v>-2.8056904192571563E-3</v>
      </c>
      <c r="W326">
        <f t="shared" si="65"/>
        <v>6.5374317410005767E-3</v>
      </c>
      <c r="X326">
        <v>-6.8469836821198459E-3</v>
      </c>
    </row>
    <row r="327" spans="1:24" x14ac:dyDescent="0.35">
      <c r="A327" s="1">
        <v>43291</v>
      </c>
      <c r="B327">
        <v>937.83105469999998</v>
      </c>
      <c r="C327">
        <f t="shared" si="55"/>
        <v>2.8683166624678735E-2</v>
      </c>
      <c r="D327">
        <v>1875.099976</v>
      </c>
      <c r="E327">
        <f t="shared" si="56"/>
        <v>-4.1954455655868195E-3</v>
      </c>
      <c r="F327">
        <v>1073.1999510000001</v>
      </c>
      <c r="G327">
        <f t="shared" si="57"/>
        <v>9.7617203945374875E-3</v>
      </c>
      <c r="H327">
        <v>331.48242190000002</v>
      </c>
      <c r="I327">
        <f t="shared" si="58"/>
        <v>1.5741539282128736E-2</v>
      </c>
      <c r="J327">
        <v>650.70001219999995</v>
      </c>
      <c r="K327">
        <f t="shared" si="59"/>
        <v>1.9633128135694289E-3</v>
      </c>
      <c r="L327">
        <v>277.0499878</v>
      </c>
      <c r="M327">
        <f t="shared" si="60"/>
        <v>9.657412386698816E-3</v>
      </c>
      <c r="N327">
        <v>563.95001219999995</v>
      </c>
      <c r="O327">
        <f t="shared" si="61"/>
        <v>-8.5266802110154361E-3</v>
      </c>
      <c r="P327">
        <v>157.9499969</v>
      </c>
      <c r="Q327">
        <f t="shared" si="62"/>
        <v>3.4943012790040751E-3</v>
      </c>
      <c r="R327">
        <v>275.4500122</v>
      </c>
      <c r="S327">
        <f t="shared" si="63"/>
        <v>7.1298435100548563E-3</v>
      </c>
      <c r="T327">
        <v>1598.099976</v>
      </c>
      <c r="U327">
        <f t="shared" si="64"/>
        <v>2.1901077805176916E-2</v>
      </c>
      <c r="W327">
        <f t="shared" si="65"/>
        <v>8.5610248319246806E-3</v>
      </c>
      <c r="X327">
        <v>-6.8282679225513685E-3</v>
      </c>
    </row>
    <row r="328" spans="1:24" x14ac:dyDescent="0.35">
      <c r="A328" s="1">
        <v>43292</v>
      </c>
      <c r="B328">
        <v>949.80883789999996</v>
      </c>
      <c r="C328">
        <f t="shared" si="55"/>
        <v>1.2771792040765284E-2</v>
      </c>
      <c r="D328">
        <v>1979.900024</v>
      </c>
      <c r="E328">
        <f t="shared" si="56"/>
        <v>5.5890378828526099E-2</v>
      </c>
      <c r="F328">
        <v>1074.125</v>
      </c>
      <c r="G328">
        <f t="shared" si="57"/>
        <v>8.6195400879218731E-4</v>
      </c>
      <c r="H328">
        <v>326.25512700000002</v>
      </c>
      <c r="I328">
        <f t="shared" si="58"/>
        <v>-1.5769448256224394E-2</v>
      </c>
      <c r="J328">
        <v>660.22497559999999</v>
      </c>
      <c r="K328">
        <f t="shared" si="59"/>
        <v>1.4638025543900701E-2</v>
      </c>
      <c r="L328">
        <v>275.75</v>
      </c>
      <c r="M328">
        <f t="shared" si="60"/>
        <v>-4.6922499810339025E-3</v>
      </c>
      <c r="N328">
        <v>560.75</v>
      </c>
      <c r="O328">
        <f t="shared" si="61"/>
        <v>-5.6742834130218966E-3</v>
      </c>
      <c r="P328">
        <v>158.1000061</v>
      </c>
      <c r="Q328">
        <f t="shared" si="62"/>
        <v>9.4972588125452617E-4</v>
      </c>
      <c r="R328">
        <v>267.7999878</v>
      </c>
      <c r="S328">
        <f t="shared" si="63"/>
        <v>-2.7772822875917869E-2</v>
      </c>
      <c r="T328">
        <v>1595.9499510000001</v>
      </c>
      <c r="U328">
        <f t="shared" si="64"/>
        <v>-1.3453632640564317E-3</v>
      </c>
      <c r="W328">
        <f t="shared" si="65"/>
        <v>2.9857708512984298E-3</v>
      </c>
      <c r="X328">
        <v>-6.7875437236196937E-3</v>
      </c>
    </row>
    <row r="329" spans="1:24" x14ac:dyDescent="0.35">
      <c r="A329" s="1">
        <v>43293</v>
      </c>
      <c r="B329">
        <v>989.62799070000005</v>
      </c>
      <c r="C329">
        <f t="shared" si="55"/>
        <v>4.1923333634206861E-2</v>
      </c>
      <c r="D329">
        <v>1971.349976</v>
      </c>
      <c r="E329">
        <f t="shared" si="56"/>
        <v>-4.3184241104893273E-3</v>
      </c>
      <c r="F329">
        <v>1082.974976</v>
      </c>
      <c r="G329">
        <f t="shared" si="57"/>
        <v>8.2392421738624044E-3</v>
      </c>
      <c r="H329">
        <v>326.39031979999999</v>
      </c>
      <c r="I329">
        <f t="shared" si="58"/>
        <v>4.1437754938322691E-4</v>
      </c>
      <c r="J329">
        <v>647.17498780000005</v>
      </c>
      <c r="K329">
        <f t="shared" si="59"/>
        <v>-1.9765971119375392E-2</v>
      </c>
      <c r="L329">
        <v>277.2000122</v>
      </c>
      <c r="M329">
        <f t="shared" si="60"/>
        <v>5.2584304623752853E-3</v>
      </c>
      <c r="N329">
        <v>564.45001219999995</v>
      </c>
      <c r="O329">
        <f t="shared" si="61"/>
        <v>6.598327596968323E-3</v>
      </c>
      <c r="P329">
        <v>158.9499969</v>
      </c>
      <c r="Q329">
        <f t="shared" si="62"/>
        <v>5.3762856875689824E-3</v>
      </c>
      <c r="R329">
        <v>266.10000609999997</v>
      </c>
      <c r="S329">
        <f t="shared" si="63"/>
        <v>-6.3479528657395257E-3</v>
      </c>
      <c r="T329">
        <v>1587.75</v>
      </c>
      <c r="U329">
        <f t="shared" si="64"/>
        <v>-5.1379750316493666E-3</v>
      </c>
      <c r="W329">
        <f t="shared" si="65"/>
        <v>3.2239673977111473E-3</v>
      </c>
      <c r="X329">
        <v>-6.7340165695197853E-3</v>
      </c>
    </row>
    <row r="330" spans="1:24" x14ac:dyDescent="0.35">
      <c r="A330" s="1">
        <v>43294</v>
      </c>
      <c r="B330">
        <v>1005.58313</v>
      </c>
      <c r="C330">
        <f t="shared" si="55"/>
        <v>1.6122360573809447E-2</v>
      </c>
      <c r="D330">
        <v>1981.099976</v>
      </c>
      <c r="E330">
        <f t="shared" si="56"/>
        <v>4.9458493513077073E-3</v>
      </c>
      <c r="F330">
        <v>1090.4499510000001</v>
      </c>
      <c r="G330">
        <f t="shared" si="57"/>
        <v>6.9022601312627163E-3</v>
      </c>
      <c r="H330">
        <v>323.50628660000001</v>
      </c>
      <c r="I330">
        <f t="shared" si="58"/>
        <v>-8.8361480872569675E-3</v>
      </c>
      <c r="J330">
        <v>658.70001219999995</v>
      </c>
      <c r="K330">
        <f t="shared" si="59"/>
        <v>1.7808204299084363E-2</v>
      </c>
      <c r="L330">
        <v>270.39999390000003</v>
      </c>
      <c r="M330">
        <f t="shared" si="60"/>
        <v>-2.4531089468689316E-2</v>
      </c>
      <c r="N330">
        <v>559.75</v>
      </c>
      <c r="O330">
        <f t="shared" si="61"/>
        <v>-8.3267111319232923E-3</v>
      </c>
      <c r="P330">
        <v>154.1000061</v>
      </c>
      <c r="Q330">
        <f t="shared" si="62"/>
        <v>-3.0512682570552507E-2</v>
      </c>
      <c r="R330">
        <v>263.60000609999997</v>
      </c>
      <c r="S330">
        <f t="shared" si="63"/>
        <v>-9.3949640837681647E-3</v>
      </c>
      <c r="T330">
        <v>1576</v>
      </c>
      <c r="U330">
        <f t="shared" si="64"/>
        <v>-7.4004093843489382E-3</v>
      </c>
      <c r="W330">
        <f t="shared" si="65"/>
        <v>-4.3223330371074953E-3</v>
      </c>
      <c r="X330">
        <v>-6.7184527852390151E-3</v>
      </c>
    </row>
    <row r="331" spans="1:24" x14ac:dyDescent="0.35">
      <c r="A331" s="1">
        <v>43297</v>
      </c>
      <c r="B331">
        <v>984.00488280000002</v>
      </c>
      <c r="C331">
        <f t="shared" si="55"/>
        <v>-2.1458441929112282E-2</v>
      </c>
      <c r="D331">
        <v>1989.1999510000001</v>
      </c>
      <c r="E331">
        <f t="shared" si="56"/>
        <v>4.0886250558411774E-3</v>
      </c>
      <c r="F331">
        <v>1084.4250489999999</v>
      </c>
      <c r="G331">
        <f t="shared" si="57"/>
        <v>-5.5251522497432592E-3</v>
      </c>
      <c r="H331">
        <v>313.09677119999998</v>
      </c>
      <c r="I331">
        <f t="shared" si="58"/>
        <v>-3.2177165734250113E-2</v>
      </c>
      <c r="J331">
        <v>666.42498780000005</v>
      </c>
      <c r="K331">
        <f t="shared" si="59"/>
        <v>1.1727608102206188E-2</v>
      </c>
      <c r="L331">
        <v>271.60000609999997</v>
      </c>
      <c r="M331">
        <f t="shared" si="60"/>
        <v>4.4379150409439294E-3</v>
      </c>
      <c r="N331">
        <v>533.95001219999995</v>
      </c>
      <c r="O331">
        <f t="shared" si="61"/>
        <v>-4.6091983564091166E-2</v>
      </c>
      <c r="P331">
        <v>153.8000031</v>
      </c>
      <c r="Q331">
        <f t="shared" si="62"/>
        <v>-1.9468071909440887E-3</v>
      </c>
      <c r="R331">
        <v>252.1000061</v>
      </c>
      <c r="S331">
        <f t="shared" si="63"/>
        <v>-4.3626706122447123E-2</v>
      </c>
      <c r="T331">
        <v>1548.0500489999999</v>
      </c>
      <c r="U331">
        <f t="shared" si="64"/>
        <v>-1.7734740482233557E-2</v>
      </c>
      <c r="W331">
        <f t="shared" si="65"/>
        <v>-1.483068490738303E-2</v>
      </c>
      <c r="X331">
        <v>-6.6966907940708593E-3</v>
      </c>
    </row>
    <row r="332" spans="1:24" x14ac:dyDescent="0.35">
      <c r="A332" s="1">
        <v>43298</v>
      </c>
      <c r="B332">
        <v>998.77136229999996</v>
      </c>
      <c r="C332">
        <f t="shared" si="55"/>
        <v>1.5006510392490791E-2</v>
      </c>
      <c r="D332">
        <v>2002.150024</v>
      </c>
      <c r="E332">
        <f t="shared" si="56"/>
        <v>6.5101916946508354E-3</v>
      </c>
      <c r="F332">
        <v>1088.375</v>
      </c>
      <c r="G332">
        <f t="shared" si="57"/>
        <v>3.642437993886638E-3</v>
      </c>
      <c r="H332">
        <v>308.72567750000002</v>
      </c>
      <c r="I332">
        <f t="shared" si="58"/>
        <v>-1.3960839274218539E-2</v>
      </c>
      <c r="J332">
        <v>663.95001219999995</v>
      </c>
      <c r="K332">
        <f t="shared" si="59"/>
        <v>-3.7138097239878265E-3</v>
      </c>
      <c r="L332">
        <v>269.85000609999997</v>
      </c>
      <c r="M332">
        <f t="shared" si="60"/>
        <v>-6.4432988243589007E-3</v>
      </c>
      <c r="N332">
        <v>548.65002440000001</v>
      </c>
      <c r="O332">
        <f t="shared" si="61"/>
        <v>2.7530689885056026E-2</v>
      </c>
      <c r="P332">
        <v>156.1499939</v>
      </c>
      <c r="Q332">
        <f t="shared" si="62"/>
        <v>1.5279523749242463E-2</v>
      </c>
      <c r="R332">
        <v>257.9500122</v>
      </c>
      <c r="S332">
        <f t="shared" si="63"/>
        <v>2.3205100985517202E-2</v>
      </c>
      <c r="T332">
        <v>1561.650024</v>
      </c>
      <c r="U332">
        <f t="shared" si="64"/>
        <v>8.7852295271624303E-3</v>
      </c>
      <c r="W332">
        <f t="shared" si="65"/>
        <v>7.5841736405441122E-3</v>
      </c>
      <c r="X332">
        <v>-6.6910607460198175E-3</v>
      </c>
    </row>
    <row r="333" spans="1:24" x14ac:dyDescent="0.35">
      <c r="A333" s="1">
        <v>43299</v>
      </c>
      <c r="B333">
        <v>998.95422359999998</v>
      </c>
      <c r="C333">
        <f t="shared" si="55"/>
        <v>1.830862466649652E-4</v>
      </c>
      <c r="D333">
        <v>2000.25</v>
      </c>
      <c r="E333">
        <f t="shared" si="56"/>
        <v>-9.4899182240304469E-4</v>
      </c>
      <c r="F333">
        <v>1088.099976</v>
      </c>
      <c r="G333">
        <f t="shared" si="57"/>
        <v>-2.526923165269146E-4</v>
      </c>
      <c r="H333">
        <v>303.54345699999999</v>
      </c>
      <c r="I333">
        <f t="shared" si="58"/>
        <v>-1.6785842181850974E-2</v>
      </c>
      <c r="J333">
        <v>661.27502440000001</v>
      </c>
      <c r="K333">
        <f t="shared" si="59"/>
        <v>-4.0288993912905857E-3</v>
      </c>
      <c r="L333">
        <v>268.5499878</v>
      </c>
      <c r="M333">
        <f t="shared" si="60"/>
        <v>-4.8175589053655044E-3</v>
      </c>
      <c r="N333">
        <v>549.90002440000001</v>
      </c>
      <c r="O333">
        <f t="shared" si="61"/>
        <v>2.2783194102049542E-3</v>
      </c>
      <c r="P333">
        <v>160.3000031</v>
      </c>
      <c r="Q333">
        <f t="shared" si="62"/>
        <v>2.6577069241883633E-2</v>
      </c>
      <c r="R333">
        <v>251.8500061</v>
      </c>
      <c r="S333">
        <f t="shared" si="63"/>
        <v>-2.3648016326785037E-2</v>
      </c>
      <c r="T333">
        <v>1551.8000489999999</v>
      </c>
      <c r="U333">
        <f t="shared" si="64"/>
        <v>-6.3074151369526543E-3</v>
      </c>
      <c r="W333">
        <f t="shared" si="65"/>
        <v>-2.7750941182421163E-3</v>
      </c>
      <c r="X333">
        <v>-6.6874859576909092E-3</v>
      </c>
    </row>
    <row r="334" spans="1:24" x14ac:dyDescent="0.35">
      <c r="A334" s="1">
        <v>43300</v>
      </c>
      <c r="B334">
        <v>1010.2005</v>
      </c>
      <c r="C334">
        <f t="shared" si="55"/>
        <v>1.1258049802793879E-2</v>
      </c>
      <c r="D334">
        <v>1981.400024</v>
      </c>
      <c r="E334">
        <f t="shared" si="56"/>
        <v>-9.4238100237470368E-3</v>
      </c>
      <c r="F334">
        <v>1093.0500489999999</v>
      </c>
      <c r="G334">
        <f t="shared" si="57"/>
        <v>4.5492814163980988E-3</v>
      </c>
      <c r="H334">
        <v>310.9337463</v>
      </c>
      <c r="I334">
        <f t="shared" si="58"/>
        <v>2.4346725747410813E-2</v>
      </c>
      <c r="J334">
        <v>658.34997559999999</v>
      </c>
      <c r="K334">
        <f t="shared" si="59"/>
        <v>-4.423346855801813E-3</v>
      </c>
      <c r="L334">
        <v>273.2999878</v>
      </c>
      <c r="M334">
        <f t="shared" si="60"/>
        <v>1.7687582259499068E-2</v>
      </c>
      <c r="N334">
        <v>544.95001219999995</v>
      </c>
      <c r="O334">
        <f t="shared" si="61"/>
        <v>-9.001658447644334E-3</v>
      </c>
      <c r="P334">
        <v>161.75</v>
      </c>
      <c r="Q334">
        <f t="shared" si="62"/>
        <v>9.0455200995565033E-3</v>
      </c>
      <c r="R334">
        <v>252.5</v>
      </c>
      <c r="S334">
        <f t="shared" si="63"/>
        <v>2.5808770468795927E-3</v>
      </c>
      <c r="T334">
        <v>1522</v>
      </c>
      <c r="U334">
        <f t="shared" si="64"/>
        <v>-1.9203536576251179E-2</v>
      </c>
      <c r="W334">
        <f t="shared" si="65"/>
        <v>2.74156844690936E-3</v>
      </c>
      <c r="X334">
        <v>-6.6843032482581839E-3</v>
      </c>
    </row>
    <row r="335" spans="1:24" x14ac:dyDescent="0.35">
      <c r="A335" s="1">
        <v>43301</v>
      </c>
      <c r="B335">
        <v>1031.9616699999999</v>
      </c>
      <c r="C335">
        <f t="shared" si="55"/>
        <v>2.1541436576204331E-2</v>
      </c>
      <c r="D335">
        <v>1996.599976</v>
      </c>
      <c r="E335">
        <f t="shared" si="56"/>
        <v>7.6713191762836086E-3</v>
      </c>
      <c r="F335">
        <v>1094.525024</v>
      </c>
      <c r="G335">
        <f t="shared" si="57"/>
        <v>1.349412134741268E-3</v>
      </c>
      <c r="H335">
        <v>311.29425049999998</v>
      </c>
      <c r="I335">
        <f t="shared" si="58"/>
        <v>1.1594244892676464E-3</v>
      </c>
      <c r="J335">
        <v>674.04998780000005</v>
      </c>
      <c r="K335">
        <f t="shared" si="59"/>
        <v>2.3847516946729597E-2</v>
      </c>
      <c r="L335">
        <v>274</v>
      </c>
      <c r="M335">
        <f t="shared" si="60"/>
        <v>2.5613327158735544E-3</v>
      </c>
      <c r="N335">
        <v>560.09997559999999</v>
      </c>
      <c r="O335">
        <f t="shared" si="61"/>
        <v>2.7800647877478823E-2</v>
      </c>
      <c r="P335">
        <v>157.9499969</v>
      </c>
      <c r="Q335">
        <f t="shared" si="62"/>
        <v>-2.3493063987635177E-2</v>
      </c>
      <c r="R335">
        <v>253.3999939</v>
      </c>
      <c r="S335">
        <f t="shared" si="63"/>
        <v>3.5643322772276331E-3</v>
      </c>
      <c r="T335">
        <v>1521.5</v>
      </c>
      <c r="U335">
        <f t="shared" si="64"/>
        <v>-3.2851511169518233E-4</v>
      </c>
      <c r="W335">
        <f t="shared" si="65"/>
        <v>6.5673843094476098E-3</v>
      </c>
      <c r="X335">
        <v>-6.6764211707077701E-3</v>
      </c>
    </row>
    <row r="336" spans="1:24" x14ac:dyDescent="0.35">
      <c r="A336" s="1">
        <v>43304</v>
      </c>
      <c r="B336">
        <v>1024.326904</v>
      </c>
      <c r="C336">
        <f t="shared" si="55"/>
        <v>-7.3983038536692414E-3</v>
      </c>
      <c r="D336">
        <v>2005.650024</v>
      </c>
      <c r="E336">
        <f t="shared" si="56"/>
        <v>4.5327296948740603E-3</v>
      </c>
      <c r="F336">
        <v>1078.224976</v>
      </c>
      <c r="G336">
        <f t="shared" si="57"/>
        <v>-1.4892348409203726E-2</v>
      </c>
      <c r="H336">
        <v>323.50628660000001</v>
      </c>
      <c r="I336">
        <f t="shared" si="58"/>
        <v>3.9229880026325992E-2</v>
      </c>
      <c r="J336">
        <v>677.97497559999999</v>
      </c>
      <c r="K336">
        <f t="shared" si="59"/>
        <v>5.8229921682968477E-3</v>
      </c>
      <c r="L336">
        <v>284.14999390000003</v>
      </c>
      <c r="M336">
        <f t="shared" si="60"/>
        <v>3.7043773357664289E-2</v>
      </c>
      <c r="N336">
        <v>561.75</v>
      </c>
      <c r="O336">
        <f t="shared" si="61"/>
        <v>2.9459462093930355E-3</v>
      </c>
      <c r="P336">
        <v>156.5500031</v>
      </c>
      <c r="Q336">
        <f t="shared" si="62"/>
        <v>-8.8635253401515568E-3</v>
      </c>
      <c r="R336">
        <v>258.75</v>
      </c>
      <c r="S336">
        <f t="shared" si="63"/>
        <v>2.1112889616371922E-2</v>
      </c>
      <c r="T336">
        <v>1531.599976</v>
      </c>
      <c r="U336">
        <f t="shared" si="64"/>
        <v>6.6381702267499509E-3</v>
      </c>
      <c r="W336">
        <f t="shared" si="65"/>
        <v>8.6172203696651579E-3</v>
      </c>
      <c r="X336">
        <v>-6.6571362121558243E-3</v>
      </c>
    </row>
    <row r="337" spans="1:24" x14ac:dyDescent="0.35">
      <c r="A337" s="1">
        <v>43305</v>
      </c>
      <c r="B337">
        <v>1015.777954</v>
      </c>
      <c r="C337">
        <f t="shared" si="55"/>
        <v>-8.3459196147405157E-3</v>
      </c>
      <c r="D337">
        <v>1999</v>
      </c>
      <c r="E337">
        <f t="shared" si="56"/>
        <v>-3.3156452623461785E-3</v>
      </c>
      <c r="F337">
        <v>1079.875</v>
      </c>
      <c r="G337">
        <f t="shared" si="57"/>
        <v>1.5303151352710209E-3</v>
      </c>
      <c r="H337">
        <v>321.56860349999999</v>
      </c>
      <c r="I337">
        <f t="shared" si="58"/>
        <v>-5.9896304345883333E-3</v>
      </c>
      <c r="J337">
        <v>688.57501219999995</v>
      </c>
      <c r="K337">
        <f t="shared" si="59"/>
        <v>1.5634849340300461E-2</v>
      </c>
      <c r="L337">
        <v>285.64999390000003</v>
      </c>
      <c r="M337">
        <f t="shared" si="60"/>
        <v>5.2789021017114468E-3</v>
      </c>
      <c r="N337">
        <v>562.70001219999995</v>
      </c>
      <c r="O337">
        <f t="shared" si="61"/>
        <v>1.6911654650644259E-3</v>
      </c>
      <c r="P337">
        <v>157.1999969</v>
      </c>
      <c r="Q337">
        <f t="shared" si="62"/>
        <v>4.1519884198584212E-3</v>
      </c>
      <c r="R337">
        <v>258.7999878</v>
      </c>
      <c r="S337">
        <f t="shared" si="63"/>
        <v>1.9318956521741093E-4</v>
      </c>
      <c r="T337">
        <v>1571.650024</v>
      </c>
      <c r="U337">
        <f t="shared" si="64"/>
        <v>2.6149156847466548E-2</v>
      </c>
      <c r="W337">
        <f t="shared" si="65"/>
        <v>3.6978371563214712E-3</v>
      </c>
      <c r="X337">
        <v>-6.646290480874029E-3</v>
      </c>
    </row>
    <row r="338" spans="1:24" x14ac:dyDescent="0.35">
      <c r="A338" s="1">
        <v>43306</v>
      </c>
      <c r="B338">
        <v>1019.618103</v>
      </c>
      <c r="C338">
        <f t="shared" si="55"/>
        <v>3.7805004379922735E-3</v>
      </c>
      <c r="D338">
        <v>1981.5</v>
      </c>
      <c r="E338">
        <f t="shared" si="56"/>
        <v>-8.7543771885942867E-3</v>
      </c>
      <c r="F338">
        <v>1085.1750489999999</v>
      </c>
      <c r="G338">
        <f t="shared" si="57"/>
        <v>4.9080208357448196E-3</v>
      </c>
      <c r="H338">
        <v>317.51293950000002</v>
      </c>
      <c r="I338">
        <f t="shared" si="58"/>
        <v>-1.2612126793031253E-2</v>
      </c>
      <c r="J338">
        <v>691.875</v>
      </c>
      <c r="K338">
        <f t="shared" si="59"/>
        <v>4.7924884602719153E-3</v>
      </c>
      <c r="L338">
        <v>286.14999390000003</v>
      </c>
      <c r="M338">
        <f t="shared" si="60"/>
        <v>1.7503938759930726E-3</v>
      </c>
      <c r="N338">
        <v>558.15002440000001</v>
      </c>
      <c r="O338">
        <f t="shared" si="61"/>
        <v>-8.0859920052440692E-3</v>
      </c>
      <c r="P338">
        <v>159.0500031</v>
      </c>
      <c r="Q338">
        <f t="shared" si="62"/>
        <v>1.1768487509429493E-2</v>
      </c>
      <c r="R338">
        <v>257.85000609999997</v>
      </c>
      <c r="S338">
        <f t="shared" si="63"/>
        <v>-3.6707177155439474E-3</v>
      </c>
      <c r="T338">
        <v>1563.0500489999999</v>
      </c>
      <c r="U338">
        <f t="shared" si="64"/>
        <v>-5.4719402339410417E-3</v>
      </c>
      <c r="W338">
        <f t="shared" si="65"/>
        <v>-1.1595262816923024E-3</v>
      </c>
      <c r="X338">
        <v>-6.5989673763404821E-3</v>
      </c>
    </row>
    <row r="339" spans="1:24" x14ac:dyDescent="0.35">
      <c r="A339" s="1">
        <v>43307</v>
      </c>
      <c r="B339">
        <v>1015.503601</v>
      </c>
      <c r="C339">
        <f t="shared" si="55"/>
        <v>-4.0353363557336097E-3</v>
      </c>
      <c r="D339">
        <v>1964.6999510000001</v>
      </c>
      <c r="E339">
        <f t="shared" si="56"/>
        <v>-8.4784501640171595E-3</v>
      </c>
      <c r="F339">
        <v>1096.3000489999999</v>
      </c>
      <c r="G339">
        <f t="shared" si="57"/>
        <v>1.025180224172284E-2</v>
      </c>
      <c r="H339">
        <v>322.33465580000001</v>
      </c>
      <c r="I339">
        <f t="shared" si="58"/>
        <v>1.5185889140747921E-2</v>
      </c>
      <c r="J339">
        <v>686.625</v>
      </c>
      <c r="K339">
        <f t="shared" si="59"/>
        <v>-7.5880758807588267E-3</v>
      </c>
      <c r="L339">
        <v>287.2000122</v>
      </c>
      <c r="M339">
        <f t="shared" si="60"/>
        <v>3.6694681893543191E-3</v>
      </c>
      <c r="N339">
        <v>555.40002440000001</v>
      </c>
      <c r="O339">
        <f t="shared" si="61"/>
        <v>-4.926990736865422E-3</v>
      </c>
      <c r="P339">
        <v>162.5500031</v>
      </c>
      <c r="Q339">
        <f t="shared" si="62"/>
        <v>2.2005658169018893E-2</v>
      </c>
      <c r="R339">
        <v>258.25</v>
      </c>
      <c r="S339">
        <f t="shared" si="63"/>
        <v>1.551265815541214E-3</v>
      </c>
      <c r="T339">
        <v>1556.599976</v>
      </c>
      <c r="U339">
        <f t="shared" si="64"/>
        <v>-4.1265940294915593E-3</v>
      </c>
      <c r="W339">
        <f t="shared" si="65"/>
        <v>2.3508636389518614E-3</v>
      </c>
      <c r="X339">
        <v>-6.5942571057066917E-3</v>
      </c>
    </row>
    <row r="340" spans="1:24" x14ac:dyDescent="0.35">
      <c r="A340" s="1">
        <v>43308</v>
      </c>
      <c r="B340">
        <v>1033.0588379999999</v>
      </c>
      <c r="C340">
        <f t="shared" si="55"/>
        <v>1.7287222795382196E-2</v>
      </c>
      <c r="D340">
        <v>1943.75</v>
      </c>
      <c r="E340">
        <f t="shared" si="56"/>
        <v>-1.0663180904207259E-2</v>
      </c>
      <c r="F340">
        <v>1101.0749510000001</v>
      </c>
      <c r="G340">
        <f t="shared" si="57"/>
        <v>4.3554700233350285E-3</v>
      </c>
      <c r="H340">
        <v>328.68853760000002</v>
      </c>
      <c r="I340">
        <f t="shared" si="58"/>
        <v>1.9712065350932839E-2</v>
      </c>
      <c r="J340">
        <v>686.72497559999999</v>
      </c>
      <c r="K340">
        <f t="shared" si="59"/>
        <v>1.4560436919719422E-4</v>
      </c>
      <c r="L340">
        <v>302.5499878</v>
      </c>
      <c r="M340">
        <f t="shared" si="60"/>
        <v>5.3446987980315885E-2</v>
      </c>
      <c r="N340">
        <v>557.04998780000005</v>
      </c>
      <c r="O340">
        <f t="shared" si="61"/>
        <v>2.9707658039490603E-3</v>
      </c>
      <c r="P340">
        <v>161.3000031</v>
      </c>
      <c r="Q340">
        <f t="shared" si="62"/>
        <v>-7.6899414097888474E-3</v>
      </c>
      <c r="R340">
        <v>268.14999390000003</v>
      </c>
      <c r="S340">
        <f t="shared" si="63"/>
        <v>3.833492313649578E-2</v>
      </c>
      <c r="T340">
        <v>1566.6999510000001</v>
      </c>
      <c r="U340">
        <f t="shared" si="64"/>
        <v>6.4884846175792266E-3</v>
      </c>
      <c r="W340">
        <f t="shared" si="65"/>
        <v>1.243884017631911E-2</v>
      </c>
      <c r="X340">
        <v>-6.5880427552021167E-3</v>
      </c>
    </row>
    <row r="341" spans="1:24" x14ac:dyDescent="0.35">
      <c r="A341" s="1">
        <v>43311</v>
      </c>
      <c r="B341">
        <v>1052.7626949999999</v>
      </c>
      <c r="C341">
        <f t="shared" si="55"/>
        <v>1.9073315357474252E-2</v>
      </c>
      <c r="D341">
        <v>1944.599976</v>
      </c>
      <c r="E341">
        <f t="shared" si="56"/>
        <v>4.3728668810283366E-4</v>
      </c>
      <c r="F341">
        <v>1084.9499510000001</v>
      </c>
      <c r="G341">
        <f t="shared" si="57"/>
        <v>-1.4644779617731918E-2</v>
      </c>
      <c r="H341">
        <v>345.40686040000003</v>
      </c>
      <c r="I341">
        <f t="shared" si="58"/>
        <v>5.0863723213693257E-2</v>
      </c>
      <c r="J341">
        <v>675.5</v>
      </c>
      <c r="K341">
        <f t="shared" si="59"/>
        <v>-1.6345663837539326E-2</v>
      </c>
      <c r="L341">
        <v>301.0499878</v>
      </c>
      <c r="M341">
        <f t="shared" si="60"/>
        <v>-4.9578584051755969E-3</v>
      </c>
      <c r="N341">
        <v>562.70001219999995</v>
      </c>
      <c r="O341">
        <f t="shared" si="61"/>
        <v>1.0142760118017291E-2</v>
      </c>
      <c r="P341">
        <v>164.1000061</v>
      </c>
      <c r="Q341">
        <f t="shared" si="62"/>
        <v>1.7358976727756881E-2</v>
      </c>
      <c r="R341">
        <v>267.5</v>
      </c>
      <c r="S341">
        <f t="shared" si="63"/>
        <v>-2.4239937154070246E-3</v>
      </c>
      <c r="T341">
        <v>1594.849976</v>
      </c>
      <c r="U341">
        <f t="shared" si="64"/>
        <v>1.7967719333898069E-2</v>
      </c>
      <c r="W341">
        <f t="shared" si="65"/>
        <v>7.7471485863088727E-3</v>
      </c>
      <c r="X341">
        <v>-6.580767919897923E-3</v>
      </c>
    </row>
    <row r="342" spans="1:24" x14ac:dyDescent="0.35">
      <c r="A342" s="1">
        <v>43312</v>
      </c>
      <c r="B342">
        <v>1084.3985600000001</v>
      </c>
      <c r="C342">
        <f t="shared" si="55"/>
        <v>3.0050328673548066E-2</v>
      </c>
      <c r="D342">
        <v>1940.1999510000001</v>
      </c>
      <c r="E342">
        <f t="shared" si="56"/>
        <v>-2.2626890128070176E-3</v>
      </c>
      <c r="F342">
        <v>1089.75</v>
      </c>
      <c r="G342">
        <f t="shared" si="57"/>
        <v>4.4242123754885121E-3</v>
      </c>
      <c r="H342">
        <v>352.03109740000002</v>
      </c>
      <c r="I342">
        <f t="shared" si="58"/>
        <v>1.9178070152772175E-2</v>
      </c>
      <c r="J342">
        <v>682.54998780000005</v>
      </c>
      <c r="K342">
        <f t="shared" si="59"/>
        <v>1.0436695484826064E-2</v>
      </c>
      <c r="L342">
        <v>297.7000122</v>
      </c>
      <c r="M342">
        <f t="shared" si="60"/>
        <v>-1.1127639049185123E-2</v>
      </c>
      <c r="N342">
        <v>568.5</v>
      </c>
      <c r="O342">
        <f t="shared" si="61"/>
        <v>1.0307424336679416E-2</v>
      </c>
      <c r="P342">
        <v>165.6999969</v>
      </c>
      <c r="Q342">
        <f t="shared" si="62"/>
        <v>9.7500959203193904E-3</v>
      </c>
      <c r="R342">
        <v>264.10000609999997</v>
      </c>
      <c r="S342">
        <f t="shared" si="63"/>
        <v>-1.2710257570093586E-2</v>
      </c>
      <c r="T342">
        <v>1654.900024</v>
      </c>
      <c r="U342">
        <f t="shared" si="64"/>
        <v>3.7652474466977726E-2</v>
      </c>
      <c r="W342">
        <f t="shared" si="65"/>
        <v>9.5698715778525616E-3</v>
      </c>
      <c r="X342">
        <v>-6.5553801268905089E-3</v>
      </c>
    </row>
    <row r="343" spans="1:24" x14ac:dyDescent="0.35">
      <c r="A343" s="1">
        <v>43313</v>
      </c>
      <c r="B343">
        <v>1090.2045900000001</v>
      </c>
      <c r="C343">
        <f t="shared" si="55"/>
        <v>5.3541476484439965E-3</v>
      </c>
      <c r="D343">
        <v>1976.5</v>
      </c>
      <c r="E343">
        <f t="shared" si="56"/>
        <v>1.8709437128524131E-2</v>
      </c>
      <c r="F343">
        <v>1079.349976</v>
      </c>
      <c r="G343">
        <f t="shared" si="57"/>
        <v>-9.543495297086535E-3</v>
      </c>
      <c r="H343">
        <v>346.53341669999998</v>
      </c>
      <c r="I343">
        <f t="shared" si="58"/>
        <v>-1.5617031394681735E-2</v>
      </c>
      <c r="J343">
        <v>677.02502440000001</v>
      </c>
      <c r="K343">
        <f t="shared" si="59"/>
        <v>-8.0945916031852638E-3</v>
      </c>
      <c r="L343">
        <v>301.60000609999997</v>
      </c>
      <c r="M343">
        <f t="shared" si="60"/>
        <v>1.3100415653929831E-2</v>
      </c>
      <c r="N343">
        <v>574.65002440000001</v>
      </c>
      <c r="O343">
        <f t="shared" si="61"/>
        <v>1.0817984872471431E-2</v>
      </c>
      <c r="P343">
        <v>167.1999969</v>
      </c>
      <c r="Q343">
        <f t="shared" si="62"/>
        <v>9.052504695611141E-3</v>
      </c>
      <c r="R343">
        <v>265.0499878</v>
      </c>
      <c r="S343">
        <f t="shared" si="63"/>
        <v>3.5970529271411866E-3</v>
      </c>
      <c r="T343">
        <v>1669.6999510000001</v>
      </c>
      <c r="U343">
        <f t="shared" si="64"/>
        <v>8.9430943170982768E-3</v>
      </c>
      <c r="W343">
        <f t="shared" si="65"/>
        <v>3.6319518948266464E-3</v>
      </c>
      <c r="X343">
        <v>-6.5139957831226395E-3</v>
      </c>
    </row>
    <row r="344" spans="1:24" x14ac:dyDescent="0.35">
      <c r="A344" s="1">
        <v>43314</v>
      </c>
      <c r="B344">
        <v>1068.26062</v>
      </c>
      <c r="C344">
        <f t="shared" si="55"/>
        <v>-2.0128304541443987E-2</v>
      </c>
      <c r="D344">
        <v>1948.400024</v>
      </c>
      <c r="E344">
        <f t="shared" si="56"/>
        <v>-1.4217038198836351E-2</v>
      </c>
      <c r="F344">
        <v>1065.099976</v>
      </c>
      <c r="G344">
        <f t="shared" si="57"/>
        <v>-1.3202390621075089E-2</v>
      </c>
      <c r="H344">
        <v>336.16894530000002</v>
      </c>
      <c r="I344">
        <f t="shared" si="58"/>
        <v>-2.9909009926660679E-2</v>
      </c>
      <c r="J344">
        <v>676.82501219999995</v>
      </c>
      <c r="K344">
        <f t="shared" si="59"/>
        <v>-2.9542807546489858E-4</v>
      </c>
      <c r="L344">
        <v>299.2000122</v>
      </c>
      <c r="M344">
        <f t="shared" si="60"/>
        <v>-7.9575392952884183E-3</v>
      </c>
      <c r="N344">
        <v>580.40002440000001</v>
      </c>
      <c r="O344">
        <f t="shared" si="61"/>
        <v>1.0006090239017551E-2</v>
      </c>
      <c r="P344">
        <v>166.3999939</v>
      </c>
      <c r="Q344">
        <f t="shared" si="62"/>
        <v>-4.7847070265107927E-3</v>
      </c>
      <c r="R344">
        <v>260.85000609999997</v>
      </c>
      <c r="S344">
        <f t="shared" si="63"/>
        <v>-1.5845998465652489E-2</v>
      </c>
      <c r="T344">
        <v>1656.349976</v>
      </c>
      <c r="U344">
        <f t="shared" si="64"/>
        <v>-7.9954335460120651E-3</v>
      </c>
      <c r="W344">
        <f t="shared" si="65"/>
        <v>-1.0432975945792724E-2</v>
      </c>
      <c r="X344">
        <v>-6.5137817226760819E-3</v>
      </c>
    </row>
    <row r="345" spans="1:24" x14ac:dyDescent="0.35">
      <c r="A345" s="1">
        <v>43315</v>
      </c>
      <c r="B345">
        <v>1076.1239009999999</v>
      </c>
      <c r="C345">
        <f t="shared" si="55"/>
        <v>7.3608264245479393E-3</v>
      </c>
      <c r="D345">
        <v>1979.4499510000001</v>
      </c>
      <c r="E345">
        <f t="shared" si="56"/>
        <v>1.5936115077773261E-2</v>
      </c>
      <c r="F345">
        <v>1060.8249510000001</v>
      </c>
      <c r="G345">
        <f t="shared" si="57"/>
        <v>-4.0137311955023014E-3</v>
      </c>
      <c r="H345">
        <v>337.52084350000001</v>
      </c>
      <c r="I345">
        <f t="shared" si="58"/>
        <v>4.0214844913575298E-3</v>
      </c>
      <c r="J345">
        <v>682.04998780000005</v>
      </c>
      <c r="K345">
        <f t="shared" si="59"/>
        <v>7.7198323138449876E-3</v>
      </c>
      <c r="L345">
        <v>303.9500122</v>
      </c>
      <c r="M345">
        <f t="shared" si="60"/>
        <v>1.5875667801861226E-2</v>
      </c>
      <c r="N345">
        <v>585.84997559999999</v>
      </c>
      <c r="O345">
        <f t="shared" si="61"/>
        <v>9.389991335086556E-3</v>
      </c>
      <c r="P345">
        <v>166.8000031</v>
      </c>
      <c r="Q345">
        <f t="shared" si="62"/>
        <v>2.4039015304315736E-3</v>
      </c>
      <c r="R345">
        <v>258.4500122</v>
      </c>
      <c r="S345">
        <f t="shared" si="63"/>
        <v>-9.2006664515081882E-3</v>
      </c>
      <c r="T345">
        <v>1650.75</v>
      </c>
      <c r="U345">
        <f t="shared" si="64"/>
        <v>-3.3809135032704107E-3</v>
      </c>
      <c r="W345">
        <f t="shared" si="65"/>
        <v>4.6112507824622173E-3</v>
      </c>
      <c r="X345">
        <v>-6.4699990942048147E-3</v>
      </c>
    </row>
    <row r="346" spans="1:24" x14ac:dyDescent="0.35">
      <c r="A346" s="1">
        <v>43318</v>
      </c>
      <c r="B346">
        <v>1090.4332280000001</v>
      </c>
      <c r="C346">
        <f t="shared" si="55"/>
        <v>1.329709988478367E-2</v>
      </c>
      <c r="D346">
        <v>1975.5500489999999</v>
      </c>
      <c r="E346">
        <f t="shared" si="56"/>
        <v>-1.9701947998381764E-3</v>
      </c>
      <c r="F346">
        <v>1057.150024</v>
      </c>
      <c r="G346">
        <f t="shared" si="57"/>
        <v>-3.4642162182703107E-3</v>
      </c>
      <c r="H346">
        <v>347.6600037</v>
      </c>
      <c r="I346">
        <f t="shared" si="58"/>
        <v>3.0040100916019385E-2</v>
      </c>
      <c r="J346">
        <v>680.32501219999995</v>
      </c>
      <c r="K346">
        <f t="shared" si="59"/>
        <v>-2.5291043631041621E-3</v>
      </c>
      <c r="L346">
        <v>301.7999878</v>
      </c>
      <c r="M346">
        <f t="shared" si="60"/>
        <v>-7.0736118233325485E-3</v>
      </c>
      <c r="N346">
        <v>576.15002440000001</v>
      </c>
      <c r="O346">
        <f t="shared" si="61"/>
        <v>-1.6557056591264274E-2</v>
      </c>
      <c r="P346">
        <v>169.25</v>
      </c>
      <c r="Q346">
        <f t="shared" si="62"/>
        <v>1.4688230542365011E-2</v>
      </c>
      <c r="R346">
        <v>254.0500031</v>
      </c>
      <c r="S346">
        <f t="shared" si="63"/>
        <v>-1.7024603955503315E-2</v>
      </c>
      <c r="T346">
        <v>1635.5500489999999</v>
      </c>
      <c r="U346">
        <f t="shared" si="64"/>
        <v>-9.2079061032863674E-3</v>
      </c>
      <c r="W346">
        <f t="shared" si="65"/>
        <v>1.9873748856891649E-5</v>
      </c>
      <c r="X346">
        <v>-6.4401150054339221E-3</v>
      </c>
    </row>
    <row r="347" spans="1:24" x14ac:dyDescent="0.35">
      <c r="A347" s="1">
        <v>43319</v>
      </c>
      <c r="B347">
        <v>1082.752808</v>
      </c>
      <c r="C347">
        <f t="shared" si="55"/>
        <v>-7.0434574101222447E-3</v>
      </c>
      <c r="D347">
        <v>1967.349976</v>
      </c>
      <c r="E347">
        <f t="shared" si="56"/>
        <v>-4.1507796798925245E-3</v>
      </c>
      <c r="F347">
        <v>1065.4499510000001</v>
      </c>
      <c r="G347">
        <f t="shared" si="57"/>
        <v>7.8512290702081877E-3</v>
      </c>
      <c r="H347">
        <v>344.190155</v>
      </c>
      <c r="I347">
        <f t="shared" si="58"/>
        <v>-9.9805806335840908E-3</v>
      </c>
      <c r="J347">
        <v>683.97497559999999</v>
      </c>
      <c r="K347">
        <f t="shared" si="59"/>
        <v>5.3650289707811716E-3</v>
      </c>
      <c r="L347">
        <v>301.10000609999997</v>
      </c>
      <c r="M347">
        <f t="shared" si="60"/>
        <v>-2.3193562899144204E-3</v>
      </c>
      <c r="N347">
        <v>569.70001219999995</v>
      </c>
      <c r="O347">
        <f t="shared" si="61"/>
        <v>-1.1195022002675525E-2</v>
      </c>
      <c r="P347">
        <v>167.5500031</v>
      </c>
      <c r="Q347">
        <f t="shared" si="62"/>
        <v>-1.0044294830132916E-2</v>
      </c>
      <c r="R347">
        <v>251.6000061</v>
      </c>
      <c r="S347">
        <f t="shared" si="63"/>
        <v>-9.6437589848625827E-3</v>
      </c>
      <c r="T347">
        <v>1624.849976</v>
      </c>
      <c r="U347">
        <f t="shared" si="64"/>
        <v>-6.5421862244705586E-3</v>
      </c>
      <c r="W347">
        <f t="shared" si="65"/>
        <v>-4.7703178014665507E-3</v>
      </c>
      <c r="X347">
        <v>-6.4384343167243185E-3</v>
      </c>
    </row>
    <row r="348" spans="1:24" x14ac:dyDescent="0.35">
      <c r="A348" s="1">
        <v>43320</v>
      </c>
      <c r="B348">
        <v>1113.3829350000001</v>
      </c>
      <c r="C348">
        <f t="shared" si="55"/>
        <v>2.8289122663720745E-2</v>
      </c>
      <c r="D348">
        <v>1974</v>
      </c>
      <c r="E348">
        <f t="shared" si="56"/>
        <v>3.3801937027599926E-3</v>
      </c>
      <c r="F348">
        <v>1068.1750489999999</v>
      </c>
      <c r="G348">
        <f t="shared" si="57"/>
        <v>2.5576968654812404E-3</v>
      </c>
      <c r="H348">
        <v>347.25442500000003</v>
      </c>
      <c r="I348">
        <f t="shared" si="58"/>
        <v>8.9028403499804565E-3</v>
      </c>
      <c r="J348">
        <v>681.375</v>
      </c>
      <c r="K348">
        <f t="shared" si="59"/>
        <v>-3.8012729891458985E-3</v>
      </c>
      <c r="L348">
        <v>300.9500122</v>
      </c>
      <c r="M348">
        <f t="shared" si="60"/>
        <v>-4.9815309518841389E-4</v>
      </c>
      <c r="N348">
        <v>574</v>
      </c>
      <c r="O348">
        <f t="shared" si="61"/>
        <v>7.5478106159676539E-3</v>
      </c>
      <c r="P348">
        <v>172.5</v>
      </c>
      <c r="Q348">
        <f t="shared" si="62"/>
        <v>2.9543400826114397E-2</v>
      </c>
      <c r="R348">
        <v>255.1499939</v>
      </c>
      <c r="S348">
        <f t="shared" si="63"/>
        <v>1.4109649101475163E-2</v>
      </c>
      <c r="T348">
        <v>1627.849976</v>
      </c>
      <c r="U348">
        <f t="shared" si="64"/>
        <v>1.8463243033584043E-3</v>
      </c>
      <c r="W348">
        <f t="shared" si="65"/>
        <v>9.1877612344523751E-3</v>
      </c>
      <c r="X348">
        <v>-6.42158789145002E-3</v>
      </c>
    </row>
    <row r="349" spans="1:24" x14ac:dyDescent="0.35">
      <c r="A349" s="1">
        <v>43321</v>
      </c>
      <c r="B349">
        <v>1113.611572</v>
      </c>
      <c r="C349">
        <f t="shared" si="55"/>
        <v>2.0535342586325278E-4</v>
      </c>
      <c r="D349">
        <v>1974.349976</v>
      </c>
      <c r="E349">
        <f t="shared" si="56"/>
        <v>1.7729280648426382E-4</v>
      </c>
      <c r="F349">
        <v>1059.25</v>
      </c>
      <c r="G349">
        <f t="shared" si="57"/>
        <v>-8.3554179704491416E-3</v>
      </c>
      <c r="H349">
        <v>330.806488</v>
      </c>
      <c r="I349">
        <f t="shared" si="58"/>
        <v>-4.7365665678702373E-2</v>
      </c>
      <c r="J349">
        <v>689.97497559999999</v>
      </c>
      <c r="K349">
        <f t="shared" si="59"/>
        <v>1.2621501522656287E-2</v>
      </c>
      <c r="L349">
        <v>302.5</v>
      </c>
      <c r="M349">
        <f t="shared" si="60"/>
        <v>5.1503164551125469E-3</v>
      </c>
      <c r="N349">
        <v>571.45001219999995</v>
      </c>
      <c r="O349">
        <f t="shared" si="61"/>
        <v>-4.4424874564460426E-3</v>
      </c>
      <c r="P349">
        <v>168.8999939</v>
      </c>
      <c r="Q349">
        <f t="shared" si="62"/>
        <v>-2.0869600579710101E-2</v>
      </c>
      <c r="R349">
        <v>257.85000609999997</v>
      </c>
      <c r="S349">
        <f t="shared" si="63"/>
        <v>1.0582058650011827E-2</v>
      </c>
      <c r="T349">
        <v>1613.1999510000001</v>
      </c>
      <c r="U349">
        <f t="shared" si="64"/>
        <v>-8.9996161906752414E-3</v>
      </c>
      <c r="W349">
        <f t="shared" si="65"/>
        <v>-6.1296265015854719E-3</v>
      </c>
      <c r="X349">
        <v>-6.4174690994939325E-3</v>
      </c>
    </row>
    <row r="350" spans="1:24" x14ac:dyDescent="0.35">
      <c r="A350" s="1">
        <v>43322</v>
      </c>
      <c r="B350">
        <v>1101.0394289999999</v>
      </c>
      <c r="C350">
        <f t="shared" si="55"/>
        <v>-1.1289522591275691E-2</v>
      </c>
      <c r="D350">
        <v>1993.099976</v>
      </c>
      <c r="E350">
        <f t="shared" si="56"/>
        <v>9.4967965294516787E-3</v>
      </c>
      <c r="F350">
        <v>1057.224976</v>
      </c>
      <c r="G350">
        <f t="shared" si="57"/>
        <v>-1.9117526551806208E-3</v>
      </c>
      <c r="H350">
        <v>333.28494260000002</v>
      </c>
      <c r="I350">
        <f t="shared" si="58"/>
        <v>7.4921583762892485E-3</v>
      </c>
      <c r="J350">
        <v>692.72497559999999</v>
      </c>
      <c r="K350">
        <f t="shared" si="59"/>
        <v>3.9856517949923287E-3</v>
      </c>
      <c r="L350">
        <v>304.7999878</v>
      </c>
      <c r="M350">
        <f t="shared" si="60"/>
        <v>7.6032654545454825E-3</v>
      </c>
      <c r="N350">
        <v>554</v>
      </c>
      <c r="O350">
        <f t="shared" si="61"/>
        <v>-3.0536375583963937E-2</v>
      </c>
      <c r="P350">
        <v>169.25</v>
      </c>
      <c r="Q350">
        <f t="shared" si="62"/>
        <v>2.0722682808811399E-3</v>
      </c>
      <c r="R350">
        <v>250.1000061</v>
      </c>
      <c r="S350">
        <f t="shared" si="63"/>
        <v>-3.0056233533670484E-2</v>
      </c>
      <c r="T350">
        <v>1589.400024</v>
      </c>
      <c r="U350">
        <f t="shared" si="64"/>
        <v>-1.4753240591934502E-2</v>
      </c>
      <c r="W350">
        <f t="shared" si="65"/>
        <v>-5.7896984519865361E-3</v>
      </c>
      <c r="X350">
        <v>-6.3740566071594403E-3</v>
      </c>
    </row>
    <row r="351" spans="1:24" x14ac:dyDescent="0.35">
      <c r="A351" s="1">
        <v>43325</v>
      </c>
      <c r="B351">
        <v>1085.9530030000001</v>
      </c>
      <c r="C351">
        <f t="shared" si="55"/>
        <v>-1.3701985235625824E-2</v>
      </c>
      <c r="D351">
        <v>2000.150024</v>
      </c>
      <c r="E351">
        <f t="shared" si="56"/>
        <v>3.5372274772431656E-3</v>
      </c>
      <c r="F351">
        <v>1045.8249510000001</v>
      </c>
      <c r="G351">
        <f t="shared" si="57"/>
        <v>-1.0782969811337417E-2</v>
      </c>
      <c r="H351">
        <v>333.6003723</v>
      </c>
      <c r="I351">
        <f t="shared" si="58"/>
        <v>9.4642649481624375E-4</v>
      </c>
      <c r="J351">
        <v>704.375</v>
      </c>
      <c r="K351">
        <f t="shared" si="59"/>
        <v>1.6817676293408468E-2</v>
      </c>
      <c r="L351">
        <v>305.9500122</v>
      </c>
      <c r="M351">
        <f t="shared" si="60"/>
        <v>3.7730460827793966E-3</v>
      </c>
      <c r="N351">
        <v>563.90002440000001</v>
      </c>
      <c r="O351">
        <f t="shared" si="61"/>
        <v>1.7870080144404277E-2</v>
      </c>
      <c r="P351">
        <v>166.0500031</v>
      </c>
      <c r="Q351">
        <f t="shared" si="62"/>
        <v>-1.8906924076809495E-2</v>
      </c>
      <c r="R351">
        <v>248.6999969</v>
      </c>
      <c r="S351">
        <f t="shared" si="63"/>
        <v>-5.5977975443959327E-3</v>
      </c>
      <c r="T351">
        <v>1566.0500489999999</v>
      </c>
      <c r="U351">
        <f t="shared" si="64"/>
        <v>-1.4691062443321079E-2</v>
      </c>
      <c r="W351">
        <f t="shared" si="65"/>
        <v>-2.0736282618838194E-3</v>
      </c>
      <c r="X351">
        <v>-6.3527975057701578E-3</v>
      </c>
    </row>
    <row r="352" spans="1:24" x14ac:dyDescent="0.35">
      <c r="A352" s="1">
        <v>43326</v>
      </c>
      <c r="B352">
        <v>1106.8912350000001</v>
      </c>
      <c r="C352">
        <f t="shared" si="55"/>
        <v>1.9280974353546698E-2</v>
      </c>
      <c r="D352">
        <v>2003.5500489999999</v>
      </c>
      <c r="E352">
        <f t="shared" si="56"/>
        <v>1.6998849882272626E-3</v>
      </c>
      <c r="F352">
        <v>1044.5500489999999</v>
      </c>
      <c r="G352">
        <f t="shared" si="57"/>
        <v>-1.2190395713748137E-3</v>
      </c>
      <c r="H352">
        <v>330.76141360000003</v>
      </c>
      <c r="I352">
        <f t="shared" si="58"/>
        <v>-8.5100585482769109E-3</v>
      </c>
      <c r="J352">
        <v>704.15002440000001</v>
      </c>
      <c r="K352">
        <f t="shared" si="59"/>
        <v>-3.1939748003551038E-4</v>
      </c>
      <c r="L352">
        <v>307.89999390000003</v>
      </c>
      <c r="M352">
        <f t="shared" si="60"/>
        <v>6.3735303881122807E-3</v>
      </c>
      <c r="N352">
        <v>601.79998780000005</v>
      </c>
      <c r="O352">
        <f t="shared" si="61"/>
        <v>6.721043050197828E-2</v>
      </c>
      <c r="P352">
        <v>166.25</v>
      </c>
      <c r="Q352">
        <f t="shared" si="62"/>
        <v>1.2044377974480547E-3</v>
      </c>
      <c r="R352">
        <v>248.8000031</v>
      </c>
      <c r="S352">
        <f t="shared" si="63"/>
        <v>4.0211580718363393E-4</v>
      </c>
      <c r="T352">
        <v>1571.599976</v>
      </c>
      <c r="U352">
        <f t="shared" si="64"/>
        <v>3.5439014248259681E-3</v>
      </c>
      <c r="W352">
        <f t="shared" si="65"/>
        <v>8.966677966163494E-3</v>
      </c>
      <c r="X352">
        <v>-6.3340348115566549E-3</v>
      </c>
    </row>
    <row r="353" spans="1:24" x14ac:dyDescent="0.35">
      <c r="A353" s="1">
        <v>43328</v>
      </c>
      <c r="B353">
        <v>1097.930664</v>
      </c>
      <c r="C353">
        <f t="shared" si="55"/>
        <v>-8.0952587902641815E-3</v>
      </c>
      <c r="D353">
        <v>2008.5</v>
      </c>
      <c r="E353">
        <f t="shared" si="56"/>
        <v>2.4705901419685983E-3</v>
      </c>
      <c r="F353">
        <v>1037.849976</v>
      </c>
      <c r="G353">
        <f t="shared" si="57"/>
        <v>-6.4143149544766409E-3</v>
      </c>
      <c r="H353">
        <v>335.26770019999998</v>
      </c>
      <c r="I353">
        <f t="shared" si="58"/>
        <v>1.3623979142408427E-2</v>
      </c>
      <c r="J353">
        <v>714.77502440000001</v>
      </c>
      <c r="K353">
        <f t="shared" si="59"/>
        <v>1.5089114012391658E-2</v>
      </c>
      <c r="L353">
        <v>307.4500122</v>
      </c>
      <c r="M353">
        <f t="shared" si="60"/>
        <v>-1.461454072474444E-3</v>
      </c>
      <c r="N353">
        <v>619.70001219999995</v>
      </c>
      <c r="O353">
        <f t="shared" si="61"/>
        <v>2.9744142178262489E-2</v>
      </c>
      <c r="P353">
        <v>164.4499969</v>
      </c>
      <c r="Q353">
        <f t="shared" si="62"/>
        <v>-1.0827086315789436E-2</v>
      </c>
      <c r="R353">
        <v>251.3000031</v>
      </c>
      <c r="S353">
        <f t="shared" si="63"/>
        <v>1.004823138605504E-2</v>
      </c>
      <c r="T353">
        <v>1563.5500489999999</v>
      </c>
      <c r="U353">
        <f t="shared" si="64"/>
        <v>-5.1221221194521771E-3</v>
      </c>
      <c r="W353">
        <f t="shared" si="65"/>
        <v>3.9055820608629335E-3</v>
      </c>
      <c r="X353">
        <v>-6.3144237024547294E-3</v>
      </c>
    </row>
    <row r="354" spans="1:24" x14ac:dyDescent="0.35">
      <c r="A354" s="1">
        <v>43329</v>
      </c>
      <c r="B354">
        <v>1100.628052</v>
      </c>
      <c r="C354">
        <f t="shared" si="55"/>
        <v>2.4567926631839931E-3</v>
      </c>
      <c r="D354">
        <v>2012.75</v>
      </c>
      <c r="E354">
        <f t="shared" si="56"/>
        <v>2.1160069703758388E-3</v>
      </c>
      <c r="F354">
        <v>1038.6750489999999</v>
      </c>
      <c r="G354">
        <f t="shared" si="57"/>
        <v>7.9498291571966639E-4</v>
      </c>
      <c r="H354">
        <v>334.72695920000001</v>
      </c>
      <c r="I354">
        <f t="shared" si="58"/>
        <v>-1.612863391485031E-3</v>
      </c>
      <c r="J354">
        <v>715.17498780000005</v>
      </c>
      <c r="K354">
        <f t="shared" si="59"/>
        <v>5.5956543855995022E-4</v>
      </c>
      <c r="L354">
        <v>313.75</v>
      </c>
      <c r="M354">
        <f t="shared" si="60"/>
        <v>2.0491096275845333E-2</v>
      </c>
      <c r="N354">
        <v>623.5</v>
      </c>
      <c r="O354">
        <f t="shared" si="61"/>
        <v>6.1319795468612881E-3</v>
      </c>
      <c r="P354">
        <v>163.0500031</v>
      </c>
      <c r="Q354">
        <f t="shared" si="62"/>
        <v>-8.513188363580948E-3</v>
      </c>
      <c r="R354">
        <v>258.25</v>
      </c>
      <c r="S354">
        <f t="shared" si="63"/>
        <v>2.7656175146302697E-2</v>
      </c>
      <c r="T354">
        <v>1616.6999510000001</v>
      </c>
      <c r="U354">
        <f t="shared" si="64"/>
        <v>3.3993092855577833E-2</v>
      </c>
      <c r="W354">
        <f t="shared" si="65"/>
        <v>8.4073640057360632E-3</v>
      </c>
      <c r="X354">
        <v>-6.310221403001237E-3</v>
      </c>
    </row>
    <row r="355" spans="1:24" x14ac:dyDescent="0.35">
      <c r="A355" s="1">
        <v>43332</v>
      </c>
      <c r="B355">
        <v>1129.1094969999999</v>
      </c>
      <c r="C355">
        <f t="shared" si="55"/>
        <v>2.5877447833757339E-2</v>
      </c>
      <c r="D355">
        <v>2009.9499510000001</v>
      </c>
      <c r="E355">
        <f t="shared" si="56"/>
        <v>-1.3911558812569336E-3</v>
      </c>
      <c r="F355">
        <v>1048.099976</v>
      </c>
      <c r="G355">
        <f t="shared" si="57"/>
        <v>9.0739899924177081E-3</v>
      </c>
      <c r="H355">
        <v>333.96087649999998</v>
      </c>
      <c r="I355">
        <f t="shared" si="58"/>
        <v>-2.2886794115148934E-3</v>
      </c>
      <c r="J355">
        <v>692.125</v>
      </c>
      <c r="K355">
        <f t="shared" si="59"/>
        <v>-3.2229857298149867E-2</v>
      </c>
      <c r="L355">
        <v>313.2999878</v>
      </c>
      <c r="M355">
        <f t="shared" si="60"/>
        <v>-1.4343018326693491E-3</v>
      </c>
      <c r="N355">
        <v>626.34997559999999</v>
      </c>
      <c r="O355">
        <f t="shared" si="61"/>
        <v>4.5709311948676223E-3</v>
      </c>
      <c r="P355">
        <v>168.6999969</v>
      </c>
      <c r="Q355">
        <f t="shared" si="62"/>
        <v>3.4651908571475598E-2</v>
      </c>
      <c r="R355">
        <v>270.10000609999997</v>
      </c>
      <c r="S355">
        <f t="shared" si="63"/>
        <v>4.5885793223620519E-2</v>
      </c>
      <c r="T355">
        <v>1614.150024</v>
      </c>
      <c r="U355">
        <f t="shared" si="64"/>
        <v>-1.5772419603420351E-3</v>
      </c>
      <c r="W355">
        <f t="shared" si="65"/>
        <v>8.1138834432205702E-3</v>
      </c>
      <c r="X355">
        <v>-6.2916281691882811E-3</v>
      </c>
    </row>
    <row r="356" spans="1:24" x14ac:dyDescent="0.35">
      <c r="A356" s="1">
        <v>43333</v>
      </c>
      <c r="B356">
        <v>1140.3557129999999</v>
      </c>
      <c r="C356">
        <f t="shared" si="55"/>
        <v>9.9602527743152258E-3</v>
      </c>
      <c r="D356">
        <v>2017.650024</v>
      </c>
      <c r="E356">
        <f t="shared" si="56"/>
        <v>3.830977480891562E-3</v>
      </c>
      <c r="F356">
        <v>1048.025024</v>
      </c>
      <c r="G356">
        <f t="shared" si="57"/>
        <v>-7.1512261917927589E-5</v>
      </c>
      <c r="H356">
        <v>331.88800049999998</v>
      </c>
      <c r="I356">
        <f t="shared" si="58"/>
        <v>-6.20694262670618E-3</v>
      </c>
      <c r="J356">
        <v>691.97497559999999</v>
      </c>
      <c r="K356">
        <f t="shared" si="59"/>
        <v>-2.167591114321521E-4</v>
      </c>
      <c r="L356">
        <v>312.89999390000003</v>
      </c>
      <c r="M356">
        <f t="shared" si="60"/>
        <v>-1.2767121467470721E-3</v>
      </c>
      <c r="N356">
        <v>635.40002440000001</v>
      </c>
      <c r="O356">
        <f t="shared" si="61"/>
        <v>1.4448869086856275E-2</v>
      </c>
      <c r="P356">
        <v>170.1999969</v>
      </c>
      <c r="Q356">
        <f t="shared" si="62"/>
        <v>8.8915235777340396E-3</v>
      </c>
      <c r="R356">
        <v>268.7999878</v>
      </c>
      <c r="S356">
        <f t="shared" si="63"/>
        <v>-4.8130998542764702E-3</v>
      </c>
      <c r="T356">
        <v>1587.5</v>
      </c>
      <c r="U356">
        <f t="shared" si="64"/>
        <v>-1.6510252209369636E-2</v>
      </c>
      <c r="W356">
        <f t="shared" si="65"/>
        <v>8.0363447093476656E-4</v>
      </c>
      <c r="X356">
        <v>-6.2809771055879256E-3</v>
      </c>
    </row>
    <row r="357" spans="1:24" x14ac:dyDescent="0.35">
      <c r="A357" s="1">
        <v>43335</v>
      </c>
      <c r="B357">
        <v>1160.699707</v>
      </c>
      <c r="C357">
        <f t="shared" si="55"/>
        <v>1.784004216235302E-2</v>
      </c>
      <c r="D357">
        <v>2035.099976</v>
      </c>
      <c r="E357">
        <f t="shared" si="56"/>
        <v>8.6486515463197744E-3</v>
      </c>
      <c r="F357">
        <v>1039.9499510000001</v>
      </c>
      <c r="G357">
        <f t="shared" si="57"/>
        <v>-7.7050383483973084E-3</v>
      </c>
      <c r="H357">
        <v>333.37506100000002</v>
      </c>
      <c r="I357">
        <f t="shared" si="58"/>
        <v>4.4806094157057164E-3</v>
      </c>
      <c r="J357">
        <v>698.70001219999995</v>
      </c>
      <c r="K357">
        <f t="shared" si="59"/>
        <v>9.7186124312786948E-3</v>
      </c>
      <c r="L357">
        <v>312</v>
      </c>
      <c r="M357">
        <f t="shared" si="60"/>
        <v>-2.8762988735872019E-3</v>
      </c>
      <c r="N357">
        <v>639.65002440000001</v>
      </c>
      <c r="O357">
        <f t="shared" si="61"/>
        <v>6.6886997746233856E-3</v>
      </c>
      <c r="P357">
        <v>171.8999939</v>
      </c>
      <c r="Q357">
        <f t="shared" si="62"/>
        <v>9.9882316742863075E-3</v>
      </c>
      <c r="R357">
        <v>256.89999390000003</v>
      </c>
      <c r="S357">
        <f t="shared" si="63"/>
        <v>-4.4270812649195967E-2</v>
      </c>
      <c r="T357">
        <v>1554.849976</v>
      </c>
      <c r="U357">
        <f t="shared" si="64"/>
        <v>-2.0566944251968478E-2</v>
      </c>
      <c r="W357">
        <f t="shared" si="65"/>
        <v>-1.8054247118582051E-3</v>
      </c>
      <c r="X357">
        <v>-6.2774701619050851E-3</v>
      </c>
    </row>
    <row r="358" spans="1:24" x14ac:dyDescent="0.35">
      <c r="A358" s="1">
        <v>43336</v>
      </c>
      <c r="B358">
        <v>1168.0600589999999</v>
      </c>
      <c r="C358">
        <f t="shared" si="55"/>
        <v>6.3413059860450982E-3</v>
      </c>
      <c r="D358">
        <v>2043</v>
      </c>
      <c r="E358">
        <f t="shared" si="56"/>
        <v>3.8818849654391752E-3</v>
      </c>
      <c r="F358">
        <v>1034.9250489999999</v>
      </c>
      <c r="G358">
        <f t="shared" si="57"/>
        <v>-4.8318690675145382E-3</v>
      </c>
      <c r="H358">
        <v>332.5188599</v>
      </c>
      <c r="I358">
        <f t="shared" si="58"/>
        <v>-2.5682817947801917E-3</v>
      </c>
      <c r="J358">
        <v>689.15002440000001</v>
      </c>
      <c r="K358">
        <f t="shared" si="59"/>
        <v>-1.366822331937545E-2</v>
      </c>
      <c r="L358">
        <v>310.39999390000003</v>
      </c>
      <c r="M358">
        <f t="shared" si="60"/>
        <v>-5.1282246794871478E-3</v>
      </c>
      <c r="N358">
        <v>629.79998780000005</v>
      </c>
      <c r="O358">
        <f t="shared" si="61"/>
        <v>-1.5399102984853918E-2</v>
      </c>
      <c r="P358">
        <v>174.75</v>
      </c>
      <c r="Q358">
        <f t="shared" si="62"/>
        <v>1.6579442705844105E-2</v>
      </c>
      <c r="R358">
        <v>255.5</v>
      </c>
      <c r="S358">
        <f t="shared" si="63"/>
        <v>-5.4495676654043868E-3</v>
      </c>
      <c r="T358">
        <v>1559.6999510000001</v>
      </c>
      <c r="U358">
        <f t="shared" si="64"/>
        <v>3.119255924920239E-3</v>
      </c>
      <c r="W358">
        <f t="shared" si="65"/>
        <v>-1.712337992916702E-3</v>
      </c>
      <c r="X358">
        <v>-6.250983079866955E-3</v>
      </c>
    </row>
    <row r="359" spans="1:24" x14ac:dyDescent="0.35">
      <c r="A359" s="1">
        <v>43339</v>
      </c>
      <c r="B359">
        <v>1180.8607179999999</v>
      </c>
      <c r="C359">
        <f t="shared" si="55"/>
        <v>1.0958904810904002E-2</v>
      </c>
      <c r="D359">
        <v>2050.8999020000001</v>
      </c>
      <c r="E359">
        <f t="shared" si="56"/>
        <v>3.8668144884974609E-3</v>
      </c>
      <c r="F359">
        <v>1040.224976</v>
      </c>
      <c r="G359">
        <f t="shared" si="57"/>
        <v>5.1210732652775537E-3</v>
      </c>
      <c r="H359">
        <v>341.71170039999998</v>
      </c>
      <c r="I359">
        <f t="shared" si="58"/>
        <v>2.7646072474699857E-2</v>
      </c>
      <c r="J359">
        <v>707.70001219999995</v>
      </c>
      <c r="K359">
        <f t="shared" si="59"/>
        <v>2.6917198205354875E-2</v>
      </c>
      <c r="L359">
        <v>313.39999390000003</v>
      </c>
      <c r="M359">
        <f t="shared" si="60"/>
        <v>9.664948643544502E-3</v>
      </c>
      <c r="N359">
        <v>621.79998780000005</v>
      </c>
      <c r="O359">
        <f t="shared" si="61"/>
        <v>-1.270244546676691E-2</v>
      </c>
      <c r="P359">
        <v>176.0500031</v>
      </c>
      <c r="Q359">
        <f t="shared" si="62"/>
        <v>7.4392165951358002E-3</v>
      </c>
      <c r="R359">
        <v>258.7999878</v>
      </c>
      <c r="S359">
        <f t="shared" si="63"/>
        <v>1.2915803522504987E-2</v>
      </c>
      <c r="T359">
        <v>1588.099976</v>
      </c>
      <c r="U359">
        <f t="shared" si="64"/>
        <v>1.8208646465489364E-2</v>
      </c>
      <c r="W359">
        <f t="shared" si="65"/>
        <v>1.1003623300464149E-2</v>
      </c>
      <c r="X359">
        <v>-6.2119226337303607E-3</v>
      </c>
    </row>
    <row r="360" spans="1:24" x14ac:dyDescent="0.35">
      <c r="A360" s="1">
        <v>43340</v>
      </c>
      <c r="B360">
        <v>1206.0048830000001</v>
      </c>
      <c r="C360">
        <f t="shared" si="55"/>
        <v>2.129308276304287E-2</v>
      </c>
      <c r="D360">
        <v>2069.1999510000001</v>
      </c>
      <c r="E360">
        <f t="shared" si="56"/>
        <v>8.9229362106624244E-3</v>
      </c>
      <c r="F360">
        <v>1047.4250489999999</v>
      </c>
      <c r="G360">
        <f t="shared" si="57"/>
        <v>6.9216498028019657E-3</v>
      </c>
      <c r="H360">
        <v>339.59375</v>
      </c>
      <c r="I360">
        <f t="shared" si="58"/>
        <v>-6.1980622774132632E-3</v>
      </c>
      <c r="J360">
        <v>712.34997559999999</v>
      </c>
      <c r="K360">
        <f t="shared" si="59"/>
        <v>6.5705289244588627E-3</v>
      </c>
      <c r="L360">
        <v>311.64999390000003</v>
      </c>
      <c r="M360">
        <f t="shared" si="60"/>
        <v>-5.5839184239371287E-3</v>
      </c>
      <c r="N360">
        <v>621.20001219999995</v>
      </c>
      <c r="O360">
        <f t="shared" si="61"/>
        <v>-9.649012733545792E-4</v>
      </c>
      <c r="P360">
        <v>174.6000061</v>
      </c>
      <c r="Q360">
        <f t="shared" si="62"/>
        <v>-8.2362793210311036E-3</v>
      </c>
      <c r="R360">
        <v>260</v>
      </c>
      <c r="S360">
        <f t="shared" si="63"/>
        <v>4.636832521520029E-3</v>
      </c>
      <c r="T360">
        <v>1592.4499510000001</v>
      </c>
      <c r="U360">
        <f t="shared" si="64"/>
        <v>2.7391065208353105E-3</v>
      </c>
      <c r="W360">
        <f t="shared" si="65"/>
        <v>3.0100975447585384E-3</v>
      </c>
      <c r="X360">
        <v>-6.1790683762358413E-3</v>
      </c>
    </row>
    <row r="361" spans="1:24" x14ac:dyDescent="0.35">
      <c r="A361" s="1">
        <v>43341</v>
      </c>
      <c r="B361">
        <v>1183.329346</v>
      </c>
      <c r="C361">
        <f t="shared" si="55"/>
        <v>-1.8802193357288499E-2</v>
      </c>
      <c r="D361">
        <v>2072</v>
      </c>
      <c r="E361">
        <f t="shared" si="56"/>
        <v>1.3532036856307439E-3</v>
      </c>
      <c r="F361">
        <v>1039.25</v>
      </c>
      <c r="G361">
        <f t="shared" si="57"/>
        <v>-7.8049011791391232E-3</v>
      </c>
      <c r="H361">
        <v>337.88134769999999</v>
      </c>
      <c r="I361">
        <f t="shared" si="58"/>
        <v>-5.0425024017668463E-3</v>
      </c>
      <c r="J361">
        <v>705.04998780000005</v>
      </c>
      <c r="K361">
        <f t="shared" si="59"/>
        <v>-1.0247754685260291E-2</v>
      </c>
      <c r="L361">
        <v>312.7999878</v>
      </c>
      <c r="M361">
        <f t="shared" si="60"/>
        <v>3.690017399355261E-3</v>
      </c>
      <c r="N361">
        <v>621.25</v>
      </c>
      <c r="O361">
        <f t="shared" si="61"/>
        <v>8.0469734414556626E-5</v>
      </c>
      <c r="P361">
        <v>177</v>
      </c>
      <c r="Q361">
        <f t="shared" si="62"/>
        <v>1.3745669050122755E-2</v>
      </c>
      <c r="R361">
        <v>261.7000122</v>
      </c>
      <c r="S361">
        <f t="shared" si="63"/>
        <v>6.5385084615385836E-3</v>
      </c>
      <c r="T361">
        <v>1603.099976</v>
      </c>
      <c r="U361">
        <f t="shared" si="64"/>
        <v>6.6878239993113375E-3</v>
      </c>
      <c r="W361">
        <f t="shared" si="65"/>
        <v>-9.8016592930815242E-4</v>
      </c>
      <c r="X361">
        <v>-6.1741931903471761E-3</v>
      </c>
    </row>
    <row r="362" spans="1:24" x14ac:dyDescent="0.35">
      <c r="A362" s="1">
        <v>43342</v>
      </c>
      <c r="B362">
        <v>1165.271362</v>
      </c>
      <c r="C362">
        <f t="shared" si="55"/>
        <v>-1.5260319589843085E-2</v>
      </c>
      <c r="D362">
        <v>2082.3999020000001</v>
      </c>
      <c r="E362">
        <f t="shared" si="56"/>
        <v>5.0192577220078416E-3</v>
      </c>
      <c r="F362">
        <v>1033.0500489999999</v>
      </c>
      <c r="G362">
        <f t="shared" si="57"/>
        <v>-5.9657936011546786E-3</v>
      </c>
      <c r="H362">
        <v>345.27166749999998</v>
      </c>
      <c r="I362">
        <f t="shared" si="58"/>
        <v>2.1872529662577689E-2</v>
      </c>
      <c r="J362">
        <v>708.09997559999999</v>
      </c>
      <c r="K362">
        <f t="shared" si="59"/>
        <v>4.3259171020155751E-3</v>
      </c>
      <c r="L362">
        <v>319.85000609999997</v>
      </c>
      <c r="M362">
        <f t="shared" si="60"/>
        <v>2.2538422554247761E-2</v>
      </c>
      <c r="N362">
        <v>639.95001219999995</v>
      </c>
      <c r="O362">
        <f t="shared" si="61"/>
        <v>3.0100623259557313E-2</v>
      </c>
      <c r="P362">
        <v>177.4499969</v>
      </c>
      <c r="Q362">
        <f t="shared" si="62"/>
        <v>2.5423553672316856E-3</v>
      </c>
      <c r="R362">
        <v>259.35000609999997</v>
      </c>
      <c r="S362">
        <f t="shared" si="63"/>
        <v>-8.9797706933389954E-3</v>
      </c>
      <c r="T362">
        <v>1591.8000489999999</v>
      </c>
      <c r="U362">
        <f t="shared" si="64"/>
        <v>-7.0487974357003047E-3</v>
      </c>
      <c r="W362">
        <f t="shared" si="65"/>
        <v>4.9144424347600801E-3</v>
      </c>
      <c r="X362">
        <v>-6.1296265015854719E-3</v>
      </c>
    </row>
    <row r="363" spans="1:24" x14ac:dyDescent="0.35">
      <c r="A363" s="1">
        <v>43343</v>
      </c>
      <c r="B363">
        <v>1135.28125</v>
      </c>
      <c r="C363">
        <f t="shared" si="55"/>
        <v>-2.5736590615705879E-2</v>
      </c>
      <c r="D363">
        <v>2078.3999020000001</v>
      </c>
      <c r="E363">
        <f t="shared" si="56"/>
        <v>-1.920860635922228E-3</v>
      </c>
      <c r="F363">
        <v>1030.599976</v>
      </c>
      <c r="G363">
        <f t="shared" si="57"/>
        <v>-2.3716885763391815E-3</v>
      </c>
      <c r="H363">
        <v>345.94760129999997</v>
      </c>
      <c r="I363">
        <f t="shared" si="58"/>
        <v>1.9576868408990311E-3</v>
      </c>
      <c r="J363">
        <v>720.54998780000005</v>
      </c>
      <c r="K363">
        <f t="shared" si="59"/>
        <v>1.7582280227379954E-2</v>
      </c>
      <c r="L363">
        <v>319.85000609999997</v>
      </c>
      <c r="M363">
        <f t="shared" si="60"/>
        <v>0</v>
      </c>
      <c r="N363">
        <v>652.84997559999999</v>
      </c>
      <c r="O363">
        <f t="shared" si="61"/>
        <v>2.0157767253809356E-2</v>
      </c>
      <c r="P363">
        <v>180.0500031</v>
      </c>
      <c r="Q363">
        <f t="shared" si="62"/>
        <v>1.4652049847401205E-2</v>
      </c>
      <c r="R363">
        <v>267.5</v>
      </c>
      <c r="S363">
        <f t="shared" si="63"/>
        <v>3.1424691375783409E-2</v>
      </c>
      <c r="T363">
        <v>1604.5</v>
      </c>
      <c r="U363">
        <f t="shared" si="64"/>
        <v>7.9783582165224853E-3</v>
      </c>
      <c r="W363">
        <f t="shared" si="65"/>
        <v>6.3723693933828152E-3</v>
      </c>
      <c r="X363">
        <v>-6.1216639842542669E-3</v>
      </c>
    </row>
    <row r="364" spans="1:24" x14ac:dyDescent="0.35">
      <c r="A364" s="1">
        <v>43346</v>
      </c>
      <c r="B364">
        <v>1123.8520510000001</v>
      </c>
      <c r="C364">
        <f t="shared" si="55"/>
        <v>-1.0067284208208238E-2</v>
      </c>
      <c r="D364">
        <v>2052.8999020000001</v>
      </c>
      <c r="E364">
        <f t="shared" si="56"/>
        <v>-1.2269053696289056E-2</v>
      </c>
      <c r="F364">
        <v>1037.525024</v>
      </c>
      <c r="G364">
        <f t="shared" si="57"/>
        <v>6.719433496280347E-3</v>
      </c>
      <c r="H364">
        <v>345.9025269</v>
      </c>
      <c r="I364">
        <f t="shared" si="58"/>
        <v>-1.3029256404895051E-4</v>
      </c>
      <c r="J364">
        <v>717.125</v>
      </c>
      <c r="K364">
        <f t="shared" si="59"/>
        <v>-4.7532965900912716E-3</v>
      </c>
      <c r="L364">
        <v>313.2000122</v>
      </c>
      <c r="M364">
        <f t="shared" si="60"/>
        <v>-2.0790976311317877E-2</v>
      </c>
      <c r="N364">
        <v>656.20001219999995</v>
      </c>
      <c r="O364">
        <f t="shared" si="61"/>
        <v>5.1314034237668338E-3</v>
      </c>
      <c r="P364">
        <v>177.3000031</v>
      </c>
      <c r="Q364">
        <f t="shared" si="62"/>
        <v>-1.5273534866159677E-2</v>
      </c>
      <c r="R364">
        <v>266.60000609999997</v>
      </c>
      <c r="S364">
        <f t="shared" si="63"/>
        <v>-3.3644631775702205E-3</v>
      </c>
      <c r="T364">
        <v>1604.650024</v>
      </c>
      <c r="U364">
        <f t="shared" si="64"/>
        <v>9.3502025553249268E-5</v>
      </c>
      <c r="W364">
        <f t="shared" si="65"/>
        <v>-5.4704562468084863E-3</v>
      </c>
      <c r="X364">
        <v>-6.102183835561271E-3</v>
      </c>
    </row>
    <row r="365" spans="1:24" x14ac:dyDescent="0.35">
      <c r="A365" s="1">
        <v>43347</v>
      </c>
      <c r="B365">
        <v>1135.5555420000001</v>
      </c>
      <c r="C365">
        <f t="shared" si="55"/>
        <v>1.0413729271202765E-2</v>
      </c>
      <c r="D365">
        <v>2098.8999020000001</v>
      </c>
      <c r="E365">
        <f t="shared" si="56"/>
        <v>2.2407327291109169E-2</v>
      </c>
      <c r="F365">
        <v>1025.900024</v>
      </c>
      <c r="G365">
        <f t="shared" si="57"/>
        <v>-1.1204549028785649E-2</v>
      </c>
      <c r="H365">
        <v>340.99069209999999</v>
      </c>
      <c r="I365">
        <f t="shared" si="58"/>
        <v>-1.4200054691765884E-2</v>
      </c>
      <c r="J365">
        <v>737.15002440000001</v>
      </c>
      <c r="K365">
        <f t="shared" si="59"/>
        <v>2.7924036116437234E-2</v>
      </c>
      <c r="L365">
        <v>309.60000609999997</v>
      </c>
      <c r="M365">
        <f t="shared" si="60"/>
        <v>-1.1494271902202757E-2</v>
      </c>
      <c r="N365">
        <v>655.34997559999999</v>
      </c>
      <c r="O365">
        <f t="shared" si="61"/>
        <v>-1.2953925391590015E-3</v>
      </c>
      <c r="P365">
        <v>174.3500061</v>
      </c>
      <c r="Q365">
        <f t="shared" si="62"/>
        <v>-1.6638448665656003E-2</v>
      </c>
      <c r="R365">
        <v>261.9500122</v>
      </c>
      <c r="S365">
        <f t="shared" si="63"/>
        <v>-1.7441837185314224E-2</v>
      </c>
      <c r="T365">
        <v>1573.400024</v>
      </c>
      <c r="U365">
        <f t="shared" si="64"/>
        <v>-1.9474651501952711E-2</v>
      </c>
      <c r="W365">
        <f t="shared" si="65"/>
        <v>-3.1004112836087059E-3</v>
      </c>
      <c r="X365">
        <v>-6.071271640362419E-3</v>
      </c>
    </row>
    <row r="366" spans="1:24" x14ac:dyDescent="0.35">
      <c r="A366" s="1">
        <v>43348</v>
      </c>
      <c r="B366">
        <v>1121.8862300000001</v>
      </c>
      <c r="C366">
        <f t="shared" si="55"/>
        <v>-1.203755474252266E-2</v>
      </c>
      <c r="D366">
        <v>2079.25</v>
      </c>
      <c r="E366">
        <f t="shared" si="56"/>
        <v>-9.3620005324104305E-3</v>
      </c>
      <c r="F366">
        <v>1022.924988</v>
      </c>
      <c r="G366">
        <f t="shared" si="57"/>
        <v>-2.8999278003721818E-3</v>
      </c>
      <c r="H366">
        <v>335.31277469999998</v>
      </c>
      <c r="I366">
        <f t="shared" si="58"/>
        <v>-1.6651238674675883E-2</v>
      </c>
      <c r="J366">
        <v>729.90002440000001</v>
      </c>
      <c r="K366">
        <f t="shared" si="59"/>
        <v>-9.8351756901875476E-3</v>
      </c>
      <c r="L366">
        <v>310.25</v>
      </c>
      <c r="M366">
        <f t="shared" si="60"/>
        <v>2.0994634599267314E-3</v>
      </c>
      <c r="N366">
        <v>663.75</v>
      </c>
      <c r="O366">
        <f t="shared" si="61"/>
        <v>1.2817616102464013E-2</v>
      </c>
      <c r="P366">
        <v>173.6999969</v>
      </c>
      <c r="Q366">
        <f t="shared" si="62"/>
        <v>-3.7281857026559839E-3</v>
      </c>
      <c r="R366">
        <v>266.5</v>
      </c>
      <c r="S366">
        <f t="shared" si="63"/>
        <v>1.7369679664401172E-2</v>
      </c>
      <c r="T366">
        <v>1564.3000489999999</v>
      </c>
      <c r="U366">
        <f t="shared" si="64"/>
        <v>-5.7836372576539619E-3</v>
      </c>
      <c r="W366">
        <f t="shared" si="65"/>
        <v>-2.8010961173686737E-3</v>
      </c>
      <c r="X366">
        <v>-6.0570824357575994E-3</v>
      </c>
    </row>
    <row r="367" spans="1:24" x14ac:dyDescent="0.35">
      <c r="A367" s="1">
        <v>43349</v>
      </c>
      <c r="B367">
        <v>1153.3392329999999</v>
      </c>
      <c r="C367">
        <f t="shared" si="55"/>
        <v>2.803582231328372E-2</v>
      </c>
      <c r="D367">
        <v>2075.3000489999999</v>
      </c>
      <c r="E367">
        <f t="shared" si="56"/>
        <v>-1.8996998917879537E-3</v>
      </c>
      <c r="F367">
        <v>1026.099976</v>
      </c>
      <c r="G367">
        <f t="shared" si="57"/>
        <v>3.1038326732126809E-3</v>
      </c>
      <c r="H367">
        <v>335.5380859</v>
      </c>
      <c r="I367">
        <f t="shared" si="58"/>
        <v>6.7194338241849394E-4</v>
      </c>
      <c r="J367">
        <v>727.15002440000001</v>
      </c>
      <c r="K367">
        <f t="shared" si="59"/>
        <v>-3.7676392767086453E-3</v>
      </c>
      <c r="L367">
        <v>310.7999878</v>
      </c>
      <c r="M367">
        <f t="shared" si="60"/>
        <v>1.7727245769540989E-3</v>
      </c>
      <c r="N367">
        <v>677.40002440000001</v>
      </c>
      <c r="O367">
        <f t="shared" si="61"/>
        <v>2.0565008512241079E-2</v>
      </c>
      <c r="P367">
        <v>174.5</v>
      </c>
      <c r="Q367">
        <f t="shared" si="62"/>
        <v>4.6056598404002891E-3</v>
      </c>
      <c r="R367">
        <v>269.9500122</v>
      </c>
      <c r="S367">
        <f t="shared" si="63"/>
        <v>1.2945636772983216E-2</v>
      </c>
      <c r="T367">
        <v>1560.5</v>
      </c>
      <c r="U367">
        <f t="shared" si="64"/>
        <v>-2.4292328076248593E-3</v>
      </c>
      <c r="W367">
        <f t="shared" si="65"/>
        <v>6.3604056095372119E-3</v>
      </c>
      <c r="X367">
        <v>-6.0479764988140118E-3</v>
      </c>
    </row>
    <row r="368" spans="1:24" x14ac:dyDescent="0.35">
      <c r="A368" s="1">
        <v>43350</v>
      </c>
      <c r="B368">
        <v>1169.0657960000001</v>
      </c>
      <c r="C368">
        <f t="shared" si="55"/>
        <v>1.363567851506553E-2</v>
      </c>
      <c r="D368">
        <v>2079.8500979999999</v>
      </c>
      <c r="E368">
        <f t="shared" si="56"/>
        <v>2.1924776622987974E-3</v>
      </c>
      <c r="F368">
        <v>1028.474976</v>
      </c>
      <c r="G368">
        <f t="shared" si="57"/>
        <v>2.3145892754605768E-3</v>
      </c>
      <c r="H368">
        <v>351.1298218</v>
      </c>
      <c r="I368">
        <f t="shared" si="58"/>
        <v>4.6467857316939032E-2</v>
      </c>
      <c r="J368">
        <v>732.79998780000005</v>
      </c>
      <c r="K368">
        <f t="shared" si="59"/>
        <v>7.7700106036056038E-3</v>
      </c>
      <c r="L368">
        <v>310.4500122</v>
      </c>
      <c r="M368">
        <f t="shared" si="60"/>
        <v>-1.1260476632489747E-3</v>
      </c>
      <c r="N368">
        <v>664.25</v>
      </c>
      <c r="O368">
        <f t="shared" si="61"/>
        <v>-1.9412494724439178E-2</v>
      </c>
      <c r="P368">
        <v>171.8999939</v>
      </c>
      <c r="Q368">
        <f t="shared" si="62"/>
        <v>-1.4899748424068826E-2</v>
      </c>
      <c r="R368">
        <v>277.39999390000003</v>
      </c>
      <c r="S368">
        <f t="shared" si="63"/>
        <v>2.7597634240818181E-2</v>
      </c>
      <c r="T368">
        <v>1561.1999510000001</v>
      </c>
      <c r="U368">
        <f t="shared" si="64"/>
        <v>4.4854277475181448E-4</v>
      </c>
      <c r="W368">
        <f t="shared" si="65"/>
        <v>6.4988499577182555E-3</v>
      </c>
      <c r="X368">
        <v>-6.0446039449374885E-3</v>
      </c>
    </row>
    <row r="369" spans="1:24" x14ac:dyDescent="0.35">
      <c r="A369" s="1">
        <v>43353</v>
      </c>
      <c r="B369">
        <v>1148.2647710000001</v>
      </c>
      <c r="C369">
        <f t="shared" si="55"/>
        <v>-1.7792860822009704E-2</v>
      </c>
      <c r="D369">
        <v>2080.75</v>
      </c>
      <c r="E369">
        <f t="shared" si="56"/>
        <v>4.3267637454524888E-4</v>
      </c>
      <c r="F369">
        <v>1020.575012</v>
      </c>
      <c r="G369">
        <f t="shared" si="57"/>
        <v>-7.6812408511142127E-3</v>
      </c>
      <c r="H369">
        <v>350.04830930000003</v>
      </c>
      <c r="I369">
        <f t="shared" si="58"/>
        <v>-3.0800929822930589E-3</v>
      </c>
      <c r="J369">
        <v>730.84997559999999</v>
      </c>
      <c r="K369">
        <f t="shared" si="59"/>
        <v>-2.6610428936473252E-3</v>
      </c>
      <c r="L369">
        <v>306.5499878</v>
      </c>
      <c r="M369">
        <f t="shared" si="60"/>
        <v>-1.2562487507610465E-2</v>
      </c>
      <c r="N369">
        <v>638</v>
      </c>
      <c r="O369">
        <f t="shared" si="61"/>
        <v>-3.9518253669552084E-2</v>
      </c>
      <c r="P369">
        <v>168.6499939</v>
      </c>
      <c r="Q369">
        <f t="shared" si="62"/>
        <v>-1.8906341566775398E-2</v>
      </c>
      <c r="R369">
        <v>275.7000122</v>
      </c>
      <c r="S369">
        <f t="shared" si="63"/>
        <v>-6.128268700008932E-3</v>
      </c>
      <c r="T369">
        <v>1526.400024</v>
      </c>
      <c r="U369">
        <f t="shared" si="64"/>
        <v>-2.229049967475949E-2</v>
      </c>
      <c r="W369">
        <f t="shared" si="65"/>
        <v>-1.3018841229322542E-2</v>
      </c>
      <c r="X369">
        <v>-6.0412728559667284E-3</v>
      </c>
    </row>
    <row r="370" spans="1:24" x14ac:dyDescent="0.35">
      <c r="A370" s="1">
        <v>43354</v>
      </c>
      <c r="B370">
        <v>1131.6695560000001</v>
      </c>
      <c r="C370">
        <f t="shared" si="55"/>
        <v>-1.4452428933744654E-2</v>
      </c>
      <c r="D370">
        <v>2046.25</v>
      </c>
      <c r="E370">
        <f t="shared" si="56"/>
        <v>-1.6580559894268876E-2</v>
      </c>
      <c r="F370">
        <v>1000.200012</v>
      </c>
      <c r="G370">
        <f t="shared" si="57"/>
        <v>-1.9964235612697889E-2</v>
      </c>
      <c r="H370">
        <v>341.30612180000003</v>
      </c>
      <c r="I370">
        <f t="shared" si="58"/>
        <v>-2.4974231463885554E-2</v>
      </c>
      <c r="J370">
        <v>734.29998780000005</v>
      </c>
      <c r="K370">
        <f t="shared" si="59"/>
        <v>4.7205477391822903E-3</v>
      </c>
      <c r="L370">
        <v>297.2000122</v>
      </c>
      <c r="M370">
        <f t="shared" si="60"/>
        <v>-3.0500655593240888E-2</v>
      </c>
      <c r="N370">
        <v>630.40002440000001</v>
      </c>
      <c r="O370">
        <f t="shared" si="61"/>
        <v>-1.1912187460815016E-2</v>
      </c>
      <c r="P370">
        <v>167.8000031</v>
      </c>
      <c r="Q370">
        <f t="shared" si="62"/>
        <v>-5.0399693492073627E-3</v>
      </c>
      <c r="R370">
        <v>267.2999878</v>
      </c>
      <c r="S370">
        <f t="shared" si="63"/>
        <v>-3.0467987044942246E-2</v>
      </c>
      <c r="T370">
        <v>1506.8000489999999</v>
      </c>
      <c r="U370">
        <f t="shared" si="64"/>
        <v>-1.2840654279235086E-2</v>
      </c>
      <c r="W370">
        <f t="shared" si="65"/>
        <v>-1.6201236189285529E-2</v>
      </c>
      <c r="X370">
        <v>-6.0329329483093993E-3</v>
      </c>
    </row>
    <row r="371" spans="1:24" x14ac:dyDescent="0.35">
      <c r="A371" s="1">
        <v>43355</v>
      </c>
      <c r="B371">
        <v>1145.2017820000001</v>
      </c>
      <c r="C371">
        <f t="shared" si="55"/>
        <v>1.1957753858671483E-2</v>
      </c>
      <c r="D371">
        <v>2043.9499510000001</v>
      </c>
      <c r="E371">
        <f t="shared" si="56"/>
        <v>-1.1240312767256677E-3</v>
      </c>
      <c r="F371">
        <v>1005.924988</v>
      </c>
      <c r="G371">
        <f t="shared" si="57"/>
        <v>5.7238311650809059E-3</v>
      </c>
      <c r="H371">
        <v>339.50360110000003</v>
      </c>
      <c r="I371">
        <f t="shared" si="58"/>
        <v>-5.2812433908122625E-3</v>
      </c>
      <c r="J371">
        <v>742.90002440000001</v>
      </c>
      <c r="K371">
        <f t="shared" si="59"/>
        <v>1.1711884438083908E-2</v>
      </c>
      <c r="L371">
        <v>306.7999878</v>
      </c>
      <c r="M371">
        <f t="shared" si="60"/>
        <v>3.2301397058960069E-2</v>
      </c>
      <c r="N371">
        <v>649.90002440000001</v>
      </c>
      <c r="O371">
        <f t="shared" si="61"/>
        <v>3.0932739919481422E-2</v>
      </c>
      <c r="P371">
        <v>168.5</v>
      </c>
      <c r="Q371">
        <f t="shared" si="62"/>
        <v>4.1716143448629062E-3</v>
      </c>
      <c r="R371">
        <v>262.39999390000003</v>
      </c>
      <c r="S371">
        <f t="shared" si="63"/>
        <v>-1.8331440791782838E-2</v>
      </c>
      <c r="T371">
        <v>1522.599976</v>
      </c>
      <c r="U371">
        <f t="shared" si="64"/>
        <v>1.048574892898757E-2</v>
      </c>
      <c r="W371">
        <f t="shared" si="65"/>
        <v>8.2548254254807482E-3</v>
      </c>
      <c r="X371">
        <v>-6.0249795327365083E-3</v>
      </c>
    </row>
    <row r="372" spans="1:24" x14ac:dyDescent="0.35">
      <c r="A372" s="1">
        <v>43357</v>
      </c>
      <c r="B372">
        <v>1145.7960210000001</v>
      </c>
      <c r="C372">
        <f t="shared" si="55"/>
        <v>5.1889458202047933E-4</v>
      </c>
      <c r="D372">
        <v>2065.3999020000001</v>
      </c>
      <c r="E372">
        <f t="shared" si="56"/>
        <v>1.0494362148889991E-2</v>
      </c>
      <c r="F372">
        <v>1014.799988</v>
      </c>
      <c r="G372">
        <f t="shared" si="57"/>
        <v>8.8227254575368175E-3</v>
      </c>
      <c r="H372">
        <v>345.72228999999999</v>
      </c>
      <c r="I372">
        <f t="shared" si="58"/>
        <v>1.8317004237514034E-2</v>
      </c>
      <c r="J372">
        <v>733.70001219999995</v>
      </c>
      <c r="K372">
        <f t="shared" si="59"/>
        <v>-1.2383916944181617E-2</v>
      </c>
      <c r="L372">
        <v>307.14999390000003</v>
      </c>
      <c r="M372">
        <f t="shared" si="60"/>
        <v>1.1408282722233931E-3</v>
      </c>
      <c r="N372">
        <v>665.25</v>
      </c>
      <c r="O372">
        <f t="shared" si="61"/>
        <v>2.3618979879515223E-2</v>
      </c>
      <c r="P372">
        <v>172.5500031</v>
      </c>
      <c r="Q372">
        <f t="shared" si="62"/>
        <v>2.4035626706231383E-2</v>
      </c>
      <c r="R372">
        <v>266.60000609999997</v>
      </c>
      <c r="S372">
        <f t="shared" si="63"/>
        <v>1.6006144426971902E-2</v>
      </c>
      <c r="T372">
        <v>1535.150024</v>
      </c>
      <c r="U372">
        <f t="shared" si="64"/>
        <v>8.2425116234206008E-3</v>
      </c>
      <c r="W372">
        <f t="shared" si="65"/>
        <v>9.88131603901422E-3</v>
      </c>
      <c r="X372">
        <v>-6.0128325983826898E-3</v>
      </c>
    </row>
    <row r="373" spans="1:24" x14ac:dyDescent="0.35">
      <c r="A373" s="1">
        <v>43360</v>
      </c>
      <c r="B373">
        <v>1120.8804929999999</v>
      </c>
      <c r="C373">
        <f t="shared" si="55"/>
        <v>-2.174516889860989E-2</v>
      </c>
      <c r="D373">
        <v>2074.1499020000001</v>
      </c>
      <c r="E373">
        <f t="shared" si="56"/>
        <v>4.2364677133599482E-3</v>
      </c>
      <c r="F373">
        <v>996.09997559999999</v>
      </c>
      <c r="G373">
        <f t="shared" si="57"/>
        <v>-1.8427288747662085E-2</v>
      </c>
      <c r="H373">
        <v>344.3253479</v>
      </c>
      <c r="I373">
        <f t="shared" si="58"/>
        <v>-4.0406480588798255E-3</v>
      </c>
      <c r="J373">
        <v>725.95001219999995</v>
      </c>
      <c r="K373">
        <f t="shared" si="59"/>
        <v>-1.0562900192357394E-2</v>
      </c>
      <c r="L373">
        <v>302</v>
      </c>
      <c r="M373">
        <f t="shared" si="60"/>
        <v>-1.6767032402015047E-2</v>
      </c>
      <c r="N373">
        <v>646.20001219999995</v>
      </c>
      <c r="O373">
        <f t="shared" si="61"/>
        <v>-2.8635832844795317E-2</v>
      </c>
      <c r="P373">
        <v>171.6999969</v>
      </c>
      <c r="Q373">
        <f t="shared" si="62"/>
        <v>-4.9261442174960424E-3</v>
      </c>
      <c r="R373">
        <v>260.25</v>
      </c>
      <c r="S373">
        <f t="shared" si="63"/>
        <v>-2.3818476949389544E-2</v>
      </c>
      <c r="T373">
        <v>1524.8000489999999</v>
      </c>
      <c r="U373">
        <f t="shared" si="64"/>
        <v>-6.7419957907645101E-3</v>
      </c>
      <c r="W373">
        <f t="shared" si="65"/>
        <v>-1.314290203886097E-2</v>
      </c>
      <c r="X373">
        <v>-5.9917998987684684E-3</v>
      </c>
    </row>
    <row r="374" spans="1:24" x14ac:dyDescent="0.35">
      <c r="A374" s="1">
        <v>43361</v>
      </c>
      <c r="B374">
        <v>1112.880005</v>
      </c>
      <c r="C374">
        <f t="shared" si="55"/>
        <v>-7.1376815369378344E-3</v>
      </c>
      <c r="D374">
        <v>2070.75</v>
      </c>
      <c r="E374">
        <f t="shared" si="56"/>
        <v>-1.6391785360940769E-3</v>
      </c>
      <c r="F374">
        <v>994.59997559999999</v>
      </c>
      <c r="G374">
        <f t="shared" si="57"/>
        <v>-1.5058729412140703E-3</v>
      </c>
      <c r="H374">
        <v>336.79983520000002</v>
      </c>
      <c r="I374">
        <f t="shared" si="58"/>
        <v>-2.1855819636565244E-2</v>
      </c>
      <c r="J374">
        <v>719.09997559999999</v>
      </c>
      <c r="K374">
        <f t="shared" si="59"/>
        <v>-9.4359618222759067E-3</v>
      </c>
      <c r="L374">
        <v>303.25</v>
      </c>
      <c r="M374">
        <f t="shared" si="60"/>
        <v>4.1390728476822236E-3</v>
      </c>
      <c r="N374">
        <v>642.5</v>
      </c>
      <c r="O374">
        <f t="shared" si="61"/>
        <v>-5.7258002633011618E-3</v>
      </c>
      <c r="P374">
        <v>173.8999939</v>
      </c>
      <c r="Q374">
        <f t="shared" si="62"/>
        <v>1.281302876948387E-2</v>
      </c>
      <c r="R374">
        <v>251.5</v>
      </c>
      <c r="S374">
        <f t="shared" si="63"/>
        <v>-3.3621517771373677E-2</v>
      </c>
      <c r="T374">
        <v>1534.6999510000001</v>
      </c>
      <c r="U374">
        <f t="shared" si="64"/>
        <v>6.4925902950310199E-3</v>
      </c>
      <c r="W374">
        <f t="shared" si="65"/>
        <v>-5.7477140595564857E-3</v>
      </c>
      <c r="X374">
        <v>-5.9873018253489563E-3</v>
      </c>
    </row>
    <row r="375" spans="1:24" x14ac:dyDescent="0.35">
      <c r="A375" s="1">
        <v>43362</v>
      </c>
      <c r="B375">
        <v>1107.0283199999999</v>
      </c>
      <c r="C375">
        <f t="shared" si="55"/>
        <v>-5.2581455086886386E-3</v>
      </c>
      <c r="D375">
        <v>2077.8999020000001</v>
      </c>
      <c r="E375">
        <f t="shared" si="56"/>
        <v>3.4528079198359318E-3</v>
      </c>
      <c r="F375">
        <v>980.67498780000005</v>
      </c>
      <c r="G375">
        <f t="shared" si="57"/>
        <v>-1.4000591334822454E-2</v>
      </c>
      <c r="H375">
        <v>333.51025390000001</v>
      </c>
      <c r="I375">
        <f t="shared" si="58"/>
        <v>-9.7671701592328963E-3</v>
      </c>
      <c r="J375">
        <v>719.75</v>
      </c>
      <c r="K375">
        <f t="shared" si="59"/>
        <v>9.0394162433060643E-4</v>
      </c>
      <c r="L375">
        <v>299.64999390000003</v>
      </c>
      <c r="M375">
        <f t="shared" si="60"/>
        <v>-1.1871413355317273E-2</v>
      </c>
      <c r="N375">
        <v>648.84997559999999</v>
      </c>
      <c r="O375">
        <f t="shared" si="61"/>
        <v>9.8832305058365044E-3</v>
      </c>
      <c r="P375">
        <v>177</v>
      </c>
      <c r="Q375">
        <f t="shared" si="62"/>
        <v>1.7826372678210856E-2</v>
      </c>
      <c r="R375">
        <v>252.6000061</v>
      </c>
      <c r="S375">
        <f t="shared" si="63"/>
        <v>4.3737817097415643E-3</v>
      </c>
      <c r="T375">
        <v>1515.150024</v>
      </c>
      <c r="U375">
        <f t="shared" si="64"/>
        <v>-1.273859882986339E-2</v>
      </c>
      <c r="W375">
        <f t="shared" si="65"/>
        <v>-1.7195784749969194E-3</v>
      </c>
      <c r="X375">
        <v>-5.9588752392149445E-3</v>
      </c>
    </row>
    <row r="376" spans="1:24" x14ac:dyDescent="0.35">
      <c r="A376" s="1">
        <v>43364</v>
      </c>
      <c r="B376">
        <v>1113.200073</v>
      </c>
      <c r="C376">
        <f t="shared" si="55"/>
        <v>5.5750633371332015E-3</v>
      </c>
      <c r="D376">
        <v>2103.1499020000001</v>
      </c>
      <c r="E376">
        <f t="shared" si="56"/>
        <v>1.2151692184833696E-2</v>
      </c>
      <c r="F376">
        <v>985.125</v>
      </c>
      <c r="G376">
        <f t="shared" si="57"/>
        <v>4.5377033730440441E-3</v>
      </c>
      <c r="H376">
        <v>333.91580199999999</v>
      </c>
      <c r="I376">
        <f t="shared" si="58"/>
        <v>1.2159988943596378E-3</v>
      </c>
      <c r="J376">
        <v>705.29998780000005</v>
      </c>
      <c r="K376">
        <f t="shared" si="59"/>
        <v>-2.007643237235146E-2</v>
      </c>
      <c r="L376">
        <v>303.9500122</v>
      </c>
      <c r="M376">
        <f t="shared" si="60"/>
        <v>1.4350136450978823E-2</v>
      </c>
      <c r="N376">
        <v>634.90002440000001</v>
      </c>
      <c r="O376">
        <f t="shared" si="61"/>
        <v>-2.1499501771731211E-2</v>
      </c>
      <c r="P376">
        <v>180.3999939</v>
      </c>
      <c r="Q376">
        <f t="shared" si="62"/>
        <v>1.9209005084745767E-2</v>
      </c>
      <c r="R376">
        <v>250.3500061</v>
      </c>
      <c r="S376">
        <f t="shared" si="63"/>
        <v>-8.9073632053249252E-3</v>
      </c>
      <c r="T376">
        <v>1501.849976</v>
      </c>
      <c r="U376">
        <f t="shared" si="64"/>
        <v>-8.7780403189962053E-3</v>
      </c>
      <c r="W376">
        <f t="shared" si="65"/>
        <v>-2.2217383433086285E-4</v>
      </c>
      <c r="X376">
        <v>-5.9539374453142502E-3</v>
      </c>
    </row>
    <row r="377" spans="1:24" x14ac:dyDescent="0.35">
      <c r="A377" s="1">
        <v>43367</v>
      </c>
      <c r="B377">
        <v>1126.5036620000001</v>
      </c>
      <c r="C377">
        <f t="shared" si="55"/>
        <v>1.1950761882495886E-2</v>
      </c>
      <c r="D377">
        <v>2198.4499510000001</v>
      </c>
      <c r="E377">
        <f t="shared" si="56"/>
        <v>4.5313008316418157E-2</v>
      </c>
      <c r="F377">
        <v>962.84997559999999</v>
      </c>
      <c r="G377">
        <f t="shared" si="57"/>
        <v>-2.2611368506534668E-2</v>
      </c>
      <c r="H377">
        <v>321.02783199999999</v>
      </c>
      <c r="I377">
        <f t="shared" si="58"/>
        <v>-3.8596466303203014E-2</v>
      </c>
      <c r="J377">
        <v>718.25</v>
      </c>
      <c r="K377">
        <f t="shared" si="59"/>
        <v>1.836099875798114E-2</v>
      </c>
      <c r="L377">
        <v>297.9500122</v>
      </c>
      <c r="M377">
        <f t="shared" si="60"/>
        <v>-1.9740088038068482E-2</v>
      </c>
      <c r="N377">
        <v>624</v>
      </c>
      <c r="O377">
        <f t="shared" si="61"/>
        <v>-1.7168095733341437E-2</v>
      </c>
      <c r="P377">
        <v>180.6000061</v>
      </c>
      <c r="Q377">
        <f t="shared" si="62"/>
        <v>1.108715115095249E-3</v>
      </c>
      <c r="R377">
        <v>240.1999969</v>
      </c>
      <c r="S377">
        <f t="shared" si="63"/>
        <v>-4.0543275225428443E-2</v>
      </c>
      <c r="T377">
        <v>1450.75</v>
      </c>
      <c r="U377">
        <f t="shared" si="64"/>
        <v>-3.4024687429898059E-2</v>
      </c>
      <c r="W377">
        <f t="shared" si="65"/>
        <v>-9.5950497164483672E-3</v>
      </c>
      <c r="X377">
        <v>-5.9366681591370932E-3</v>
      </c>
    </row>
    <row r="378" spans="1:24" x14ac:dyDescent="0.35">
      <c r="A378" s="1">
        <v>43368</v>
      </c>
      <c r="B378">
        <v>1125.177856</v>
      </c>
      <c r="C378">
        <f t="shared" si="55"/>
        <v>-1.1769211629958365E-3</v>
      </c>
      <c r="D378">
        <v>2183.1999510000001</v>
      </c>
      <c r="E378">
        <f t="shared" si="56"/>
        <v>-6.9367055606898154E-3</v>
      </c>
      <c r="F378">
        <v>976.20001219999995</v>
      </c>
      <c r="G378">
        <f t="shared" si="57"/>
        <v>1.3865126383454385E-2</v>
      </c>
      <c r="H378">
        <v>324.90322880000002</v>
      </c>
      <c r="I378">
        <f t="shared" si="58"/>
        <v>1.2071840549949586E-2</v>
      </c>
      <c r="J378">
        <v>726.20001219999995</v>
      </c>
      <c r="K378">
        <f t="shared" si="59"/>
        <v>1.1068586425339255E-2</v>
      </c>
      <c r="L378">
        <v>301.14999390000003</v>
      </c>
      <c r="M378">
        <f t="shared" si="60"/>
        <v>1.0739995197087016E-2</v>
      </c>
      <c r="N378">
        <v>641.09997559999999</v>
      </c>
      <c r="O378">
        <f t="shared" si="61"/>
        <v>2.7403807051282092E-2</v>
      </c>
      <c r="P378">
        <v>182.3000031</v>
      </c>
      <c r="Q378">
        <f t="shared" si="62"/>
        <v>9.4130506233687239E-3</v>
      </c>
      <c r="R378">
        <v>240.8000031</v>
      </c>
      <c r="S378">
        <f t="shared" si="63"/>
        <v>2.4979442453938461E-3</v>
      </c>
      <c r="T378">
        <v>1427.150024</v>
      </c>
      <c r="U378">
        <f t="shared" si="64"/>
        <v>-1.6267431328623072E-2</v>
      </c>
      <c r="W378">
        <f t="shared" si="65"/>
        <v>6.2679292423566185E-3</v>
      </c>
      <c r="X378">
        <v>-5.8859604711433821E-3</v>
      </c>
    </row>
    <row r="379" spans="1:24" x14ac:dyDescent="0.35">
      <c r="A379" s="1">
        <v>43369</v>
      </c>
      <c r="B379">
        <v>1144.195923</v>
      </c>
      <c r="C379">
        <f t="shared" si="55"/>
        <v>1.6902276292220186E-2</v>
      </c>
      <c r="D379">
        <v>2142.1499020000001</v>
      </c>
      <c r="E379">
        <f t="shared" si="56"/>
        <v>-1.8802697838646076E-2</v>
      </c>
      <c r="F379">
        <v>984.09997559999999</v>
      </c>
      <c r="G379">
        <f t="shared" si="57"/>
        <v>8.0925663811419746E-3</v>
      </c>
      <c r="H379">
        <v>325.62423710000002</v>
      </c>
      <c r="I379">
        <f t="shared" si="58"/>
        <v>2.2191478449229418E-3</v>
      </c>
      <c r="J379">
        <v>717.84997559999999</v>
      </c>
      <c r="K379">
        <f t="shared" si="59"/>
        <v>-1.1498260065713528E-2</v>
      </c>
      <c r="L379">
        <v>293.14999390000003</v>
      </c>
      <c r="M379">
        <f t="shared" si="60"/>
        <v>-2.6564835338022563E-2</v>
      </c>
      <c r="N379">
        <v>639.84997559999999</v>
      </c>
      <c r="O379">
        <f t="shared" si="61"/>
        <v>-1.9497739004437076E-3</v>
      </c>
      <c r="P379">
        <v>180.6000061</v>
      </c>
      <c r="Q379">
        <f t="shared" si="62"/>
        <v>-9.3252713718686708E-3</v>
      </c>
      <c r="R379">
        <v>233.3500061</v>
      </c>
      <c r="S379">
        <f t="shared" si="63"/>
        <v>-3.0938525349213375E-2</v>
      </c>
      <c r="T379">
        <v>1420.8000489999999</v>
      </c>
      <c r="U379">
        <f t="shared" si="64"/>
        <v>-4.4494095877898321E-3</v>
      </c>
      <c r="W379">
        <f t="shared" si="65"/>
        <v>-7.631478293341265E-3</v>
      </c>
      <c r="X379">
        <v>-5.8039902190488608E-3</v>
      </c>
    </row>
    <row r="380" spans="1:24" x14ac:dyDescent="0.35">
      <c r="A380" s="1">
        <v>43370</v>
      </c>
      <c r="B380">
        <v>1146.3446039999999</v>
      </c>
      <c r="C380">
        <f t="shared" si="55"/>
        <v>1.8778960463048389E-3</v>
      </c>
      <c r="D380">
        <v>2188.8500979999999</v>
      </c>
      <c r="E380">
        <f t="shared" si="56"/>
        <v>2.1800620001615423E-2</v>
      </c>
      <c r="F380">
        <v>988.07501219999995</v>
      </c>
      <c r="G380">
        <f t="shared" si="57"/>
        <v>4.0392609476251895E-3</v>
      </c>
      <c r="H380">
        <v>321.56860349999999</v>
      </c>
      <c r="I380">
        <f t="shared" si="58"/>
        <v>-1.2454950024971656E-2</v>
      </c>
      <c r="J380">
        <v>724.79998780000005</v>
      </c>
      <c r="K380">
        <f t="shared" si="59"/>
        <v>9.6817056992877237E-3</v>
      </c>
      <c r="L380">
        <v>293.2999878</v>
      </c>
      <c r="M380">
        <f t="shared" si="60"/>
        <v>5.1166264069957279E-4</v>
      </c>
      <c r="N380">
        <v>631.25</v>
      </c>
      <c r="O380">
        <f t="shared" si="61"/>
        <v>-1.3440612530985274E-2</v>
      </c>
      <c r="P380">
        <v>175.8000031</v>
      </c>
      <c r="Q380">
        <f t="shared" si="62"/>
        <v>-2.6578088803287159E-2</v>
      </c>
      <c r="R380">
        <v>225.25</v>
      </c>
      <c r="S380">
        <f t="shared" si="63"/>
        <v>-3.4711831533138282E-2</v>
      </c>
      <c r="T380">
        <v>1404.75</v>
      </c>
      <c r="U380">
        <f t="shared" si="64"/>
        <v>-1.1296486800726369E-2</v>
      </c>
      <c r="W380">
        <f t="shared" si="65"/>
        <v>-6.0570824357575994E-3</v>
      </c>
      <c r="X380">
        <v>-5.7896984519865361E-3</v>
      </c>
    </row>
    <row r="381" spans="1:24" x14ac:dyDescent="0.35">
      <c r="A381" s="1">
        <v>43371</v>
      </c>
      <c r="B381">
        <v>1150.184814</v>
      </c>
      <c r="C381">
        <f t="shared" si="55"/>
        <v>3.3499612477785323E-3</v>
      </c>
      <c r="D381">
        <v>2183.6999510000001</v>
      </c>
      <c r="E381">
        <f t="shared" si="56"/>
        <v>-2.3529007329947671E-3</v>
      </c>
      <c r="F381">
        <v>1003.025024</v>
      </c>
      <c r="G381">
        <f t="shared" si="57"/>
        <v>1.5130442137903266E-2</v>
      </c>
      <c r="H381">
        <v>305.12063599999999</v>
      </c>
      <c r="I381">
        <f t="shared" si="58"/>
        <v>-5.1149171035287377E-2</v>
      </c>
      <c r="J381">
        <v>730.04998780000005</v>
      </c>
      <c r="K381">
        <f t="shared" si="59"/>
        <v>7.2433776053659749E-3</v>
      </c>
      <c r="L381">
        <v>297.75</v>
      </c>
      <c r="M381">
        <f t="shared" si="60"/>
        <v>1.5172220883399534E-2</v>
      </c>
      <c r="N381">
        <v>623.25</v>
      </c>
      <c r="O381">
        <f t="shared" si="61"/>
        <v>-1.2673267326732685E-2</v>
      </c>
      <c r="P381">
        <v>177.1999969</v>
      </c>
      <c r="Q381">
        <f t="shared" si="62"/>
        <v>7.9635595865357178E-3</v>
      </c>
      <c r="R381">
        <v>223.6999969</v>
      </c>
      <c r="S381">
        <f t="shared" si="63"/>
        <v>-6.881256825749138E-3</v>
      </c>
      <c r="T381">
        <v>1395.9499510000001</v>
      </c>
      <c r="U381">
        <f t="shared" si="64"/>
        <v>-6.2644947499554959E-3</v>
      </c>
      <c r="W381">
        <f t="shared" si="65"/>
        <v>-3.0461529209736432E-3</v>
      </c>
      <c r="X381">
        <v>-5.7880961481493465E-3</v>
      </c>
    </row>
    <row r="382" spans="1:24" x14ac:dyDescent="0.35">
      <c r="A382" s="1">
        <v>43374</v>
      </c>
      <c r="B382">
        <v>1126.1835940000001</v>
      </c>
      <c r="C382">
        <f t="shared" si="55"/>
        <v>-2.0867272552948068E-2</v>
      </c>
      <c r="D382">
        <v>2255.5500489999999</v>
      </c>
      <c r="E382">
        <f t="shared" si="56"/>
        <v>3.2902916889793854E-2</v>
      </c>
      <c r="F382">
        <v>1017.724976</v>
      </c>
      <c r="G382">
        <f t="shared" si="57"/>
        <v>1.4655618402597215E-2</v>
      </c>
      <c r="H382">
        <v>294.48580930000003</v>
      </c>
      <c r="I382">
        <f t="shared" si="58"/>
        <v>-3.4854498336847839E-2</v>
      </c>
      <c r="J382">
        <v>746.65002440000001</v>
      </c>
      <c r="K382">
        <f t="shared" si="59"/>
        <v>2.2738219132122817E-2</v>
      </c>
      <c r="L382">
        <v>297.10000609999997</v>
      </c>
      <c r="M382">
        <f t="shared" si="60"/>
        <v>-2.1830189756507634E-3</v>
      </c>
      <c r="N382">
        <v>634.70001219999995</v>
      </c>
      <c r="O382">
        <f t="shared" si="61"/>
        <v>1.8371459606899343E-2</v>
      </c>
      <c r="P382">
        <v>179</v>
      </c>
      <c r="Q382">
        <f t="shared" si="62"/>
        <v>1.0158031216082941E-2</v>
      </c>
      <c r="R382">
        <v>229.3500061</v>
      </c>
      <c r="S382">
        <f t="shared" si="63"/>
        <v>2.5257082155998978E-2</v>
      </c>
      <c r="T382">
        <v>1348.75</v>
      </c>
      <c r="U382">
        <f t="shared" si="64"/>
        <v>-3.3812065372535782E-2</v>
      </c>
      <c r="W382">
        <f t="shared" si="65"/>
        <v>3.23664721655127E-3</v>
      </c>
      <c r="X382">
        <v>-5.7872836250393075E-3</v>
      </c>
    </row>
    <row r="383" spans="1:24" x14ac:dyDescent="0.35">
      <c r="A383" s="1">
        <v>43376</v>
      </c>
      <c r="B383">
        <v>1101.8623050000001</v>
      </c>
      <c r="C383">
        <f t="shared" si="55"/>
        <v>-2.1596202545994481E-2</v>
      </c>
      <c r="D383">
        <v>2162.8500979999999</v>
      </c>
      <c r="E383">
        <f t="shared" si="56"/>
        <v>-4.1098600778598837E-2</v>
      </c>
      <c r="F383">
        <v>1015.575012</v>
      </c>
      <c r="G383">
        <f t="shared" si="57"/>
        <v>-2.1125196400799684E-3</v>
      </c>
      <c r="H383">
        <v>287.00537109999999</v>
      </c>
      <c r="I383">
        <f t="shared" si="58"/>
        <v>-2.540169326929953E-2</v>
      </c>
      <c r="J383">
        <v>728.5</v>
      </c>
      <c r="K383">
        <f t="shared" si="59"/>
        <v>-2.4308610201392744E-2</v>
      </c>
      <c r="L383">
        <v>295.2000122</v>
      </c>
      <c r="M383">
        <f t="shared" si="60"/>
        <v>-6.3951324839772727E-3</v>
      </c>
      <c r="N383">
        <v>620.84997559999999</v>
      </c>
      <c r="O383">
        <f t="shared" si="61"/>
        <v>-2.1821390158782039E-2</v>
      </c>
      <c r="P383">
        <v>181.4499969</v>
      </c>
      <c r="Q383">
        <f t="shared" si="62"/>
        <v>1.3687133519552974E-2</v>
      </c>
      <c r="R383">
        <v>227.6000061</v>
      </c>
      <c r="S383">
        <f t="shared" si="63"/>
        <v>-7.6302592258793434E-3</v>
      </c>
      <c r="T383">
        <v>1301.400024</v>
      </c>
      <c r="U383">
        <f t="shared" si="64"/>
        <v>-3.5106562372567152E-2</v>
      </c>
      <c r="W383">
        <f t="shared" si="65"/>
        <v>-1.717838371570184E-2</v>
      </c>
      <c r="X383">
        <v>-5.7486326862648202E-3</v>
      </c>
    </row>
    <row r="384" spans="1:24" x14ac:dyDescent="0.35">
      <c r="A384" s="1">
        <v>43377</v>
      </c>
      <c r="B384">
        <v>1026.1098629999999</v>
      </c>
      <c r="C384">
        <f t="shared" si="55"/>
        <v>-6.8749463209924588E-2</v>
      </c>
      <c r="D384">
        <v>2064.8000489999999</v>
      </c>
      <c r="E384">
        <f t="shared" si="56"/>
        <v>-4.5333723816859739E-2</v>
      </c>
      <c r="F384">
        <v>978.875</v>
      </c>
      <c r="G384">
        <f t="shared" si="57"/>
        <v>-3.6137175064720917E-2</v>
      </c>
      <c r="H384">
        <v>279.52493290000001</v>
      </c>
      <c r="I384">
        <f t="shared" si="58"/>
        <v>-2.6063756825629558E-2</v>
      </c>
      <c r="J384">
        <v>707.20001219999995</v>
      </c>
      <c r="K384">
        <f t="shared" si="59"/>
        <v>-2.9238143857240995E-2</v>
      </c>
      <c r="L384">
        <v>287.10000609999997</v>
      </c>
      <c r="M384">
        <f t="shared" si="60"/>
        <v>-2.7439043920202244E-2</v>
      </c>
      <c r="N384">
        <v>599.04998780000005</v>
      </c>
      <c r="O384">
        <f t="shared" si="61"/>
        <v>-3.5113133054297196E-2</v>
      </c>
      <c r="P384">
        <v>172.3999939</v>
      </c>
      <c r="Q384">
        <f t="shared" si="62"/>
        <v>-4.9876016283359914E-2</v>
      </c>
      <c r="R384">
        <v>223.25</v>
      </c>
      <c r="S384">
        <f t="shared" si="63"/>
        <v>-1.9112504320798474E-2</v>
      </c>
      <c r="T384">
        <v>1346.349976</v>
      </c>
      <c r="U384">
        <f t="shared" si="64"/>
        <v>3.4539688928113987E-2</v>
      </c>
      <c r="W384">
        <f t="shared" si="65"/>
        <v>-3.0252327142491969E-2</v>
      </c>
      <c r="X384">
        <v>-5.7477140595564857E-3</v>
      </c>
    </row>
    <row r="385" spans="1:24" x14ac:dyDescent="0.35">
      <c r="A385" s="1">
        <v>43378</v>
      </c>
      <c r="B385">
        <v>958.9978638</v>
      </c>
      <c r="C385">
        <f t="shared" si="55"/>
        <v>-6.5404301839363521E-2</v>
      </c>
      <c r="D385">
        <v>2102.6499020000001</v>
      </c>
      <c r="E385">
        <f t="shared" si="56"/>
        <v>1.8331001599080299E-2</v>
      </c>
      <c r="F385">
        <v>982.65002440000001</v>
      </c>
      <c r="G385">
        <f t="shared" si="57"/>
        <v>3.8564928106243901E-3</v>
      </c>
      <c r="H385">
        <v>269.11541749999998</v>
      </c>
      <c r="I385">
        <f t="shared" si="58"/>
        <v>-3.7240024680460393E-2</v>
      </c>
      <c r="J385">
        <v>724.59997559999999</v>
      </c>
      <c r="K385">
        <f t="shared" si="59"/>
        <v>2.4604020220349243E-2</v>
      </c>
      <c r="L385">
        <v>276.5</v>
      </c>
      <c r="M385">
        <f t="shared" si="60"/>
        <v>-3.6920953935152045E-2</v>
      </c>
      <c r="N385">
        <v>597.95001219999995</v>
      </c>
      <c r="O385">
        <f t="shared" si="61"/>
        <v>-1.8362000207023943E-3</v>
      </c>
      <c r="P385">
        <v>147.0500031</v>
      </c>
      <c r="Q385">
        <f t="shared" si="62"/>
        <v>-0.14704171517955023</v>
      </c>
      <c r="R385">
        <v>216.25</v>
      </c>
      <c r="S385">
        <f t="shared" si="63"/>
        <v>-3.1354983202687592E-2</v>
      </c>
      <c r="T385">
        <v>1331.1999510000001</v>
      </c>
      <c r="U385">
        <f t="shared" si="64"/>
        <v>-1.1252664812317681E-2</v>
      </c>
      <c r="W385">
        <f t="shared" si="65"/>
        <v>-2.8425932904017993E-2</v>
      </c>
      <c r="X385">
        <v>-5.7334319904067572E-3</v>
      </c>
    </row>
    <row r="386" spans="1:24" x14ac:dyDescent="0.35">
      <c r="A386" s="1">
        <v>43381</v>
      </c>
      <c r="B386">
        <v>1014.360718</v>
      </c>
      <c r="C386">
        <f t="shared" si="55"/>
        <v>5.7729903568946916E-2</v>
      </c>
      <c r="D386">
        <v>2077.5500489999999</v>
      </c>
      <c r="E386">
        <f t="shared" si="56"/>
        <v>-1.193724783955985E-2</v>
      </c>
      <c r="F386">
        <v>972.5</v>
      </c>
      <c r="G386">
        <f t="shared" si="57"/>
        <v>-1.0329236399497899E-2</v>
      </c>
      <c r="H386">
        <v>266.05114750000001</v>
      </c>
      <c r="I386">
        <f t="shared" si="58"/>
        <v>-1.1386452803284541E-2</v>
      </c>
      <c r="J386">
        <v>714.45001219999995</v>
      </c>
      <c r="K386">
        <f t="shared" si="59"/>
        <v>-1.4007678362941478E-2</v>
      </c>
      <c r="L386">
        <v>273.2000122</v>
      </c>
      <c r="M386">
        <f t="shared" si="60"/>
        <v>-1.1934856419529849E-2</v>
      </c>
      <c r="N386">
        <v>604.25</v>
      </c>
      <c r="O386">
        <f t="shared" si="61"/>
        <v>1.0535977375133676E-2</v>
      </c>
      <c r="P386">
        <v>149.8000031</v>
      </c>
      <c r="Q386">
        <f t="shared" si="62"/>
        <v>1.8701121673080801E-2</v>
      </c>
      <c r="R386">
        <v>212.3500061</v>
      </c>
      <c r="S386">
        <f t="shared" si="63"/>
        <v>-1.8034653872832318E-2</v>
      </c>
      <c r="T386">
        <v>1304.900024</v>
      </c>
      <c r="U386">
        <f t="shared" si="64"/>
        <v>-1.9756556466399733E-2</v>
      </c>
      <c r="W386">
        <f t="shared" si="65"/>
        <v>-1.0419679546884279E-3</v>
      </c>
      <c r="X386">
        <v>-5.7050629367066622E-3</v>
      </c>
    </row>
    <row r="387" spans="1:24" x14ac:dyDescent="0.35">
      <c r="A387" s="1">
        <v>43382</v>
      </c>
      <c r="B387">
        <v>996.66839600000003</v>
      </c>
      <c r="C387">
        <f t="shared" si="55"/>
        <v>-1.7441844588465205E-2</v>
      </c>
      <c r="D387">
        <v>2091.8000489999999</v>
      </c>
      <c r="E387">
        <f t="shared" si="56"/>
        <v>6.8590405352011441E-3</v>
      </c>
      <c r="F387">
        <v>970.29998780000005</v>
      </c>
      <c r="G387">
        <f t="shared" si="57"/>
        <v>-2.2622233419022919E-3</v>
      </c>
      <c r="H387">
        <v>260.46334839999997</v>
      </c>
      <c r="I387">
        <f t="shared" si="58"/>
        <v>-2.1002725049325544E-2</v>
      </c>
      <c r="J387">
        <v>717.75</v>
      </c>
      <c r="K387">
        <f t="shared" si="59"/>
        <v>4.6189204893962721E-3</v>
      </c>
      <c r="L387">
        <v>268.5</v>
      </c>
      <c r="M387">
        <f t="shared" si="60"/>
        <v>-1.7203557796912849E-2</v>
      </c>
      <c r="N387">
        <v>609.75</v>
      </c>
      <c r="O387">
        <f t="shared" si="61"/>
        <v>9.1021928009928921E-3</v>
      </c>
      <c r="P387">
        <v>146.6499939</v>
      </c>
      <c r="Q387">
        <f t="shared" si="62"/>
        <v>-2.1028098363236936E-2</v>
      </c>
      <c r="R387">
        <v>184.3500061</v>
      </c>
      <c r="S387">
        <f t="shared" si="63"/>
        <v>-0.13185777817597155</v>
      </c>
      <c r="T387">
        <v>1372.5</v>
      </c>
      <c r="U387">
        <f t="shared" si="64"/>
        <v>5.1804716650077909E-2</v>
      </c>
      <c r="W387">
        <f t="shared" si="65"/>
        <v>-1.3841135684014617E-2</v>
      </c>
      <c r="X387">
        <v>-5.6883186684788638E-3</v>
      </c>
    </row>
    <row r="388" spans="1:24" x14ac:dyDescent="0.35">
      <c r="A388" s="1">
        <v>43383</v>
      </c>
      <c r="B388">
        <v>1007.686096</v>
      </c>
      <c r="C388">
        <f t="shared" ref="C388:C451" si="66">B388/B387 - 1</f>
        <v>1.1054529314080908E-2</v>
      </c>
      <c r="D388">
        <v>2043.599976</v>
      </c>
      <c r="E388">
        <f t="shared" ref="E388:E451" si="67">D388/D387 - 1</f>
        <v>-2.3042390224171982E-2</v>
      </c>
      <c r="F388">
        <v>983.57501219999995</v>
      </c>
      <c r="G388">
        <f t="shared" ref="G388:G451" si="68">F388/F387 - 1</f>
        <v>1.3681360988264002E-2</v>
      </c>
      <c r="H388">
        <v>265.96102910000002</v>
      </c>
      <c r="I388">
        <f t="shared" ref="I388:I451" si="69">H388/H387 - 1</f>
        <v>2.1107310236821109E-2</v>
      </c>
      <c r="J388">
        <v>700.45001219999995</v>
      </c>
      <c r="K388">
        <f t="shared" ref="K388:K451" si="70">J388/J387 -1</f>
        <v>-2.4103082967607214E-2</v>
      </c>
      <c r="L388">
        <v>270.10000609999997</v>
      </c>
      <c r="M388">
        <f t="shared" ref="M388:M451" si="71">L388/L387 -1</f>
        <v>5.9590543761638415E-3</v>
      </c>
      <c r="N388">
        <v>602.95001219999995</v>
      </c>
      <c r="O388">
        <f t="shared" ref="O388:O451" si="72">N388/N387-1</f>
        <v>-1.1152091512915185E-2</v>
      </c>
      <c r="P388">
        <v>148.6000061</v>
      </c>
      <c r="Q388">
        <f t="shared" ref="Q388:Q451" si="73">P388/P387 -1</f>
        <v>1.329704930863973E-2</v>
      </c>
      <c r="R388">
        <v>188.75</v>
      </c>
      <c r="S388">
        <f t="shared" ref="S388:S451" si="74">R388/R387 - 1</f>
        <v>2.3867609191253525E-2</v>
      </c>
      <c r="T388">
        <v>1374.400024</v>
      </c>
      <c r="U388">
        <f t="shared" ref="U388:U451" si="75">T388/T387 - 1</f>
        <v>1.3843526411658758E-3</v>
      </c>
      <c r="W388">
        <f t="shared" ref="W388:W451" si="76">0.1*C388+0.1*E388+0.1*G388+0.1*I388+0.1*K388+0.1*M388+0.1*O388+0.1*Q388+0.1*S388+0.1*U388</f>
        <v>3.2053701351694606E-3</v>
      </c>
      <c r="X388">
        <v>-5.6599978790293111E-3</v>
      </c>
    </row>
    <row r="389" spans="1:24" x14ac:dyDescent="0.35">
      <c r="A389" s="1">
        <v>43384</v>
      </c>
      <c r="B389">
        <v>994.61114499999996</v>
      </c>
      <c r="C389">
        <f t="shared" si="66"/>
        <v>-1.2975222196575875E-2</v>
      </c>
      <c r="D389">
        <v>1979.9499510000001</v>
      </c>
      <c r="E389">
        <f t="shared" si="67"/>
        <v>-3.114602943213185E-2</v>
      </c>
      <c r="F389">
        <v>968.77502440000001</v>
      </c>
      <c r="G389">
        <f t="shared" si="68"/>
        <v>-1.5047136839005493E-2</v>
      </c>
      <c r="H389">
        <v>257.17376710000002</v>
      </c>
      <c r="I389">
        <f t="shared" si="69"/>
        <v>-3.3039660095073642E-2</v>
      </c>
      <c r="J389">
        <v>673.34997559999999</v>
      </c>
      <c r="K389">
        <f t="shared" si="70"/>
        <v>-3.8689465526430822E-2</v>
      </c>
      <c r="L389">
        <v>265.2000122</v>
      </c>
      <c r="M389">
        <f t="shared" si="71"/>
        <v>-1.8141406106395364E-2</v>
      </c>
      <c r="N389">
        <v>586.70001219999995</v>
      </c>
      <c r="O389">
        <f t="shared" si="72"/>
        <v>-2.6950824564557441E-2</v>
      </c>
      <c r="P389">
        <v>152.9499969</v>
      </c>
      <c r="Q389">
        <f t="shared" si="73"/>
        <v>2.927315357627025E-2</v>
      </c>
      <c r="R389">
        <v>182.9499969</v>
      </c>
      <c r="S389">
        <f t="shared" si="74"/>
        <v>-3.0728493245033128E-2</v>
      </c>
      <c r="T389">
        <v>1326.099976</v>
      </c>
      <c r="U389">
        <f t="shared" si="75"/>
        <v>-3.5142641994016732E-2</v>
      </c>
      <c r="W389">
        <f t="shared" si="76"/>
        <v>-2.1258772642295011E-2</v>
      </c>
      <c r="X389">
        <v>-5.6324531935008203E-3</v>
      </c>
    </row>
    <row r="390" spans="1:24" x14ac:dyDescent="0.35">
      <c r="A390" s="1">
        <v>43385</v>
      </c>
      <c r="B390">
        <v>1030.041504</v>
      </c>
      <c r="C390">
        <f t="shared" si="66"/>
        <v>3.5622322530882267E-2</v>
      </c>
      <c r="D390">
        <v>1918.3000489999999</v>
      </c>
      <c r="E390">
        <f t="shared" si="67"/>
        <v>-3.1137101202413198E-2</v>
      </c>
      <c r="F390">
        <v>990.92498780000005</v>
      </c>
      <c r="G390">
        <f t="shared" si="68"/>
        <v>2.2863887736699562E-2</v>
      </c>
      <c r="H390">
        <v>261.40966800000001</v>
      </c>
      <c r="I390">
        <f t="shared" si="69"/>
        <v>1.6470968045325218E-2</v>
      </c>
      <c r="J390">
        <v>678.79998780000005</v>
      </c>
      <c r="K390">
        <f t="shared" si="70"/>
        <v>8.0938774745535902E-3</v>
      </c>
      <c r="L390">
        <v>275.2000122</v>
      </c>
      <c r="M390">
        <f t="shared" si="71"/>
        <v>3.7707388913913453E-2</v>
      </c>
      <c r="N390">
        <v>590.59997559999999</v>
      </c>
      <c r="O390">
        <f t="shared" si="72"/>
        <v>6.6472870613654145E-3</v>
      </c>
      <c r="P390">
        <v>157.3999939</v>
      </c>
      <c r="Q390">
        <f t="shared" si="73"/>
        <v>2.9094456294166848E-2</v>
      </c>
      <c r="R390">
        <v>183.75</v>
      </c>
      <c r="S390">
        <f t="shared" si="74"/>
        <v>4.3727964665518648E-3</v>
      </c>
      <c r="T390">
        <v>1411.6999510000001</v>
      </c>
      <c r="U390">
        <f t="shared" si="75"/>
        <v>6.4550167068248232E-2</v>
      </c>
      <c r="W390">
        <f t="shared" si="76"/>
        <v>1.9428605038929327E-2</v>
      </c>
      <c r="X390">
        <v>-5.6303407686529652E-3</v>
      </c>
    </row>
    <row r="391" spans="1:24" x14ac:dyDescent="0.35">
      <c r="A391" s="1">
        <v>43388</v>
      </c>
      <c r="B391">
        <v>1042.1107179999999</v>
      </c>
      <c r="C391">
        <f t="shared" si="66"/>
        <v>1.1717211348407863E-2</v>
      </c>
      <c r="D391">
        <v>1949.5</v>
      </c>
      <c r="E391">
        <f t="shared" si="67"/>
        <v>1.6264374812618332E-2</v>
      </c>
      <c r="F391">
        <v>1004.025024</v>
      </c>
      <c r="G391">
        <f t="shared" si="68"/>
        <v>1.3220007933278488E-2</v>
      </c>
      <c r="H391">
        <v>262.35598750000003</v>
      </c>
      <c r="I391">
        <f t="shared" si="69"/>
        <v>3.6200631263569871E-3</v>
      </c>
      <c r="J391">
        <v>698.79998780000005</v>
      </c>
      <c r="K391">
        <f t="shared" si="70"/>
        <v>2.9463760105270964E-2</v>
      </c>
      <c r="L391">
        <v>282.5</v>
      </c>
      <c r="M391">
        <f t="shared" si="71"/>
        <v>2.6526117283362627E-2</v>
      </c>
      <c r="N391">
        <v>599.95001219999995</v>
      </c>
      <c r="O391">
        <f t="shared" si="72"/>
        <v>1.5831420566011944E-2</v>
      </c>
      <c r="P391">
        <v>160.1499939</v>
      </c>
      <c r="Q391">
        <f t="shared" si="73"/>
        <v>1.7471411096414258E-2</v>
      </c>
      <c r="R391">
        <v>184.3500061</v>
      </c>
      <c r="S391">
        <f t="shared" si="74"/>
        <v>3.2653393197279446E-3</v>
      </c>
      <c r="T391">
        <v>1329.75</v>
      </c>
      <c r="U391">
        <f t="shared" si="75"/>
        <v>-5.8050544623132971E-2</v>
      </c>
      <c r="W391">
        <f t="shared" si="76"/>
        <v>7.9329160968316433E-3</v>
      </c>
      <c r="X391">
        <v>-5.6282549865313237E-3</v>
      </c>
    </row>
    <row r="392" spans="1:24" x14ac:dyDescent="0.35">
      <c r="A392" s="1">
        <v>43389</v>
      </c>
      <c r="B392">
        <v>1064.1004640000001</v>
      </c>
      <c r="C392">
        <f t="shared" si="66"/>
        <v>2.110116096128678E-2</v>
      </c>
      <c r="D392">
        <v>1962.3000489999999</v>
      </c>
      <c r="E392">
        <f t="shared" si="67"/>
        <v>6.5658112336495211E-3</v>
      </c>
      <c r="F392">
        <v>996.375</v>
      </c>
      <c r="G392">
        <f t="shared" si="68"/>
        <v>-7.6193559095993901E-3</v>
      </c>
      <c r="H392">
        <v>264.96963499999998</v>
      </c>
      <c r="I392">
        <f t="shared" si="69"/>
        <v>9.9622178434175535E-3</v>
      </c>
      <c r="J392">
        <v>695.25</v>
      </c>
      <c r="K392">
        <f t="shared" si="70"/>
        <v>-5.0801200085539566E-3</v>
      </c>
      <c r="L392">
        <v>282.64999390000003</v>
      </c>
      <c r="M392">
        <f t="shared" si="71"/>
        <v>5.3095185840712489E-4</v>
      </c>
      <c r="N392">
        <v>602.70001219999995</v>
      </c>
      <c r="O392">
        <f t="shared" si="72"/>
        <v>4.5837152163992201E-3</v>
      </c>
      <c r="P392">
        <v>165.6000061</v>
      </c>
      <c r="Q392">
        <f t="shared" si="73"/>
        <v>3.403067379074054E-2</v>
      </c>
      <c r="R392">
        <v>185.8500061</v>
      </c>
      <c r="S392">
        <f t="shared" si="74"/>
        <v>8.1366962319835423E-3</v>
      </c>
      <c r="T392">
        <v>1336.9499510000001</v>
      </c>
      <c r="U392">
        <f t="shared" si="75"/>
        <v>5.414514758413258E-3</v>
      </c>
      <c r="W392">
        <f t="shared" si="76"/>
        <v>7.7626265976144197E-3</v>
      </c>
      <c r="X392">
        <v>-5.6127969487729584E-3</v>
      </c>
    </row>
    <row r="393" spans="1:24" x14ac:dyDescent="0.35">
      <c r="A393" s="1">
        <v>43390</v>
      </c>
      <c r="B393">
        <v>1052.6712649999999</v>
      </c>
      <c r="C393">
        <f t="shared" si="66"/>
        <v>-1.0740714233914761E-2</v>
      </c>
      <c r="D393">
        <v>1929.400024</v>
      </c>
      <c r="E393">
        <f t="shared" si="67"/>
        <v>-1.6766052172686785E-2</v>
      </c>
      <c r="F393">
        <v>987.29998780000005</v>
      </c>
      <c r="G393">
        <f t="shared" si="68"/>
        <v>-9.1080288044159685E-3</v>
      </c>
      <c r="H393">
        <v>260.0127258</v>
      </c>
      <c r="I393">
        <f t="shared" si="69"/>
        <v>-1.8707461328540509E-2</v>
      </c>
      <c r="J393">
        <v>705.34997559999999</v>
      </c>
      <c r="K393">
        <f t="shared" si="70"/>
        <v>1.4527113412441617E-2</v>
      </c>
      <c r="L393">
        <v>286.4500122</v>
      </c>
      <c r="M393">
        <f t="shared" si="71"/>
        <v>1.3444253960763985E-2</v>
      </c>
      <c r="N393">
        <v>593.45001219999995</v>
      </c>
      <c r="O393">
        <f t="shared" si="72"/>
        <v>-1.5347602144946459E-2</v>
      </c>
      <c r="P393">
        <v>162.1000061</v>
      </c>
      <c r="Q393">
        <f t="shared" si="73"/>
        <v>-2.1135264921949837E-2</v>
      </c>
      <c r="R393">
        <v>179.9499969</v>
      </c>
      <c r="S393">
        <f t="shared" si="74"/>
        <v>-3.1746080206343397E-2</v>
      </c>
      <c r="T393">
        <v>1308.650024</v>
      </c>
      <c r="U393">
        <f t="shared" si="75"/>
        <v>-2.1167529105208804E-2</v>
      </c>
      <c r="W393">
        <f t="shared" si="76"/>
        <v>-1.1674736554480092E-2</v>
      </c>
      <c r="X393">
        <v>-5.5916659453924432E-3</v>
      </c>
    </row>
    <row r="394" spans="1:24" x14ac:dyDescent="0.35">
      <c r="A394" s="1">
        <v>43392</v>
      </c>
      <c r="B394">
        <v>1006.9545900000001</v>
      </c>
      <c r="C394">
        <f t="shared" si="66"/>
        <v>-4.3429203893012081E-2</v>
      </c>
      <c r="D394">
        <v>1913.1999510000001</v>
      </c>
      <c r="E394">
        <f t="shared" si="67"/>
        <v>-8.396430392083376E-3</v>
      </c>
      <c r="F394">
        <v>983.875</v>
      </c>
      <c r="G394">
        <f t="shared" si="68"/>
        <v>-3.4690447101412003E-3</v>
      </c>
      <c r="H394">
        <v>258.93121339999999</v>
      </c>
      <c r="I394">
        <f t="shared" si="69"/>
        <v>-4.1594594905784987E-3</v>
      </c>
      <c r="J394">
        <v>683.54998780000005</v>
      </c>
      <c r="K394">
        <f t="shared" si="70"/>
        <v>-3.090662586534576E-2</v>
      </c>
      <c r="L394">
        <v>289.4500122</v>
      </c>
      <c r="M394">
        <f t="shared" si="71"/>
        <v>1.0473031496697649E-2</v>
      </c>
      <c r="N394">
        <v>609.95001219999995</v>
      </c>
      <c r="O394">
        <f t="shared" si="72"/>
        <v>2.7803521207847348E-2</v>
      </c>
      <c r="P394">
        <v>160.4499969</v>
      </c>
      <c r="Q394">
        <f t="shared" si="73"/>
        <v>-1.0178958284443929E-2</v>
      </c>
      <c r="R394">
        <v>174.6999969</v>
      </c>
      <c r="S394">
        <f t="shared" si="74"/>
        <v>-2.9174771272252209E-2</v>
      </c>
      <c r="T394">
        <v>1234.25</v>
      </c>
      <c r="U394">
        <f t="shared" si="75"/>
        <v>-5.6852498861834744E-2</v>
      </c>
      <c r="W394">
        <f t="shared" si="76"/>
        <v>-1.4829044006514681E-2</v>
      </c>
      <c r="X394">
        <v>-5.5860698875955126E-3</v>
      </c>
    </row>
    <row r="395" spans="1:24" x14ac:dyDescent="0.35">
      <c r="A395" s="1">
        <v>43395</v>
      </c>
      <c r="B395">
        <v>971.61566159999995</v>
      </c>
      <c r="C395">
        <f t="shared" si="66"/>
        <v>-3.5094858051146205E-2</v>
      </c>
      <c r="D395">
        <v>1903</v>
      </c>
      <c r="E395">
        <f t="shared" si="67"/>
        <v>-5.3313565028415555E-3</v>
      </c>
      <c r="F395">
        <v>999.45001219999995</v>
      </c>
      <c r="G395">
        <f t="shared" si="68"/>
        <v>1.5830275390674498E-2</v>
      </c>
      <c r="H395">
        <v>257.53427119999998</v>
      </c>
      <c r="I395">
        <f t="shared" si="69"/>
        <v>-5.3950320691619202E-3</v>
      </c>
      <c r="J395">
        <v>679.95001219999995</v>
      </c>
      <c r="K395">
        <f t="shared" si="70"/>
        <v>-5.2665871761429228E-3</v>
      </c>
      <c r="L395">
        <v>288.5</v>
      </c>
      <c r="M395">
        <f t="shared" si="71"/>
        <v>-3.2821287267508215E-3</v>
      </c>
      <c r="N395">
        <v>606.90002440000001</v>
      </c>
      <c r="O395">
        <f t="shared" si="72"/>
        <v>-5.0003897680058751E-3</v>
      </c>
      <c r="P395">
        <v>155.9499969</v>
      </c>
      <c r="Q395">
        <f t="shared" si="73"/>
        <v>-2.8046120828563281E-2</v>
      </c>
      <c r="R395">
        <v>170.75</v>
      </c>
      <c r="S395">
        <f t="shared" si="74"/>
        <v>-2.2610171551754599E-2</v>
      </c>
      <c r="T395">
        <v>1191.8000489999999</v>
      </c>
      <c r="U395">
        <f t="shared" si="75"/>
        <v>-3.4393316589021672E-2</v>
      </c>
      <c r="W395">
        <f t="shared" si="76"/>
        <v>-1.2858968587271436E-2</v>
      </c>
      <c r="X395">
        <v>-5.5785519190095128E-3</v>
      </c>
    </row>
    <row r="396" spans="1:24" x14ac:dyDescent="0.35">
      <c r="A396" s="1">
        <v>43396</v>
      </c>
      <c r="B396">
        <v>964.34674070000005</v>
      </c>
      <c r="C396">
        <f t="shared" si="66"/>
        <v>-7.4812718519068344E-3</v>
      </c>
      <c r="D396">
        <v>1843.650024</v>
      </c>
      <c r="E396">
        <f t="shared" si="67"/>
        <v>-3.1187585916973237E-2</v>
      </c>
      <c r="F396">
        <v>992.42498780000005</v>
      </c>
      <c r="G396">
        <f t="shared" si="68"/>
        <v>-7.0288902038595502E-3</v>
      </c>
      <c r="H396">
        <v>257.66946410000003</v>
      </c>
      <c r="I396">
        <f t="shared" si="69"/>
        <v>5.2495110406125534E-4</v>
      </c>
      <c r="J396">
        <v>657.59997559999999</v>
      </c>
      <c r="K396">
        <f t="shared" si="70"/>
        <v>-3.2870117213007588E-2</v>
      </c>
      <c r="L396">
        <v>286</v>
      </c>
      <c r="M396">
        <f t="shared" si="71"/>
        <v>-8.6655112651646826E-3</v>
      </c>
      <c r="N396">
        <v>575.84997559999999</v>
      </c>
      <c r="O396">
        <f t="shared" si="72"/>
        <v>-5.1161719478751144E-2</v>
      </c>
      <c r="P396">
        <v>155.3999939</v>
      </c>
      <c r="Q396">
        <f t="shared" si="73"/>
        <v>-3.5267907081311112E-3</v>
      </c>
      <c r="R396">
        <v>170.6499939</v>
      </c>
      <c r="S396">
        <f t="shared" si="74"/>
        <v>-5.8568726207908206E-4</v>
      </c>
      <c r="T396">
        <v>1133.6999510000001</v>
      </c>
      <c r="U396">
        <f t="shared" si="75"/>
        <v>-4.874987045750645E-2</v>
      </c>
      <c r="W396">
        <f t="shared" si="76"/>
        <v>-1.9073249325331842E-2</v>
      </c>
      <c r="X396">
        <v>-5.5635755500105574E-3</v>
      </c>
    </row>
    <row r="397" spans="1:24" x14ac:dyDescent="0.35">
      <c r="A397" s="1">
        <v>43397</v>
      </c>
      <c r="B397">
        <v>956.16345209999997</v>
      </c>
      <c r="C397">
        <f t="shared" si="66"/>
        <v>-8.4858363227939826E-3</v>
      </c>
      <c r="D397">
        <v>1848.5</v>
      </c>
      <c r="E397">
        <f t="shared" si="67"/>
        <v>2.6306381020608782E-3</v>
      </c>
      <c r="F397">
        <v>996.125</v>
      </c>
      <c r="G397">
        <f t="shared" si="68"/>
        <v>3.7282537677756356E-3</v>
      </c>
      <c r="H397">
        <v>284.66210940000002</v>
      </c>
      <c r="I397">
        <f t="shared" si="69"/>
        <v>0.1047568651344899</v>
      </c>
      <c r="J397">
        <v>649.79998780000005</v>
      </c>
      <c r="K397">
        <f t="shared" si="70"/>
        <v>-1.1861295756410484E-2</v>
      </c>
      <c r="L397">
        <v>287.75</v>
      </c>
      <c r="M397">
        <f t="shared" si="71"/>
        <v>6.1188811188810366E-3</v>
      </c>
      <c r="N397">
        <v>570.70001219999995</v>
      </c>
      <c r="O397">
        <f t="shared" si="72"/>
        <v>-8.9432380276375234E-3</v>
      </c>
      <c r="P397">
        <v>157.75</v>
      </c>
      <c r="Q397">
        <f t="shared" si="73"/>
        <v>1.5122304969408473E-2</v>
      </c>
      <c r="R397">
        <v>170.6499939</v>
      </c>
      <c r="S397">
        <f t="shared" si="74"/>
        <v>0</v>
      </c>
      <c r="T397">
        <v>1168.25</v>
      </c>
      <c r="U397">
        <f t="shared" si="75"/>
        <v>3.047547895677738E-2</v>
      </c>
      <c r="W397">
        <f t="shared" si="76"/>
        <v>1.3354205194255132E-2</v>
      </c>
      <c r="X397">
        <v>-5.5606363396950029E-3</v>
      </c>
    </row>
    <row r="398" spans="1:24" x14ac:dyDescent="0.35">
      <c r="A398" s="1">
        <v>43398</v>
      </c>
      <c r="B398">
        <v>942.49414060000004</v>
      </c>
      <c r="C398">
        <f t="shared" si="66"/>
        <v>-1.4295998733248272E-2</v>
      </c>
      <c r="D398">
        <v>1853</v>
      </c>
      <c r="E398">
        <f t="shared" si="67"/>
        <v>2.4344062753582918E-3</v>
      </c>
      <c r="F398">
        <v>984.40002440000001</v>
      </c>
      <c r="G398">
        <f t="shared" si="68"/>
        <v>-1.1770586623164769E-2</v>
      </c>
      <c r="H398">
        <v>266.36657709999997</v>
      </c>
      <c r="I398">
        <f t="shared" si="69"/>
        <v>-6.4271048713025691E-2</v>
      </c>
      <c r="J398">
        <v>648.75</v>
      </c>
      <c r="K398">
        <f t="shared" si="70"/>
        <v>-1.6158630651178507E-3</v>
      </c>
      <c r="L398">
        <v>287.5499878</v>
      </c>
      <c r="M398">
        <f t="shared" si="71"/>
        <v>-6.9509018245006438E-4</v>
      </c>
      <c r="N398">
        <v>558.75</v>
      </c>
      <c r="O398">
        <f t="shared" si="72"/>
        <v>-2.0939218406415772E-2</v>
      </c>
      <c r="P398">
        <v>155.3500061</v>
      </c>
      <c r="Q398">
        <f t="shared" si="73"/>
        <v>-1.521390744849449E-2</v>
      </c>
      <c r="R398">
        <v>165.3500061</v>
      </c>
      <c r="S398">
        <f t="shared" si="74"/>
        <v>-3.105765009933581E-2</v>
      </c>
      <c r="T398">
        <v>1187.099976</v>
      </c>
      <c r="U398">
        <f t="shared" si="75"/>
        <v>1.6135224481061305E-2</v>
      </c>
      <c r="W398">
        <f t="shared" si="76"/>
        <v>-1.4128973251483313E-2</v>
      </c>
      <c r="X398">
        <v>-5.5461838268212943E-3</v>
      </c>
    </row>
    <row r="399" spans="1:24" x14ac:dyDescent="0.35">
      <c r="A399" s="1">
        <v>43399</v>
      </c>
      <c r="B399">
        <v>955.38623050000001</v>
      </c>
      <c r="C399">
        <f t="shared" si="66"/>
        <v>1.3678695012143693E-2</v>
      </c>
      <c r="D399">
        <v>1799.099976</v>
      </c>
      <c r="E399">
        <f t="shared" si="67"/>
        <v>-2.908797841338373E-2</v>
      </c>
      <c r="F399">
        <v>980.59997559999999</v>
      </c>
      <c r="G399">
        <f t="shared" si="68"/>
        <v>-3.8602689006597135E-3</v>
      </c>
      <c r="H399">
        <v>268.52960209999998</v>
      </c>
      <c r="I399">
        <f t="shared" si="69"/>
        <v>8.1204820197391392E-3</v>
      </c>
      <c r="J399">
        <v>633.59997559999999</v>
      </c>
      <c r="K399">
        <f t="shared" si="70"/>
        <v>-2.3352638766859335E-2</v>
      </c>
      <c r="L399">
        <v>280.89999390000003</v>
      </c>
      <c r="M399">
        <f t="shared" si="71"/>
        <v>-2.3126392565265053E-2</v>
      </c>
      <c r="N399">
        <v>554.04998780000005</v>
      </c>
      <c r="O399">
        <f t="shared" si="72"/>
        <v>-8.4116549440714783E-3</v>
      </c>
      <c r="P399">
        <v>151.8000031</v>
      </c>
      <c r="Q399">
        <f t="shared" si="73"/>
        <v>-2.2851643776021779E-2</v>
      </c>
      <c r="R399">
        <v>168.5</v>
      </c>
      <c r="S399">
        <f t="shared" si="74"/>
        <v>1.9050461347397629E-2</v>
      </c>
      <c r="T399">
        <v>1226.599976</v>
      </c>
      <c r="U399">
        <f t="shared" si="75"/>
        <v>3.3274366774985076E-2</v>
      </c>
      <c r="W399">
        <f t="shared" si="76"/>
        <v>-3.6566572211995546E-3</v>
      </c>
      <c r="X399">
        <v>-5.5426227878540239E-3</v>
      </c>
    </row>
    <row r="400" spans="1:24" x14ac:dyDescent="0.35">
      <c r="A400" s="1">
        <v>43402</v>
      </c>
      <c r="B400">
        <v>994.61114499999996</v>
      </c>
      <c r="C400">
        <f t="shared" si="66"/>
        <v>4.1056604384460904E-2</v>
      </c>
      <c r="D400">
        <v>1871</v>
      </c>
      <c r="E400">
        <f t="shared" si="67"/>
        <v>3.9964440530902534E-2</v>
      </c>
      <c r="F400">
        <v>963.15002440000001</v>
      </c>
      <c r="G400">
        <f t="shared" si="68"/>
        <v>-1.7795178089131447E-2</v>
      </c>
      <c r="H400">
        <v>265.05975339999998</v>
      </c>
      <c r="I400">
        <f t="shared" si="69"/>
        <v>-1.2921661793949379E-2</v>
      </c>
      <c r="J400">
        <v>644.75</v>
      </c>
      <c r="K400">
        <f t="shared" si="70"/>
        <v>1.7597892723151265E-2</v>
      </c>
      <c r="L400">
        <v>283.5</v>
      </c>
      <c r="M400">
        <f t="shared" si="71"/>
        <v>9.2559848930633404E-3</v>
      </c>
      <c r="N400">
        <v>573.59997559999999</v>
      </c>
      <c r="O400">
        <f t="shared" si="72"/>
        <v>3.5285602798455606E-2</v>
      </c>
      <c r="P400">
        <v>154.8999939</v>
      </c>
      <c r="Q400">
        <f t="shared" si="73"/>
        <v>2.0421546355027687E-2</v>
      </c>
      <c r="R400">
        <v>175.3500061</v>
      </c>
      <c r="S400">
        <f t="shared" si="74"/>
        <v>4.0652855192878423E-2</v>
      </c>
      <c r="T400">
        <v>1291.25</v>
      </c>
      <c r="U400">
        <f t="shared" si="75"/>
        <v>5.270668943825263E-2</v>
      </c>
      <c r="W400">
        <f t="shared" si="76"/>
        <v>2.262247764331116E-2</v>
      </c>
      <c r="X400">
        <v>-5.5403011355747E-3</v>
      </c>
    </row>
    <row r="401" spans="1:24" x14ac:dyDescent="0.35">
      <c r="A401" s="1">
        <v>43403</v>
      </c>
      <c r="B401">
        <v>966.44970699999999</v>
      </c>
      <c r="C401">
        <f t="shared" si="66"/>
        <v>-2.8314018138214214E-2</v>
      </c>
      <c r="D401">
        <v>1894.8000489999999</v>
      </c>
      <c r="E401">
        <f t="shared" si="67"/>
        <v>1.2720496525921998E-2</v>
      </c>
      <c r="F401">
        <v>956.375</v>
      </c>
      <c r="G401">
        <f t="shared" si="68"/>
        <v>-7.0342358182677867E-3</v>
      </c>
      <c r="H401">
        <v>263.70788570000002</v>
      </c>
      <c r="I401">
        <f t="shared" si="69"/>
        <v>-5.1002375225176477E-3</v>
      </c>
      <c r="J401">
        <v>659.59997559999999</v>
      </c>
      <c r="K401">
        <f t="shared" si="70"/>
        <v>2.303214517254748E-2</v>
      </c>
      <c r="L401">
        <v>278.9500122</v>
      </c>
      <c r="M401">
        <f t="shared" si="71"/>
        <v>-1.6049339682539632E-2</v>
      </c>
      <c r="N401">
        <v>562.04998780000005</v>
      </c>
      <c r="O401">
        <f t="shared" si="72"/>
        <v>-2.0135962850971856E-2</v>
      </c>
      <c r="P401">
        <v>152.9499969</v>
      </c>
      <c r="Q401">
        <f t="shared" si="73"/>
        <v>-1.2588748074831235E-2</v>
      </c>
      <c r="R401">
        <v>177.25</v>
      </c>
      <c r="S401">
        <f t="shared" si="74"/>
        <v>1.0835436748809935E-2</v>
      </c>
      <c r="T401">
        <v>1273.599976</v>
      </c>
      <c r="U401">
        <f t="shared" si="75"/>
        <v>-1.366894404646668E-2</v>
      </c>
      <c r="W401">
        <f t="shared" si="76"/>
        <v>-5.6303407686529652E-3</v>
      </c>
      <c r="X401">
        <v>-5.5321783680259869E-3</v>
      </c>
    </row>
    <row r="402" spans="1:24" x14ac:dyDescent="0.35">
      <c r="A402" s="1">
        <v>43404</v>
      </c>
      <c r="B402">
        <v>970.33557129999997</v>
      </c>
      <c r="C402">
        <f t="shared" si="66"/>
        <v>4.02076204468238E-3</v>
      </c>
      <c r="D402">
        <v>1938.150024</v>
      </c>
      <c r="E402">
        <f t="shared" si="67"/>
        <v>2.2878390267552673E-2</v>
      </c>
      <c r="F402">
        <v>955.875</v>
      </c>
      <c r="G402">
        <f t="shared" si="68"/>
        <v>-5.2280747614685819E-4</v>
      </c>
      <c r="H402">
        <v>263.4825745</v>
      </c>
      <c r="I402">
        <f t="shared" si="69"/>
        <v>-8.543968998194762E-4</v>
      </c>
      <c r="J402">
        <v>686.40002440000001</v>
      </c>
      <c r="K402">
        <f t="shared" si="70"/>
        <v>4.063076075104699E-2</v>
      </c>
      <c r="L402">
        <v>280.10000609999997</v>
      </c>
      <c r="M402">
        <f t="shared" si="71"/>
        <v>4.1225805689353301E-3</v>
      </c>
      <c r="N402">
        <v>580.25</v>
      </c>
      <c r="O402">
        <f t="shared" si="72"/>
        <v>3.2381483133269384E-2</v>
      </c>
      <c r="P402">
        <v>153.25</v>
      </c>
      <c r="Q402">
        <f t="shared" si="73"/>
        <v>1.9614456102026168E-3</v>
      </c>
      <c r="R402">
        <v>179.1000061</v>
      </c>
      <c r="S402">
        <f t="shared" si="74"/>
        <v>1.0437269957686901E-2</v>
      </c>
      <c r="T402">
        <v>1337.9499510000001</v>
      </c>
      <c r="U402">
        <f t="shared" si="75"/>
        <v>5.0526049161923048E-2</v>
      </c>
      <c r="W402">
        <f t="shared" si="76"/>
        <v>1.65581537119333E-2</v>
      </c>
      <c r="X402">
        <v>-5.5272519535390589E-3</v>
      </c>
    </row>
    <row r="403" spans="1:24" x14ac:dyDescent="0.35">
      <c r="A403" s="1">
        <v>43405</v>
      </c>
      <c r="B403">
        <v>965.76391599999999</v>
      </c>
      <c r="C403">
        <f t="shared" si="66"/>
        <v>-4.7114167873647528E-3</v>
      </c>
      <c r="D403">
        <v>1935.75</v>
      </c>
      <c r="E403">
        <f t="shared" si="67"/>
        <v>-1.2383066172797497E-3</v>
      </c>
      <c r="F403">
        <v>956.09997559999999</v>
      </c>
      <c r="G403">
        <f t="shared" si="68"/>
        <v>2.353608996992218E-4</v>
      </c>
      <c r="H403">
        <v>264.51901249999997</v>
      </c>
      <c r="I403">
        <f t="shared" si="69"/>
        <v>3.9336111770076343E-3</v>
      </c>
      <c r="J403">
        <v>666.70001219999995</v>
      </c>
      <c r="K403">
        <f t="shared" si="70"/>
        <v>-2.8700482954120421E-2</v>
      </c>
      <c r="L403">
        <v>277.39999390000003</v>
      </c>
      <c r="M403">
        <f t="shared" si="71"/>
        <v>-9.6394578407684728E-3</v>
      </c>
      <c r="N403">
        <v>571.84997559999999</v>
      </c>
      <c r="O403">
        <f t="shared" si="72"/>
        <v>-1.4476560792761717E-2</v>
      </c>
      <c r="P403">
        <v>154.25</v>
      </c>
      <c r="Q403">
        <f t="shared" si="73"/>
        <v>6.5252854812398731E-3</v>
      </c>
      <c r="R403">
        <v>179.4499969</v>
      </c>
      <c r="S403">
        <f t="shared" si="74"/>
        <v>1.9541640875466726E-3</v>
      </c>
      <c r="T403">
        <v>1366.099976</v>
      </c>
      <c r="U403">
        <f t="shared" si="75"/>
        <v>2.1039669666985894E-2</v>
      </c>
      <c r="W403">
        <f t="shared" si="76"/>
        <v>-2.5078133679815816E-3</v>
      </c>
      <c r="X403">
        <v>-5.5130514802532379E-3</v>
      </c>
    </row>
    <row r="404" spans="1:24" x14ac:dyDescent="0.35">
      <c r="A404" s="1">
        <v>43406</v>
      </c>
      <c r="B404">
        <v>982.8162231</v>
      </c>
      <c r="C404">
        <f t="shared" si="66"/>
        <v>1.765680702860295E-2</v>
      </c>
      <c r="D404">
        <v>1913.4499510000001</v>
      </c>
      <c r="E404">
        <f t="shared" si="67"/>
        <v>-1.1520107968487681E-2</v>
      </c>
      <c r="F404">
        <v>974.72497559999999</v>
      </c>
      <c r="G404">
        <f t="shared" si="68"/>
        <v>1.9480180394641167E-2</v>
      </c>
      <c r="H404">
        <v>272.224762</v>
      </c>
      <c r="I404">
        <f t="shared" si="69"/>
        <v>2.9131174455749198E-2</v>
      </c>
      <c r="J404">
        <v>662.25</v>
      </c>
      <c r="K404">
        <f t="shared" si="70"/>
        <v>-6.6746844436310626E-3</v>
      </c>
      <c r="L404">
        <v>283.25</v>
      </c>
      <c r="M404">
        <f t="shared" si="71"/>
        <v>2.1088703059268354E-2</v>
      </c>
      <c r="N404">
        <v>571.84997559999999</v>
      </c>
      <c r="O404">
        <f t="shared" si="72"/>
        <v>0</v>
      </c>
      <c r="P404">
        <v>157.3500061</v>
      </c>
      <c r="Q404">
        <f t="shared" si="73"/>
        <v>2.0097284278768335E-2</v>
      </c>
      <c r="R404">
        <v>190.3000031</v>
      </c>
      <c r="S404">
        <f t="shared" si="74"/>
        <v>6.0462559974555186E-2</v>
      </c>
      <c r="T404">
        <v>1462.5</v>
      </c>
      <c r="U404">
        <f t="shared" si="75"/>
        <v>7.0565863182476152E-2</v>
      </c>
      <c r="W404">
        <f t="shared" si="76"/>
        <v>2.2028777996194262E-2</v>
      </c>
      <c r="X404">
        <v>-5.5090986862336485E-3</v>
      </c>
    </row>
    <row r="405" spans="1:24" x14ac:dyDescent="0.35">
      <c r="A405" s="1">
        <v>43409</v>
      </c>
      <c r="B405">
        <v>996.89697269999999</v>
      </c>
      <c r="C405">
        <f t="shared" si="66"/>
        <v>1.4326940550071887E-2</v>
      </c>
      <c r="D405">
        <v>1890.849976</v>
      </c>
      <c r="E405">
        <f t="shared" si="67"/>
        <v>-1.1811113736311163E-2</v>
      </c>
      <c r="F405">
        <v>978</v>
      </c>
      <c r="G405">
        <f t="shared" si="68"/>
        <v>3.3599471461003283E-3</v>
      </c>
      <c r="H405">
        <v>273.26119999999997</v>
      </c>
      <c r="I405">
        <f t="shared" si="69"/>
        <v>3.8072877440884501E-3</v>
      </c>
      <c r="J405">
        <v>666</v>
      </c>
      <c r="K405">
        <f t="shared" si="70"/>
        <v>5.6625141562853809E-3</v>
      </c>
      <c r="L405">
        <v>279.60000609999997</v>
      </c>
      <c r="M405">
        <f t="shared" si="71"/>
        <v>-1.2886121447484689E-2</v>
      </c>
      <c r="N405">
        <v>571.59997559999999</v>
      </c>
      <c r="O405">
        <f t="shared" si="72"/>
        <v>-4.3717760018735508E-4</v>
      </c>
      <c r="P405">
        <v>154.9499969</v>
      </c>
      <c r="Q405">
        <f t="shared" si="73"/>
        <v>-1.5252679421408621E-2</v>
      </c>
      <c r="R405">
        <v>189.8000031</v>
      </c>
      <c r="S405">
        <f t="shared" si="74"/>
        <v>-2.6274303302941115E-3</v>
      </c>
      <c r="T405">
        <v>1436.0500489999999</v>
      </c>
      <c r="U405">
        <f t="shared" si="75"/>
        <v>-1.8085436581196657E-2</v>
      </c>
      <c r="W405">
        <f t="shared" si="76"/>
        <v>-3.3943269520336546E-3</v>
      </c>
      <c r="X405">
        <v>-5.5087173374848697E-3</v>
      </c>
    </row>
    <row r="406" spans="1:24" x14ac:dyDescent="0.35">
      <c r="A406" s="1">
        <v>43410</v>
      </c>
      <c r="B406">
        <v>1009.514771</v>
      </c>
      <c r="C406">
        <f t="shared" si="66"/>
        <v>1.2657073544747544E-2</v>
      </c>
      <c r="D406">
        <v>1932.6999510000001</v>
      </c>
      <c r="E406">
        <f t="shared" si="67"/>
        <v>2.2132890251045589E-2</v>
      </c>
      <c r="F406">
        <v>973.27502440000001</v>
      </c>
      <c r="G406">
        <f t="shared" si="68"/>
        <v>-4.831263394682983E-3</v>
      </c>
      <c r="H406">
        <v>274.92852779999998</v>
      </c>
      <c r="I406">
        <f t="shared" si="69"/>
        <v>6.101589980575417E-3</v>
      </c>
      <c r="J406">
        <v>666.45001219999995</v>
      </c>
      <c r="K406">
        <f t="shared" si="70"/>
        <v>6.7569399399380892E-4</v>
      </c>
      <c r="L406">
        <v>277.2999878</v>
      </c>
      <c r="M406">
        <f t="shared" si="71"/>
        <v>-8.2261024671700378E-3</v>
      </c>
      <c r="N406">
        <v>579.34997559999999</v>
      </c>
      <c r="O406">
        <f t="shared" si="72"/>
        <v>1.3558433049030372E-2</v>
      </c>
      <c r="P406">
        <v>156.0500031</v>
      </c>
      <c r="Q406">
        <f t="shared" si="73"/>
        <v>7.0991043691979172E-3</v>
      </c>
      <c r="R406">
        <v>193.25</v>
      </c>
      <c r="S406">
        <f t="shared" si="74"/>
        <v>1.8177011821134181E-2</v>
      </c>
      <c r="T406">
        <v>1424</v>
      </c>
      <c r="U406">
        <f t="shared" si="75"/>
        <v>-8.3911065692947595E-3</v>
      </c>
      <c r="W406">
        <f t="shared" si="76"/>
        <v>5.8953324578577037E-3</v>
      </c>
      <c r="X406">
        <v>-5.5082538832244348E-3</v>
      </c>
    </row>
    <row r="407" spans="1:24" x14ac:dyDescent="0.35">
      <c r="A407" s="1">
        <v>43411</v>
      </c>
      <c r="B407">
        <v>1015.549316</v>
      </c>
      <c r="C407">
        <f t="shared" si="66"/>
        <v>5.9776688497805708E-3</v>
      </c>
      <c r="D407">
        <v>1942.150024</v>
      </c>
      <c r="E407">
        <f t="shared" si="67"/>
        <v>4.8895706729388255E-3</v>
      </c>
      <c r="F407">
        <v>978.97497559999999</v>
      </c>
      <c r="G407">
        <f t="shared" si="68"/>
        <v>5.8564650865400303E-3</v>
      </c>
      <c r="H407">
        <v>276.01004030000001</v>
      </c>
      <c r="I407">
        <f t="shared" si="69"/>
        <v>3.9337951163320728E-3</v>
      </c>
      <c r="J407">
        <v>675.5</v>
      </c>
      <c r="K407">
        <f t="shared" si="70"/>
        <v>1.3579394754792418E-2</v>
      </c>
      <c r="L407">
        <v>280.0499878</v>
      </c>
      <c r="M407">
        <f t="shared" si="71"/>
        <v>9.917057774930127E-3</v>
      </c>
      <c r="N407">
        <v>582.29998780000005</v>
      </c>
      <c r="O407">
        <f t="shared" si="72"/>
        <v>5.0919346237046081E-3</v>
      </c>
      <c r="P407">
        <v>157</v>
      </c>
      <c r="Q407">
        <f t="shared" si="73"/>
        <v>6.0877723878751677E-3</v>
      </c>
      <c r="R407">
        <v>194.8500061</v>
      </c>
      <c r="S407">
        <f t="shared" si="74"/>
        <v>8.2794623544630852E-3</v>
      </c>
      <c r="T407">
        <v>1425.150024</v>
      </c>
      <c r="U407">
        <f t="shared" si="75"/>
        <v>8.0760112359556935E-4</v>
      </c>
      <c r="W407">
        <f t="shared" si="76"/>
        <v>6.4420722744952478E-3</v>
      </c>
      <c r="X407">
        <v>-5.4935124038134834E-3</v>
      </c>
    </row>
    <row r="408" spans="1:24" x14ac:dyDescent="0.35">
      <c r="A408" s="1">
        <v>43413</v>
      </c>
      <c r="B408">
        <v>999.77709960000004</v>
      </c>
      <c r="C408">
        <f t="shared" si="66"/>
        <v>-1.553072426076052E-2</v>
      </c>
      <c r="D408">
        <v>1909.1999510000001</v>
      </c>
      <c r="E408">
        <f t="shared" si="67"/>
        <v>-1.6965771229215831E-2</v>
      </c>
      <c r="F408">
        <v>972.70001219999995</v>
      </c>
      <c r="G408">
        <f t="shared" si="68"/>
        <v>-6.4097280894787056E-3</v>
      </c>
      <c r="H408">
        <v>270.15185550000001</v>
      </c>
      <c r="I408">
        <f t="shared" si="69"/>
        <v>-2.1224535142390644E-2</v>
      </c>
      <c r="J408">
        <v>659.5</v>
      </c>
      <c r="K408">
        <f t="shared" si="70"/>
        <v>-2.3686158401184265E-2</v>
      </c>
      <c r="L408">
        <v>277.25</v>
      </c>
      <c r="M408">
        <f t="shared" si="71"/>
        <v>-9.9981714764423302E-3</v>
      </c>
      <c r="N408">
        <v>597.45001219999995</v>
      </c>
      <c r="O408">
        <f t="shared" si="72"/>
        <v>2.6017559191849671E-2</v>
      </c>
      <c r="P408">
        <v>156.3999939</v>
      </c>
      <c r="Q408">
        <f t="shared" si="73"/>
        <v>-3.8216949044586057E-3</v>
      </c>
      <c r="R408">
        <v>195.25</v>
      </c>
      <c r="S408">
        <f t="shared" si="74"/>
        <v>2.052829804863876E-3</v>
      </c>
      <c r="T408">
        <v>1396.75</v>
      </c>
      <c r="U408">
        <f t="shared" si="75"/>
        <v>-1.9927743410682486E-2</v>
      </c>
      <c r="W408">
        <f t="shared" si="76"/>
        <v>-8.9494137917899858E-3</v>
      </c>
      <c r="X408">
        <v>-5.4704562468084863E-3</v>
      </c>
    </row>
    <row r="409" spans="1:24" x14ac:dyDescent="0.35">
      <c r="A409" s="1">
        <v>43416</v>
      </c>
      <c r="B409">
        <v>987.47930910000002</v>
      </c>
      <c r="C409">
        <f t="shared" si="66"/>
        <v>-1.2300532293568422E-2</v>
      </c>
      <c r="D409">
        <v>1914.849976</v>
      </c>
      <c r="E409">
        <f t="shared" si="67"/>
        <v>2.9593678739832097E-3</v>
      </c>
      <c r="F409">
        <v>960.52502440000001</v>
      </c>
      <c r="G409">
        <f t="shared" si="68"/>
        <v>-1.2516693376473986E-2</v>
      </c>
      <c r="H409">
        <v>266.9523926</v>
      </c>
      <c r="I409">
        <f t="shared" si="69"/>
        <v>-1.1843201647008583E-2</v>
      </c>
      <c r="J409">
        <v>664.20001219999995</v>
      </c>
      <c r="K409">
        <f t="shared" si="70"/>
        <v>7.1266295678542591E-3</v>
      </c>
      <c r="L409">
        <v>273.85000609999997</v>
      </c>
      <c r="M409">
        <f t="shared" si="71"/>
        <v>-1.2263278268710653E-2</v>
      </c>
      <c r="N409">
        <v>589.5</v>
      </c>
      <c r="O409">
        <f t="shared" si="72"/>
        <v>-1.3306572998007749E-2</v>
      </c>
      <c r="P409">
        <v>156.0500031</v>
      </c>
      <c r="Q409">
        <f t="shared" si="73"/>
        <v>-2.2377929261543361E-3</v>
      </c>
      <c r="R409">
        <v>186.0500031</v>
      </c>
      <c r="S409">
        <f t="shared" si="74"/>
        <v>-4.7119062227912956E-2</v>
      </c>
      <c r="T409">
        <v>1391.75</v>
      </c>
      <c r="U409">
        <f t="shared" si="75"/>
        <v>-3.5797386790764607E-3</v>
      </c>
      <c r="W409">
        <f t="shared" si="76"/>
        <v>-1.0508087497507569E-2</v>
      </c>
      <c r="X409">
        <v>-5.4671198451534675E-3</v>
      </c>
    </row>
    <row r="410" spans="1:24" x14ac:dyDescent="0.35">
      <c r="A410" s="1">
        <v>43417</v>
      </c>
      <c r="B410">
        <v>1005.263123</v>
      </c>
      <c r="C410">
        <f t="shared" si="66"/>
        <v>1.800930281385682E-2</v>
      </c>
      <c r="D410">
        <v>1934.9499510000001</v>
      </c>
      <c r="E410">
        <f t="shared" si="67"/>
        <v>1.0496892838564698E-2</v>
      </c>
      <c r="F410">
        <v>963.875</v>
      </c>
      <c r="G410">
        <f t="shared" si="68"/>
        <v>3.4876505191445695E-3</v>
      </c>
      <c r="H410">
        <v>268.1690979</v>
      </c>
      <c r="I410">
        <f t="shared" si="69"/>
        <v>4.557761360180379E-3</v>
      </c>
      <c r="J410">
        <v>665.70001219999995</v>
      </c>
      <c r="K410">
        <f t="shared" si="70"/>
        <v>2.2583558754110111E-3</v>
      </c>
      <c r="L410">
        <v>276.85000609999997</v>
      </c>
      <c r="M410">
        <f t="shared" si="71"/>
        <v>1.0954902074767459E-2</v>
      </c>
      <c r="N410">
        <v>561.75</v>
      </c>
      <c r="O410">
        <f t="shared" si="72"/>
        <v>-4.7073791348600458E-2</v>
      </c>
      <c r="P410">
        <v>156.5</v>
      </c>
      <c r="Q410">
        <f t="shared" si="73"/>
        <v>2.8836712019264521E-3</v>
      </c>
      <c r="R410">
        <v>179.5</v>
      </c>
      <c r="S410">
        <f t="shared" si="74"/>
        <v>-3.5205605970774601E-2</v>
      </c>
      <c r="T410">
        <v>1374.349976</v>
      </c>
      <c r="U410">
        <f t="shared" si="75"/>
        <v>-1.2502262619004889E-2</v>
      </c>
      <c r="W410">
        <f t="shared" si="76"/>
        <v>-4.2133123254528568E-3</v>
      </c>
      <c r="X410">
        <v>-5.4188480719611683E-3</v>
      </c>
    </row>
    <row r="411" spans="1:24" x14ac:dyDescent="0.35">
      <c r="A411" s="1">
        <v>43418</v>
      </c>
      <c r="B411">
        <v>1003.891602</v>
      </c>
      <c r="C411">
        <f t="shared" si="66"/>
        <v>-1.3643403091390116E-3</v>
      </c>
      <c r="D411">
        <v>1880.650024</v>
      </c>
      <c r="E411">
        <f t="shared" si="67"/>
        <v>-2.8062703622870111E-2</v>
      </c>
      <c r="F411">
        <v>978.875</v>
      </c>
      <c r="G411">
        <f t="shared" si="68"/>
        <v>1.5562183893139681E-2</v>
      </c>
      <c r="H411">
        <v>271.54882809999998</v>
      </c>
      <c r="I411">
        <f t="shared" si="69"/>
        <v>1.2602981575678296E-2</v>
      </c>
      <c r="J411">
        <v>653.20001219999995</v>
      </c>
      <c r="K411">
        <f t="shared" si="70"/>
        <v>-1.8777226634997479E-2</v>
      </c>
      <c r="L411">
        <v>276.4500122</v>
      </c>
      <c r="M411">
        <f t="shared" si="71"/>
        <v>-1.4448036524712382E-3</v>
      </c>
      <c r="N411">
        <v>520.09997559999999</v>
      </c>
      <c r="O411">
        <f t="shared" si="72"/>
        <v>-7.4143345616377365E-2</v>
      </c>
      <c r="P411">
        <v>161</v>
      </c>
      <c r="Q411">
        <f t="shared" si="73"/>
        <v>2.8753993610223683E-2</v>
      </c>
      <c r="R411">
        <v>176.8000031</v>
      </c>
      <c r="S411">
        <f t="shared" si="74"/>
        <v>-1.5041765459610001E-2</v>
      </c>
      <c r="T411">
        <v>1380.6999510000001</v>
      </c>
      <c r="U411">
        <f t="shared" si="75"/>
        <v>4.6203478814628163E-3</v>
      </c>
      <c r="W411">
        <f t="shared" si="76"/>
        <v>-7.7294678334960719E-3</v>
      </c>
      <c r="X411">
        <v>-5.4160833872919706E-3</v>
      </c>
    </row>
    <row r="412" spans="1:24" x14ac:dyDescent="0.35">
      <c r="A412" s="1">
        <v>43419</v>
      </c>
      <c r="B412">
        <v>1002.885864</v>
      </c>
      <c r="C412">
        <f t="shared" si="66"/>
        <v>-1.0018392404084198E-3</v>
      </c>
      <c r="D412">
        <v>1872.849976</v>
      </c>
      <c r="E412">
        <f t="shared" si="67"/>
        <v>-4.1475276635521974E-3</v>
      </c>
      <c r="F412">
        <v>987.57501219999995</v>
      </c>
      <c r="G412">
        <f t="shared" si="68"/>
        <v>8.8877662622908193E-3</v>
      </c>
      <c r="H412">
        <v>274.34271239999998</v>
      </c>
      <c r="I412">
        <f t="shared" si="69"/>
        <v>1.0288699529836132E-2</v>
      </c>
      <c r="J412">
        <v>656.40002440000001</v>
      </c>
      <c r="K412">
        <f t="shared" si="70"/>
        <v>4.8989775570003058E-3</v>
      </c>
      <c r="L412">
        <v>274.5</v>
      </c>
      <c r="M412">
        <f t="shared" si="71"/>
        <v>-7.0537605857989849E-3</v>
      </c>
      <c r="N412">
        <v>515.09997559999999</v>
      </c>
      <c r="O412">
        <f t="shared" si="72"/>
        <v>-9.6135363094986825E-3</v>
      </c>
      <c r="P412">
        <v>158.8500061</v>
      </c>
      <c r="Q412">
        <f t="shared" si="73"/>
        <v>-1.3353999378881931E-2</v>
      </c>
      <c r="R412">
        <v>180.1999969</v>
      </c>
      <c r="S412">
        <f t="shared" si="74"/>
        <v>1.9230733825705393E-2</v>
      </c>
      <c r="T412">
        <v>1388.4499510000001</v>
      </c>
      <c r="U412">
        <f t="shared" si="75"/>
        <v>5.6130950061865637E-3</v>
      </c>
      <c r="W412">
        <f t="shared" si="76"/>
        <v>1.3748609002878999E-3</v>
      </c>
      <c r="X412">
        <v>-5.4142490577246292E-3</v>
      </c>
    </row>
    <row r="413" spans="1:24" x14ac:dyDescent="0.35">
      <c r="A413" s="1">
        <v>43420</v>
      </c>
      <c r="B413">
        <v>1030.818726</v>
      </c>
      <c r="C413">
        <f t="shared" si="66"/>
        <v>2.7852483520497628E-2</v>
      </c>
      <c r="D413">
        <v>1886.599976</v>
      </c>
      <c r="E413">
        <f t="shared" si="67"/>
        <v>7.3417519695662126E-3</v>
      </c>
      <c r="F413">
        <v>1002.150024</v>
      </c>
      <c r="G413">
        <f t="shared" si="68"/>
        <v>1.4758384547956194E-2</v>
      </c>
      <c r="H413">
        <v>299.89334109999999</v>
      </c>
      <c r="I413">
        <f t="shared" si="69"/>
        <v>9.3133980037152897E-2</v>
      </c>
      <c r="J413">
        <v>650.84997559999999</v>
      </c>
      <c r="K413">
        <f t="shared" si="70"/>
        <v>-8.4552842682679152E-3</v>
      </c>
      <c r="L413">
        <v>276.5499878</v>
      </c>
      <c r="M413">
        <f t="shared" si="71"/>
        <v>7.4680794171220199E-3</v>
      </c>
      <c r="N413">
        <v>519.75</v>
      </c>
      <c r="O413">
        <f t="shared" si="72"/>
        <v>9.0274211226346601E-3</v>
      </c>
      <c r="P413">
        <v>156.3500061</v>
      </c>
      <c r="Q413">
        <f t="shared" si="73"/>
        <v>-1.5738117116760986E-2</v>
      </c>
      <c r="R413">
        <v>179.8999939</v>
      </c>
      <c r="S413">
        <f t="shared" si="74"/>
        <v>-1.6648335469533482E-3</v>
      </c>
      <c r="T413">
        <v>1387.900024</v>
      </c>
      <c r="U413">
        <f t="shared" si="75"/>
        <v>-3.9607261291918494E-4</v>
      </c>
      <c r="W413">
        <f t="shared" si="76"/>
        <v>1.3332779307002818E-2</v>
      </c>
      <c r="X413">
        <v>-5.3978049513268688E-3</v>
      </c>
    </row>
    <row r="414" spans="1:24" x14ac:dyDescent="0.35">
      <c r="A414" s="1">
        <v>43423</v>
      </c>
      <c r="B414">
        <v>1051.4826660000001</v>
      </c>
      <c r="C414">
        <f t="shared" si="66"/>
        <v>2.0046143399222727E-2</v>
      </c>
      <c r="D414">
        <v>1902.4499510000001</v>
      </c>
      <c r="E414">
        <f t="shared" si="67"/>
        <v>8.4013437939320923E-3</v>
      </c>
      <c r="F414">
        <v>1006.950012</v>
      </c>
      <c r="G414">
        <f t="shared" si="68"/>
        <v>4.7896900514368124E-3</v>
      </c>
      <c r="H414">
        <v>303.58850100000001</v>
      </c>
      <c r="I414">
        <f t="shared" si="69"/>
        <v>1.2321580354022865E-2</v>
      </c>
      <c r="J414">
        <v>651.70001219999995</v>
      </c>
      <c r="K414">
        <f t="shared" si="70"/>
        <v>1.3060407649494454E-3</v>
      </c>
      <c r="L414">
        <v>284.5</v>
      </c>
      <c r="M414">
        <f t="shared" si="71"/>
        <v>2.8747107397268934E-2</v>
      </c>
      <c r="N414">
        <v>531.54998780000005</v>
      </c>
      <c r="O414">
        <f t="shared" si="72"/>
        <v>2.2703199230399429E-2</v>
      </c>
      <c r="P414">
        <v>154.5500031</v>
      </c>
      <c r="Q414">
        <f t="shared" si="73"/>
        <v>-1.1512650654127543E-2</v>
      </c>
      <c r="R414">
        <v>184.6000061</v>
      </c>
      <c r="S414">
        <f t="shared" si="74"/>
        <v>2.6125694048731107E-2</v>
      </c>
      <c r="T414">
        <v>1412.5500489999999</v>
      </c>
      <c r="U414">
        <f t="shared" si="75"/>
        <v>1.7760663285354861E-2</v>
      </c>
      <c r="W414">
        <f t="shared" si="76"/>
        <v>1.3068881167119075E-2</v>
      </c>
      <c r="X414">
        <v>-5.3755016072456153E-3</v>
      </c>
    </row>
    <row r="415" spans="1:24" x14ac:dyDescent="0.35">
      <c r="A415" s="1">
        <v>43424</v>
      </c>
      <c r="B415">
        <v>1039.9620359999999</v>
      </c>
      <c r="C415">
        <f t="shared" si="66"/>
        <v>-1.0956557223930741E-2</v>
      </c>
      <c r="D415">
        <v>1878.25</v>
      </c>
      <c r="E415">
        <f t="shared" si="67"/>
        <v>-1.2720414004730896E-2</v>
      </c>
      <c r="F415">
        <v>1006.224976</v>
      </c>
      <c r="G415">
        <f t="shared" si="68"/>
        <v>-7.2003177055435241E-4</v>
      </c>
      <c r="H415">
        <v>299.17236329999997</v>
      </c>
      <c r="I415">
        <f t="shared" si="69"/>
        <v>-1.4546459057090733E-2</v>
      </c>
      <c r="J415">
        <v>641.40002440000001</v>
      </c>
      <c r="K415">
        <f t="shared" si="70"/>
        <v>-1.5804799151728388E-2</v>
      </c>
      <c r="L415">
        <v>283.85000609999997</v>
      </c>
      <c r="M415">
        <f t="shared" si="71"/>
        <v>-2.2846885764500335E-3</v>
      </c>
      <c r="N415">
        <v>525.45001219999995</v>
      </c>
      <c r="O415">
        <f t="shared" si="72"/>
        <v>-1.1475826808400313E-2</v>
      </c>
      <c r="P415">
        <v>153.1000061</v>
      </c>
      <c r="Q415">
        <f t="shared" si="73"/>
        <v>-9.3820573983540712E-3</v>
      </c>
      <c r="R415">
        <v>183.75</v>
      </c>
      <c r="S415">
        <f t="shared" si="74"/>
        <v>-4.6045832714628476E-3</v>
      </c>
      <c r="T415">
        <v>1412.5</v>
      </c>
      <c r="U415">
        <f t="shared" si="75"/>
        <v>-3.5431664906604432E-5</v>
      </c>
      <c r="W415">
        <f t="shared" si="76"/>
        <v>-8.2530848927608973E-3</v>
      </c>
      <c r="X415">
        <v>-5.3269082256764862E-3</v>
      </c>
    </row>
    <row r="416" spans="1:24" x14ac:dyDescent="0.35">
      <c r="A416" s="1">
        <v>43425</v>
      </c>
      <c r="B416">
        <v>1017.560852</v>
      </c>
      <c r="C416">
        <f t="shared" si="66"/>
        <v>-2.1540386306947767E-2</v>
      </c>
      <c r="D416">
        <v>1812</v>
      </c>
      <c r="E416">
        <f t="shared" si="67"/>
        <v>-3.5272194862238759E-2</v>
      </c>
      <c r="F416">
        <v>1009.375</v>
      </c>
      <c r="G416">
        <f t="shared" si="68"/>
        <v>3.1305364855105378E-3</v>
      </c>
      <c r="H416">
        <v>299.84829710000002</v>
      </c>
      <c r="I416">
        <f t="shared" si="69"/>
        <v>2.2593457247996884E-3</v>
      </c>
      <c r="J416">
        <v>619.09997559999999</v>
      </c>
      <c r="K416">
        <f t="shared" si="70"/>
        <v>-3.4767770426670452E-2</v>
      </c>
      <c r="L416">
        <v>281.75</v>
      </c>
      <c r="M416">
        <f t="shared" si="71"/>
        <v>-7.3982950673607828E-3</v>
      </c>
      <c r="N416">
        <v>532.84997559999999</v>
      </c>
      <c r="O416">
        <f t="shared" si="72"/>
        <v>1.4083096827835595E-2</v>
      </c>
      <c r="P416">
        <v>151.75</v>
      </c>
      <c r="Q416">
        <f t="shared" si="73"/>
        <v>-8.8178056578144259E-3</v>
      </c>
      <c r="R416">
        <v>184.1499939</v>
      </c>
      <c r="S416">
        <f t="shared" si="74"/>
        <v>2.176837551020494E-3</v>
      </c>
      <c r="T416">
        <v>1421.349976</v>
      </c>
      <c r="U416">
        <f t="shared" si="75"/>
        <v>6.2654697345132515E-3</v>
      </c>
      <c r="W416">
        <f t="shared" si="76"/>
        <v>-7.9881165997352632E-3</v>
      </c>
      <c r="X416">
        <v>-5.3185147128787854E-3</v>
      </c>
    </row>
    <row r="417" spans="1:24" x14ac:dyDescent="0.35">
      <c r="A417" s="1">
        <v>43426</v>
      </c>
      <c r="B417">
        <v>1008.3718260000001</v>
      </c>
      <c r="C417">
        <f t="shared" si="66"/>
        <v>-9.030443714436398E-3</v>
      </c>
      <c r="D417">
        <v>1812.5500489999999</v>
      </c>
      <c r="E417">
        <f t="shared" si="67"/>
        <v>3.0355905077250611E-4</v>
      </c>
      <c r="F417">
        <v>1002.75</v>
      </c>
      <c r="G417">
        <f t="shared" si="68"/>
        <v>-6.5634674922601111E-3</v>
      </c>
      <c r="H417">
        <v>295.47720340000001</v>
      </c>
      <c r="I417">
        <f t="shared" si="69"/>
        <v>-1.4577683923088114E-2</v>
      </c>
      <c r="J417">
        <v>620.75</v>
      </c>
      <c r="K417">
        <f t="shared" si="70"/>
        <v>2.6651986190129318E-3</v>
      </c>
      <c r="L417">
        <v>280.5</v>
      </c>
      <c r="M417">
        <f t="shared" si="71"/>
        <v>-4.4365572315883117E-3</v>
      </c>
      <c r="N417">
        <v>525.95001219999995</v>
      </c>
      <c r="O417">
        <f t="shared" si="72"/>
        <v>-1.2949167150154262E-2</v>
      </c>
      <c r="P417">
        <v>152.25</v>
      </c>
      <c r="Q417">
        <f t="shared" si="73"/>
        <v>3.2948929159801743E-3</v>
      </c>
      <c r="R417">
        <v>182.5500031</v>
      </c>
      <c r="S417">
        <f t="shared" si="74"/>
        <v>-8.6885194298125246E-3</v>
      </c>
      <c r="T417">
        <v>1410.900024</v>
      </c>
      <c r="U417">
        <f t="shared" si="75"/>
        <v>-7.3521315484934568E-3</v>
      </c>
      <c r="W417">
        <f t="shared" si="76"/>
        <v>-5.7334319904067572E-3</v>
      </c>
      <c r="X417">
        <v>-5.3169100591613505E-3</v>
      </c>
    </row>
    <row r="418" spans="1:24" x14ac:dyDescent="0.35">
      <c r="A418" s="1">
        <v>43430</v>
      </c>
      <c r="B418">
        <v>1014.6807250000001</v>
      </c>
      <c r="C418">
        <f t="shared" si="66"/>
        <v>6.2565204990168155E-3</v>
      </c>
      <c r="D418">
        <v>1846.099976</v>
      </c>
      <c r="E418">
        <f t="shared" si="67"/>
        <v>1.850979343633008E-2</v>
      </c>
      <c r="F418">
        <v>1024.900024</v>
      </c>
      <c r="G418">
        <f t="shared" si="68"/>
        <v>2.208927848416864E-2</v>
      </c>
      <c r="H418">
        <v>301.515625</v>
      </c>
      <c r="I418">
        <f t="shared" si="69"/>
        <v>2.0436167428542706E-2</v>
      </c>
      <c r="J418">
        <v>621.45001219999995</v>
      </c>
      <c r="K418">
        <f t="shared" si="70"/>
        <v>1.1276877970196608E-3</v>
      </c>
      <c r="L418">
        <v>285.64999390000003</v>
      </c>
      <c r="M418">
        <f t="shared" si="71"/>
        <v>1.8360049554367208E-2</v>
      </c>
      <c r="N418">
        <v>510.75</v>
      </c>
      <c r="O418">
        <f t="shared" si="72"/>
        <v>-2.8900108085214593E-2</v>
      </c>
      <c r="P418">
        <v>146.6000061</v>
      </c>
      <c r="Q418">
        <f t="shared" si="73"/>
        <v>-3.710997635467983E-2</v>
      </c>
      <c r="R418">
        <v>181.75</v>
      </c>
      <c r="S418">
        <f t="shared" si="74"/>
        <v>-4.3823779042160282E-3</v>
      </c>
      <c r="T418">
        <v>1393.6999510000001</v>
      </c>
      <c r="U418">
        <f t="shared" si="75"/>
        <v>-1.2190851731107455E-2</v>
      </c>
      <c r="W418">
        <f t="shared" si="76"/>
        <v>4.196183124227195E-4</v>
      </c>
      <c r="X418">
        <v>-5.2956514780225228E-3</v>
      </c>
    </row>
    <row r="419" spans="1:24" x14ac:dyDescent="0.35">
      <c r="A419" s="1">
        <v>43431</v>
      </c>
      <c r="B419">
        <v>1031.5501710000001</v>
      </c>
      <c r="C419">
        <f t="shared" si="66"/>
        <v>1.6625373464150606E-2</v>
      </c>
      <c r="D419">
        <v>1890.25</v>
      </c>
      <c r="E419">
        <f t="shared" si="67"/>
        <v>2.3915294173645574E-2</v>
      </c>
      <c r="F419">
        <v>1032</v>
      </c>
      <c r="G419">
        <f t="shared" si="68"/>
        <v>6.9274815433120196E-3</v>
      </c>
      <c r="H419">
        <v>295.74755859999999</v>
      </c>
      <c r="I419">
        <f t="shared" si="69"/>
        <v>-1.9130240431155188E-2</v>
      </c>
      <c r="J419">
        <v>638.90002440000001</v>
      </c>
      <c r="K419">
        <f t="shared" si="70"/>
        <v>2.8079510592050827E-2</v>
      </c>
      <c r="L419">
        <v>284.85000609999997</v>
      </c>
      <c r="M419">
        <f t="shared" si="71"/>
        <v>-2.8005874919784235E-3</v>
      </c>
      <c r="N419">
        <v>493.85000609999997</v>
      </c>
      <c r="O419">
        <f t="shared" si="72"/>
        <v>-3.308858325991193E-2</v>
      </c>
      <c r="P419">
        <v>146.1000061</v>
      </c>
      <c r="Q419">
        <f t="shared" si="73"/>
        <v>-3.4106410586295377E-3</v>
      </c>
      <c r="R419">
        <v>180.0500031</v>
      </c>
      <c r="S419">
        <f t="shared" si="74"/>
        <v>-9.3534905089408538E-3</v>
      </c>
      <c r="T419">
        <v>1404.9499510000001</v>
      </c>
      <c r="U419">
        <f t="shared" si="75"/>
        <v>8.0720387425772255E-3</v>
      </c>
      <c r="W419">
        <f t="shared" si="76"/>
        <v>1.5836155765120321E-3</v>
      </c>
      <c r="X419">
        <v>-5.2657693071057714E-3</v>
      </c>
    </row>
    <row r="420" spans="1:24" x14ac:dyDescent="0.35">
      <c r="A420" s="1">
        <v>43432</v>
      </c>
      <c r="B420">
        <v>1053.9056399999999</v>
      </c>
      <c r="C420">
        <f t="shared" si="66"/>
        <v>2.1671722450812281E-2</v>
      </c>
      <c r="D420">
        <v>1983.900024</v>
      </c>
      <c r="E420">
        <f t="shared" si="67"/>
        <v>4.9543723846052101E-2</v>
      </c>
      <c r="F420">
        <v>1044.625</v>
      </c>
      <c r="G420">
        <f t="shared" si="68"/>
        <v>1.2233527131783051E-2</v>
      </c>
      <c r="H420">
        <v>283.08489989999998</v>
      </c>
      <c r="I420">
        <f t="shared" si="69"/>
        <v>-4.2815767473929789E-2</v>
      </c>
      <c r="J420">
        <v>666.40002440000001</v>
      </c>
      <c r="K420">
        <f t="shared" si="70"/>
        <v>4.3042728047828271E-2</v>
      </c>
      <c r="L420">
        <v>282.2000122</v>
      </c>
      <c r="M420">
        <f t="shared" si="71"/>
        <v>-9.3031203905596938E-3</v>
      </c>
      <c r="N420">
        <v>486</v>
      </c>
      <c r="O420">
        <f t="shared" si="72"/>
        <v>-1.5895526988027209E-2</v>
      </c>
      <c r="P420">
        <v>142.8000031</v>
      </c>
      <c r="Q420">
        <f t="shared" si="73"/>
        <v>-2.2587288584651199E-2</v>
      </c>
      <c r="R420">
        <v>174.4499969</v>
      </c>
      <c r="S420">
        <f t="shared" si="74"/>
        <v>-3.1102505435058214E-2</v>
      </c>
      <c r="T420">
        <v>1443.6999510000001</v>
      </c>
      <c r="U420">
        <f t="shared" si="75"/>
        <v>2.7581053668437772E-2</v>
      </c>
      <c r="W420">
        <f t="shared" si="76"/>
        <v>3.2368546272687386E-3</v>
      </c>
      <c r="X420">
        <v>-5.2590788333412462E-3</v>
      </c>
    </row>
    <row r="421" spans="1:24" x14ac:dyDescent="0.35">
      <c r="A421" s="1">
        <v>43433</v>
      </c>
      <c r="B421">
        <v>1068.397827</v>
      </c>
      <c r="C421">
        <f t="shared" si="66"/>
        <v>1.3750934096908418E-2</v>
      </c>
      <c r="D421">
        <v>1960.5500489999999</v>
      </c>
      <c r="E421">
        <f t="shared" si="67"/>
        <v>-1.1769733715170316E-2</v>
      </c>
      <c r="F421">
        <v>1065.525024</v>
      </c>
      <c r="G421">
        <f t="shared" si="68"/>
        <v>2.00072025846596E-2</v>
      </c>
      <c r="H421">
        <v>285.87881470000002</v>
      </c>
      <c r="I421">
        <f t="shared" si="69"/>
        <v>9.8695296039703617E-3</v>
      </c>
      <c r="J421">
        <v>661.04998780000005</v>
      </c>
      <c r="K421">
        <f t="shared" si="70"/>
        <v>-8.0282659125303635E-3</v>
      </c>
      <c r="L421">
        <v>287.5499878</v>
      </c>
      <c r="M421">
        <f t="shared" si="71"/>
        <v>1.8958098400819301E-2</v>
      </c>
      <c r="N421">
        <v>484.39999390000003</v>
      </c>
      <c r="O421">
        <f t="shared" si="72"/>
        <v>-3.2921936213990977E-3</v>
      </c>
      <c r="P421">
        <v>140.6000061</v>
      </c>
      <c r="Q421">
        <f t="shared" si="73"/>
        <v>-1.5406141122135564E-2</v>
      </c>
      <c r="R421">
        <v>177.25</v>
      </c>
      <c r="S421">
        <f t="shared" si="74"/>
        <v>1.6050462308721203E-2</v>
      </c>
      <c r="T421">
        <v>1438.099976</v>
      </c>
      <c r="U421">
        <f t="shared" si="75"/>
        <v>-3.8789050287916238E-3</v>
      </c>
      <c r="W421">
        <f t="shared" si="76"/>
        <v>3.626098759505193E-3</v>
      </c>
      <c r="X421">
        <v>-5.1745414009708229E-3</v>
      </c>
    </row>
    <row r="422" spans="1:24" x14ac:dyDescent="0.35">
      <c r="A422" s="1">
        <v>43434</v>
      </c>
      <c r="B422">
        <v>1067.5291749999999</v>
      </c>
      <c r="C422">
        <f t="shared" si="66"/>
        <v>-8.1304171353402399E-4</v>
      </c>
      <c r="D422">
        <v>1968.25</v>
      </c>
      <c r="E422">
        <f t="shared" si="67"/>
        <v>3.9274442414400923E-3</v>
      </c>
      <c r="F422">
        <v>1064.224976</v>
      </c>
      <c r="G422">
        <f t="shared" si="68"/>
        <v>-1.2201008617513942E-3</v>
      </c>
      <c r="H422">
        <v>282.54415890000001</v>
      </c>
      <c r="I422">
        <f t="shared" si="69"/>
        <v>-1.1664578235709322E-2</v>
      </c>
      <c r="J422">
        <v>667.45001219999995</v>
      </c>
      <c r="K422">
        <f t="shared" si="70"/>
        <v>9.6816042933445257E-3</v>
      </c>
      <c r="L422">
        <v>285.7999878</v>
      </c>
      <c r="M422">
        <f t="shared" si="71"/>
        <v>-6.0858983628863106E-3</v>
      </c>
      <c r="N422">
        <v>492.60000609999997</v>
      </c>
      <c r="O422">
        <f t="shared" si="72"/>
        <v>1.6928183945627229E-2</v>
      </c>
      <c r="P422">
        <v>140.3000031</v>
      </c>
      <c r="Q422">
        <f t="shared" si="73"/>
        <v>-2.1337339045819359E-3</v>
      </c>
      <c r="R422">
        <v>171.9499969</v>
      </c>
      <c r="S422">
        <f t="shared" si="74"/>
        <v>-2.9901286882933698E-2</v>
      </c>
      <c r="T422">
        <v>1492.5</v>
      </c>
      <c r="U422">
        <f t="shared" si="75"/>
        <v>3.782770663226831E-2</v>
      </c>
      <c r="W422">
        <f t="shared" si="76"/>
        <v>1.6546299151283471E-3</v>
      </c>
      <c r="X422">
        <v>-5.1636834602060699E-3</v>
      </c>
    </row>
    <row r="423" spans="1:24" x14ac:dyDescent="0.35">
      <c r="A423" s="1">
        <v>43437</v>
      </c>
      <c r="B423">
        <v>1057.3801269999999</v>
      </c>
      <c r="C423">
        <f t="shared" si="66"/>
        <v>-9.5070450884866542E-3</v>
      </c>
      <c r="D423">
        <v>1982.400024</v>
      </c>
      <c r="E423">
        <f t="shared" si="67"/>
        <v>7.1891395910073097E-3</v>
      </c>
      <c r="F423">
        <v>1056.650024</v>
      </c>
      <c r="G423">
        <f t="shared" si="68"/>
        <v>-7.1178107738752994E-3</v>
      </c>
      <c r="H423">
        <v>288.17700200000002</v>
      </c>
      <c r="I423">
        <f t="shared" si="69"/>
        <v>1.9936151297304416E-2</v>
      </c>
      <c r="J423">
        <v>670.34997559999999</v>
      </c>
      <c r="K423">
        <f t="shared" si="70"/>
        <v>4.3448398336849436E-3</v>
      </c>
      <c r="L423">
        <v>282.9500122</v>
      </c>
      <c r="M423">
        <f t="shared" si="71"/>
        <v>-9.9719234487665176E-3</v>
      </c>
      <c r="N423">
        <v>455.39999390000003</v>
      </c>
      <c r="O423">
        <f t="shared" si="72"/>
        <v>-7.551768521993929E-2</v>
      </c>
      <c r="P423">
        <v>142.5</v>
      </c>
      <c r="Q423">
        <f t="shared" si="73"/>
        <v>1.5680661806058094E-2</v>
      </c>
      <c r="R423">
        <v>175.4499969</v>
      </c>
      <c r="S423">
        <f t="shared" si="74"/>
        <v>2.0354754656003227E-2</v>
      </c>
      <c r="T423">
        <v>1477.4499510000001</v>
      </c>
      <c r="U423">
        <f t="shared" si="75"/>
        <v>-1.0083784924623029E-2</v>
      </c>
      <c r="W423">
        <f t="shared" si="76"/>
        <v>-4.4692702271632804E-3</v>
      </c>
      <c r="X423">
        <v>-5.1553961138306355E-3</v>
      </c>
    </row>
    <row r="424" spans="1:24" x14ac:dyDescent="0.35">
      <c r="A424" s="1">
        <v>43438</v>
      </c>
      <c r="B424">
        <v>1053.5855710000001</v>
      </c>
      <c r="C424">
        <f t="shared" si="66"/>
        <v>-3.5886394146310563E-3</v>
      </c>
      <c r="D424">
        <v>2010.849976</v>
      </c>
      <c r="E424">
        <f t="shared" si="67"/>
        <v>1.4351266977183919E-2</v>
      </c>
      <c r="F424">
        <v>1042.775024</v>
      </c>
      <c r="G424">
        <f t="shared" si="68"/>
        <v>-1.3131121643735422E-2</v>
      </c>
      <c r="H424">
        <v>287.09548949999999</v>
      </c>
      <c r="I424">
        <f t="shared" si="69"/>
        <v>-3.7529452124706042E-3</v>
      </c>
      <c r="J424">
        <v>685.25</v>
      </c>
      <c r="K424">
        <f t="shared" si="70"/>
        <v>2.222723195695453E-2</v>
      </c>
      <c r="L424">
        <v>281.85000609999997</v>
      </c>
      <c r="M424">
        <f t="shared" si="71"/>
        <v>-3.8876340433676715E-3</v>
      </c>
      <c r="N424">
        <v>442.89999390000003</v>
      </c>
      <c r="O424">
        <f t="shared" si="72"/>
        <v>-2.7448397381280687E-2</v>
      </c>
      <c r="P424">
        <v>146.1499939</v>
      </c>
      <c r="Q424">
        <f t="shared" si="73"/>
        <v>2.5613992280701714E-2</v>
      </c>
      <c r="R424">
        <v>175.75</v>
      </c>
      <c r="S424">
        <f t="shared" si="74"/>
        <v>1.7099065562877769E-3</v>
      </c>
      <c r="T424">
        <v>1485.6999510000001</v>
      </c>
      <c r="U424">
        <f t="shared" si="75"/>
        <v>5.5839454963710899E-3</v>
      </c>
      <c r="W424">
        <f t="shared" si="76"/>
        <v>1.7677605572013586E-3</v>
      </c>
      <c r="X424">
        <v>-5.1526789821842549E-3</v>
      </c>
    </row>
    <row r="425" spans="1:24" x14ac:dyDescent="0.35">
      <c r="A425" s="1">
        <v>43439</v>
      </c>
      <c r="B425">
        <v>1056.1914059999999</v>
      </c>
      <c r="C425">
        <f t="shared" si="66"/>
        <v>2.4733017153286685E-3</v>
      </c>
      <c r="D425">
        <v>2006.75</v>
      </c>
      <c r="E425">
        <f t="shared" si="67"/>
        <v>-2.0389268463257837E-3</v>
      </c>
      <c r="F425">
        <v>1049.599976</v>
      </c>
      <c r="G425">
        <f t="shared" si="68"/>
        <v>6.5449898999498934E-3</v>
      </c>
      <c r="H425">
        <v>281.91326900000001</v>
      </c>
      <c r="I425">
        <f t="shared" si="69"/>
        <v>-1.8050511727039753E-2</v>
      </c>
      <c r="J425">
        <v>681.40002440000001</v>
      </c>
      <c r="K425">
        <f t="shared" si="70"/>
        <v>-5.6183518423932322E-3</v>
      </c>
      <c r="L425">
        <v>275.35000609999997</v>
      </c>
      <c r="M425">
        <f t="shared" si="71"/>
        <v>-2.3061911865610574E-2</v>
      </c>
      <c r="N425">
        <v>412.9500122</v>
      </c>
      <c r="O425">
        <f t="shared" si="72"/>
        <v>-6.7622447759080995E-2</v>
      </c>
      <c r="P425">
        <v>143.6999969</v>
      </c>
      <c r="Q425">
        <f t="shared" si="73"/>
        <v>-1.6763579214901347E-2</v>
      </c>
      <c r="R425">
        <v>169.1999969</v>
      </c>
      <c r="S425">
        <f t="shared" si="74"/>
        <v>-3.7268865433854881E-2</v>
      </c>
      <c r="T425">
        <v>1502.5500489999999</v>
      </c>
      <c r="U425">
        <f t="shared" si="75"/>
        <v>1.1341521542528321E-2</v>
      </c>
      <c r="W425">
        <f t="shared" si="76"/>
        <v>-1.500647815313997E-2</v>
      </c>
      <c r="X425">
        <v>-5.152182433722674E-3</v>
      </c>
    </row>
    <row r="426" spans="1:24" x14ac:dyDescent="0.35">
      <c r="A426" s="1">
        <v>43440</v>
      </c>
      <c r="B426">
        <v>1027.3900149999999</v>
      </c>
      <c r="C426">
        <f t="shared" si="66"/>
        <v>-2.7269101827931297E-2</v>
      </c>
      <c r="D426">
        <v>1992.6999510000001</v>
      </c>
      <c r="E426">
        <f t="shared" si="67"/>
        <v>-7.0013947925749997E-3</v>
      </c>
      <c r="F426">
        <v>1048.525024</v>
      </c>
      <c r="G426">
        <f t="shared" si="68"/>
        <v>-1.0241539868327543E-3</v>
      </c>
      <c r="H426">
        <v>273.98220830000002</v>
      </c>
      <c r="I426">
        <f t="shared" si="69"/>
        <v>-2.8132981211324237E-2</v>
      </c>
      <c r="J426">
        <v>668.5</v>
      </c>
      <c r="K426">
        <f t="shared" si="70"/>
        <v>-1.893164651903112E-2</v>
      </c>
      <c r="L426">
        <v>273.0499878</v>
      </c>
      <c r="M426">
        <f t="shared" si="71"/>
        <v>-8.3530715418421719E-3</v>
      </c>
      <c r="N426">
        <v>420.14999390000003</v>
      </c>
      <c r="O426">
        <f t="shared" si="72"/>
        <v>1.7435480051549046E-2</v>
      </c>
      <c r="P426">
        <v>140.1499939</v>
      </c>
      <c r="Q426">
        <f t="shared" si="73"/>
        <v>-2.4704266364531824E-2</v>
      </c>
      <c r="R426">
        <v>162.6499939</v>
      </c>
      <c r="S426">
        <f t="shared" si="74"/>
        <v>-3.8711602364101538E-2</v>
      </c>
      <c r="T426">
        <v>1496.650024</v>
      </c>
      <c r="U426">
        <f t="shared" si="75"/>
        <v>-3.9266745250360335E-3</v>
      </c>
      <c r="W426">
        <f t="shared" si="76"/>
        <v>-1.4061941308165694E-2</v>
      </c>
      <c r="X426">
        <v>-5.1491349745622526E-3</v>
      </c>
    </row>
    <row r="427" spans="1:24" x14ac:dyDescent="0.35">
      <c r="A427" s="1">
        <v>43441</v>
      </c>
      <c r="B427">
        <v>1036.6704099999999</v>
      </c>
      <c r="C427">
        <f t="shared" si="66"/>
        <v>9.032981501187809E-3</v>
      </c>
      <c r="D427">
        <v>1995.1999510000001</v>
      </c>
      <c r="E427">
        <f t="shared" si="67"/>
        <v>1.2545792449814019E-3</v>
      </c>
      <c r="F427">
        <v>1053.8000489999999</v>
      </c>
      <c r="G427">
        <f t="shared" si="68"/>
        <v>5.0309004356199338E-3</v>
      </c>
      <c r="H427">
        <v>273.93713380000003</v>
      </c>
      <c r="I427">
        <f t="shared" si="69"/>
        <v>-1.6451615701496003E-4</v>
      </c>
      <c r="J427">
        <v>682.79998780000005</v>
      </c>
      <c r="K427">
        <f t="shared" si="70"/>
        <v>2.1391156020942548E-2</v>
      </c>
      <c r="L427">
        <v>274.0499878</v>
      </c>
      <c r="M427">
        <f t="shared" si="71"/>
        <v>3.6623330696958778E-3</v>
      </c>
      <c r="N427">
        <v>411.25</v>
      </c>
      <c r="O427">
        <f t="shared" si="72"/>
        <v>-2.1182896654089456E-2</v>
      </c>
      <c r="P427">
        <v>139.3999939</v>
      </c>
      <c r="Q427">
        <f t="shared" si="73"/>
        <v>-5.3514094373428023E-3</v>
      </c>
      <c r="R427">
        <v>162.3999939</v>
      </c>
      <c r="S427">
        <f t="shared" si="74"/>
        <v>-1.5370427874329406E-3</v>
      </c>
      <c r="T427">
        <v>1513.150024</v>
      </c>
      <c r="U427">
        <f t="shared" si="75"/>
        <v>1.1024621478240793E-2</v>
      </c>
      <c r="W427">
        <f t="shared" si="76"/>
        <v>2.31607067147882E-3</v>
      </c>
      <c r="X427">
        <v>-5.1432040115375957E-3</v>
      </c>
    </row>
    <row r="428" spans="1:24" x14ac:dyDescent="0.35">
      <c r="A428" s="1">
        <v>43444</v>
      </c>
      <c r="B428">
        <v>996.85125730000004</v>
      </c>
      <c r="C428">
        <f t="shared" si="66"/>
        <v>-3.8410619533357671E-2</v>
      </c>
      <c r="D428">
        <v>1975.8000489999999</v>
      </c>
      <c r="E428">
        <f t="shared" si="67"/>
        <v>-9.7232871273261745E-3</v>
      </c>
      <c r="F428">
        <v>1044.375</v>
      </c>
      <c r="G428">
        <f t="shared" si="68"/>
        <v>-8.9438684396948576E-3</v>
      </c>
      <c r="H428">
        <v>265.82583620000003</v>
      </c>
      <c r="I428">
        <f t="shared" si="69"/>
        <v>-2.9610069607875822E-2</v>
      </c>
      <c r="J428">
        <v>669.20001219999995</v>
      </c>
      <c r="K428">
        <f t="shared" si="70"/>
        <v>-1.9917949389278156E-2</v>
      </c>
      <c r="L428">
        <v>270.4500122</v>
      </c>
      <c r="M428">
        <f t="shared" si="71"/>
        <v>-1.3136200548300114E-2</v>
      </c>
      <c r="N428">
        <v>399</v>
      </c>
      <c r="O428">
        <f t="shared" si="72"/>
        <v>-2.9787234042553234E-2</v>
      </c>
      <c r="P428">
        <v>137.1000061</v>
      </c>
      <c r="Q428">
        <f t="shared" si="73"/>
        <v>-1.6499195843938996E-2</v>
      </c>
      <c r="R428">
        <v>157.1000061</v>
      </c>
      <c r="S428">
        <f t="shared" si="74"/>
        <v>-3.2635394082979663E-2</v>
      </c>
      <c r="T428">
        <v>1510.1999510000001</v>
      </c>
      <c r="U428">
        <f t="shared" si="75"/>
        <v>-1.9496236018961E-3</v>
      </c>
      <c r="W428">
        <f t="shared" si="76"/>
        <v>-2.0061344221720085E-2</v>
      </c>
      <c r="X428">
        <v>-5.137494515907704E-3</v>
      </c>
    </row>
    <row r="429" spans="1:24" x14ac:dyDescent="0.35">
      <c r="A429" s="1">
        <v>43445</v>
      </c>
      <c r="B429">
        <v>1003.525879</v>
      </c>
      <c r="C429">
        <f t="shared" si="66"/>
        <v>6.6957047514575319E-3</v>
      </c>
      <c r="D429">
        <v>2000</v>
      </c>
      <c r="E429">
        <f t="shared" si="67"/>
        <v>1.2248178155602529E-2</v>
      </c>
      <c r="F429">
        <v>1029.775024</v>
      </c>
      <c r="G429">
        <f t="shared" si="68"/>
        <v>-1.3979629922202252E-2</v>
      </c>
      <c r="H429">
        <v>261.58993529999998</v>
      </c>
      <c r="I429">
        <f t="shared" si="69"/>
        <v>-1.5934872849654336E-2</v>
      </c>
      <c r="J429">
        <v>674.5</v>
      </c>
      <c r="K429">
        <f t="shared" si="70"/>
        <v>7.9198859883105044E-3</v>
      </c>
      <c r="L429">
        <v>274.7000122</v>
      </c>
      <c r="M429">
        <f t="shared" si="71"/>
        <v>1.5714549115483534E-2</v>
      </c>
      <c r="N429">
        <v>422.2999878</v>
      </c>
      <c r="O429">
        <f t="shared" si="72"/>
        <v>5.8395959398496178E-2</v>
      </c>
      <c r="P429">
        <v>138.1000061</v>
      </c>
      <c r="Q429">
        <f t="shared" si="73"/>
        <v>7.2939457002694219E-3</v>
      </c>
      <c r="R429">
        <v>158.1000061</v>
      </c>
      <c r="S429">
        <f t="shared" si="74"/>
        <v>6.3653721271244024E-3</v>
      </c>
      <c r="T429">
        <v>1546.5</v>
      </c>
      <c r="U429">
        <f t="shared" si="75"/>
        <v>2.4036584676064399E-2</v>
      </c>
      <c r="W429">
        <f t="shared" si="76"/>
        <v>1.0875567714095192E-2</v>
      </c>
      <c r="X429">
        <v>-5.1207378139987436E-3</v>
      </c>
    </row>
    <row r="430" spans="1:24" x14ac:dyDescent="0.35">
      <c r="A430" s="1">
        <v>43446</v>
      </c>
      <c r="B430">
        <v>1015.366455</v>
      </c>
      <c r="C430">
        <f t="shared" si="66"/>
        <v>1.1798974244489724E-2</v>
      </c>
      <c r="D430">
        <v>2016.8000489999999</v>
      </c>
      <c r="E430">
        <f t="shared" si="67"/>
        <v>8.4000244999999918E-3</v>
      </c>
      <c r="F430">
        <v>1042.650024</v>
      </c>
      <c r="G430">
        <f t="shared" si="68"/>
        <v>1.2502730887751667E-2</v>
      </c>
      <c r="H430">
        <v>275.37915040000001</v>
      </c>
      <c r="I430">
        <f t="shared" si="69"/>
        <v>5.2713094959812246E-2</v>
      </c>
      <c r="J430">
        <v>678.5</v>
      </c>
      <c r="K430">
        <f t="shared" si="70"/>
        <v>5.9303187546331237E-3</v>
      </c>
      <c r="L430">
        <v>276.0499878</v>
      </c>
      <c r="M430">
        <f t="shared" si="71"/>
        <v>4.914363087166862E-3</v>
      </c>
      <c r="N430">
        <v>431.4500122</v>
      </c>
      <c r="O430">
        <f t="shared" si="72"/>
        <v>2.1667119735588214E-2</v>
      </c>
      <c r="P430">
        <v>141.6999969</v>
      </c>
      <c r="Q430">
        <f t="shared" si="73"/>
        <v>2.6067998848553264E-2</v>
      </c>
      <c r="R430">
        <v>164.1000061</v>
      </c>
      <c r="S430">
        <f t="shared" si="74"/>
        <v>3.7950662672365354E-2</v>
      </c>
      <c r="T430">
        <v>1559.75</v>
      </c>
      <c r="U430">
        <f t="shared" si="75"/>
        <v>8.5677335919818187E-3</v>
      </c>
      <c r="W430">
        <f t="shared" si="76"/>
        <v>1.9051302128234228E-2</v>
      </c>
      <c r="X430">
        <v>-5.1108075615954656E-3</v>
      </c>
    </row>
    <row r="431" spans="1:24" x14ac:dyDescent="0.35">
      <c r="A431" s="1">
        <v>43447</v>
      </c>
      <c r="B431">
        <v>1012.212036</v>
      </c>
      <c r="C431">
        <f t="shared" si="66"/>
        <v>-3.1066803364111495E-3</v>
      </c>
      <c r="D431">
        <v>1982.599976</v>
      </c>
      <c r="E431">
        <f t="shared" si="67"/>
        <v>-1.6957592309142178E-2</v>
      </c>
      <c r="F431">
        <v>1050.650024</v>
      </c>
      <c r="G431">
        <f t="shared" si="68"/>
        <v>7.6727567408563235E-3</v>
      </c>
      <c r="H431">
        <v>273.17108150000001</v>
      </c>
      <c r="I431">
        <f t="shared" si="69"/>
        <v>-8.0182864127247289E-3</v>
      </c>
      <c r="J431">
        <v>697.75</v>
      </c>
      <c r="K431">
        <f t="shared" si="70"/>
        <v>2.8371407516580627E-2</v>
      </c>
      <c r="L431">
        <v>275.2999878</v>
      </c>
      <c r="M431">
        <f t="shared" si="71"/>
        <v>-2.7168992325526942E-3</v>
      </c>
      <c r="N431">
        <v>422.10000609999997</v>
      </c>
      <c r="O431">
        <f t="shared" si="72"/>
        <v>-2.1671122576456869E-2</v>
      </c>
      <c r="P431">
        <v>143.3000031</v>
      </c>
      <c r="Q431">
        <f t="shared" si="73"/>
        <v>1.1291504834182398E-2</v>
      </c>
      <c r="R431">
        <v>166.8500061</v>
      </c>
      <c r="S431">
        <f t="shared" si="74"/>
        <v>1.6758073721972799E-2</v>
      </c>
      <c r="T431">
        <v>1582.900024</v>
      </c>
      <c r="U431">
        <f t="shared" si="75"/>
        <v>1.484213752203889E-2</v>
      </c>
      <c r="W431">
        <f t="shared" si="76"/>
        <v>2.6465299468343417E-3</v>
      </c>
      <c r="X431">
        <v>-5.1046395473176021E-3</v>
      </c>
    </row>
    <row r="432" spans="1:24" x14ac:dyDescent="0.35">
      <c r="A432" s="1">
        <v>43448</v>
      </c>
      <c r="B432">
        <v>1016.920837</v>
      </c>
      <c r="C432">
        <f t="shared" si="66"/>
        <v>4.6519907218331991E-3</v>
      </c>
      <c r="D432">
        <v>1989.75</v>
      </c>
      <c r="E432">
        <f t="shared" si="67"/>
        <v>3.6063876155318919E-3</v>
      </c>
      <c r="F432">
        <v>1047.849976</v>
      </c>
      <c r="G432">
        <f t="shared" si="68"/>
        <v>-2.6650625194294397E-3</v>
      </c>
      <c r="H432">
        <v>287.72637939999998</v>
      </c>
      <c r="I432">
        <f t="shared" si="69"/>
        <v>5.3282718727311495E-2</v>
      </c>
      <c r="J432">
        <v>706.04998780000005</v>
      </c>
      <c r="K432">
        <f t="shared" si="70"/>
        <v>1.1895360515944198E-2</v>
      </c>
      <c r="L432">
        <v>275.75</v>
      </c>
      <c r="M432">
        <f t="shared" si="71"/>
        <v>1.634624845413768E-3</v>
      </c>
      <c r="N432">
        <v>420.64999390000003</v>
      </c>
      <c r="O432">
        <f t="shared" si="72"/>
        <v>-3.4352337812011413E-3</v>
      </c>
      <c r="P432">
        <v>146.8500061</v>
      </c>
      <c r="Q432">
        <f t="shared" si="73"/>
        <v>2.4773223469665151E-2</v>
      </c>
      <c r="R432">
        <v>166.9499969</v>
      </c>
      <c r="S432">
        <f t="shared" si="74"/>
        <v>5.9928556394583943E-4</v>
      </c>
      <c r="T432">
        <v>1594.5</v>
      </c>
      <c r="U432">
        <f t="shared" si="75"/>
        <v>7.3283061621838286E-3</v>
      </c>
      <c r="W432">
        <f t="shared" si="76"/>
        <v>1.0167160132119879E-2</v>
      </c>
      <c r="X432">
        <v>-5.0952449373002917E-3</v>
      </c>
    </row>
    <row r="433" spans="1:24" x14ac:dyDescent="0.35">
      <c r="A433" s="1">
        <v>43451</v>
      </c>
      <c r="B433">
        <v>1033.1044919999999</v>
      </c>
      <c r="C433">
        <f t="shared" si="66"/>
        <v>1.5914370530299093E-2</v>
      </c>
      <c r="D433">
        <v>1994.3000489999999</v>
      </c>
      <c r="E433">
        <f t="shared" si="67"/>
        <v>2.2867440633245195E-3</v>
      </c>
      <c r="F433">
        <v>1065.099976</v>
      </c>
      <c r="G433">
        <f t="shared" si="68"/>
        <v>1.6462280283527919E-2</v>
      </c>
      <c r="H433">
        <v>284.0762939</v>
      </c>
      <c r="I433">
        <f t="shared" si="69"/>
        <v>-1.2685960556037879E-2</v>
      </c>
      <c r="J433">
        <v>694.40002440000001</v>
      </c>
      <c r="K433">
        <f t="shared" si="70"/>
        <v>-1.6500196305222592E-2</v>
      </c>
      <c r="L433">
        <v>279.85000609999997</v>
      </c>
      <c r="M433">
        <f t="shared" si="71"/>
        <v>1.4868562466001656E-2</v>
      </c>
      <c r="N433">
        <v>420.9500122</v>
      </c>
      <c r="O433">
        <f t="shared" si="72"/>
        <v>7.1322549471219965E-4</v>
      </c>
      <c r="P433">
        <v>148.25</v>
      </c>
      <c r="Q433">
        <f t="shared" si="73"/>
        <v>9.5334956884280952E-3</v>
      </c>
      <c r="R433">
        <v>173.9499969</v>
      </c>
      <c r="S433">
        <f t="shared" si="74"/>
        <v>4.1928721952554815E-2</v>
      </c>
      <c r="T433">
        <v>1616.25</v>
      </c>
      <c r="U433">
        <f t="shared" si="75"/>
        <v>1.3640639698965229E-2</v>
      </c>
      <c r="W433">
        <f t="shared" si="76"/>
        <v>8.616188331655306E-3</v>
      </c>
      <c r="X433">
        <v>-5.0743065917188915E-3</v>
      </c>
    </row>
    <row r="434" spans="1:24" x14ac:dyDescent="0.35">
      <c r="A434" s="1">
        <v>43452</v>
      </c>
      <c r="B434">
        <v>1039.0477289999999</v>
      </c>
      <c r="C434">
        <f t="shared" si="66"/>
        <v>5.7527936873977836E-3</v>
      </c>
      <c r="D434">
        <v>1987.849976</v>
      </c>
      <c r="E434">
        <f t="shared" si="67"/>
        <v>-3.2342540447883872E-3</v>
      </c>
      <c r="F434">
        <v>1067.724976</v>
      </c>
      <c r="G434">
        <f t="shared" si="68"/>
        <v>2.4645573740957882E-3</v>
      </c>
      <c r="H434">
        <v>286.41955569999999</v>
      </c>
      <c r="I434">
        <f t="shared" si="69"/>
        <v>8.2487058945681646E-3</v>
      </c>
      <c r="J434">
        <v>676.59997559999999</v>
      </c>
      <c r="K434">
        <f t="shared" si="70"/>
        <v>-2.5633709928769455E-2</v>
      </c>
      <c r="L434">
        <v>278.14999390000003</v>
      </c>
      <c r="M434">
        <f t="shared" si="71"/>
        <v>-6.0747263281905051E-3</v>
      </c>
      <c r="N434">
        <v>433.4500122</v>
      </c>
      <c r="O434">
        <f t="shared" si="72"/>
        <v>2.9694737231795276E-2</v>
      </c>
      <c r="P434">
        <v>147.6000061</v>
      </c>
      <c r="Q434">
        <f t="shared" si="73"/>
        <v>-4.3844445193929049E-3</v>
      </c>
      <c r="R434">
        <v>174.75</v>
      </c>
      <c r="S434">
        <f t="shared" si="74"/>
        <v>4.5990406108480375E-3</v>
      </c>
      <c r="T434">
        <v>1668.150024</v>
      </c>
      <c r="U434">
        <f t="shared" si="75"/>
        <v>3.2111383758700818E-2</v>
      </c>
      <c r="W434">
        <f t="shared" si="76"/>
        <v>4.354408373626462E-3</v>
      </c>
      <c r="X434">
        <v>-5.0402390519984084E-3</v>
      </c>
    </row>
    <row r="435" spans="1:24" x14ac:dyDescent="0.35">
      <c r="A435" s="1">
        <v>43453</v>
      </c>
      <c r="B435">
        <v>1039.413452</v>
      </c>
      <c r="C435">
        <f t="shared" si="66"/>
        <v>3.5197901866568237E-4</v>
      </c>
      <c r="D435">
        <v>1968.4499510000001</v>
      </c>
      <c r="E435">
        <f t="shared" si="67"/>
        <v>-9.7593003668401401E-3</v>
      </c>
      <c r="F435">
        <v>1061.724976</v>
      </c>
      <c r="G435">
        <f t="shared" si="68"/>
        <v>-5.6194246035882189E-3</v>
      </c>
      <c r="H435">
        <v>290.8357239</v>
      </c>
      <c r="I435">
        <f t="shared" si="69"/>
        <v>1.5418528910175366E-2</v>
      </c>
      <c r="J435">
        <v>664.84997559999999</v>
      </c>
      <c r="K435">
        <f t="shared" si="70"/>
        <v>-1.7366243605876908E-2</v>
      </c>
      <c r="L435">
        <v>283.4500122</v>
      </c>
      <c r="M435">
        <f t="shared" si="71"/>
        <v>1.9054533223917369E-2</v>
      </c>
      <c r="N435">
        <v>423.7999878</v>
      </c>
      <c r="O435">
        <f t="shared" si="72"/>
        <v>-2.2263292486763953E-2</v>
      </c>
      <c r="P435">
        <v>148.25</v>
      </c>
      <c r="Q435">
        <f t="shared" si="73"/>
        <v>4.403752528029159E-3</v>
      </c>
      <c r="R435">
        <v>173.8999939</v>
      </c>
      <c r="S435">
        <f t="shared" si="74"/>
        <v>-4.8641264663805694E-3</v>
      </c>
      <c r="T435">
        <v>1650.599976</v>
      </c>
      <c r="U435">
        <f t="shared" si="75"/>
        <v>-1.0520665256424255E-2</v>
      </c>
      <c r="W435">
        <f t="shared" si="76"/>
        <v>-3.1164259105086467E-3</v>
      </c>
      <c r="X435">
        <v>-4.9849220337025105E-3</v>
      </c>
    </row>
    <row r="436" spans="1:24" x14ac:dyDescent="0.35">
      <c r="A436" s="1">
        <v>43454</v>
      </c>
      <c r="B436">
        <v>1031.7788089999999</v>
      </c>
      <c r="C436">
        <f t="shared" si="66"/>
        <v>-7.3451454619043455E-3</v>
      </c>
      <c r="D436">
        <v>1954.0500489999999</v>
      </c>
      <c r="E436">
        <f t="shared" si="67"/>
        <v>-7.3153508387067134E-3</v>
      </c>
      <c r="F436">
        <v>1068.724976</v>
      </c>
      <c r="G436">
        <f t="shared" si="68"/>
        <v>6.5930444872570604E-3</v>
      </c>
      <c r="H436">
        <v>285.29299930000002</v>
      </c>
      <c r="I436">
        <f t="shared" si="69"/>
        <v>-1.9057922203208344E-2</v>
      </c>
      <c r="J436">
        <v>667.04998780000005</v>
      </c>
      <c r="K436">
        <f t="shared" si="70"/>
        <v>3.3090355429654661E-3</v>
      </c>
      <c r="L436">
        <v>282.64999390000003</v>
      </c>
      <c r="M436">
        <f t="shared" si="71"/>
        <v>-2.8224317007101707E-3</v>
      </c>
      <c r="N436">
        <v>429.0499878</v>
      </c>
      <c r="O436">
        <f t="shared" si="72"/>
        <v>1.2387919186249707E-2</v>
      </c>
      <c r="P436">
        <v>148.6000061</v>
      </c>
      <c r="Q436">
        <f t="shared" si="73"/>
        <v>2.3609180438448618E-3</v>
      </c>
      <c r="R436">
        <v>176.3999939</v>
      </c>
      <c r="S436">
        <f t="shared" si="74"/>
        <v>1.4376078710144125E-2</v>
      </c>
      <c r="T436">
        <v>1646.099976</v>
      </c>
      <c r="U436">
        <f t="shared" si="75"/>
        <v>-2.7262813918761397E-3</v>
      </c>
      <c r="W436">
        <f t="shared" si="76"/>
        <v>-2.4013562594449192E-5</v>
      </c>
      <c r="X436">
        <v>-4.9806651913967158E-3</v>
      </c>
    </row>
    <row r="437" spans="1:24" x14ac:dyDescent="0.35">
      <c r="A437" s="1">
        <v>43455</v>
      </c>
      <c r="B437">
        <v>1005.948853</v>
      </c>
      <c r="C437">
        <f t="shared" si="66"/>
        <v>-2.5034392812384176E-2</v>
      </c>
      <c r="D437">
        <v>1895.8000489999999</v>
      </c>
      <c r="E437">
        <f t="shared" si="67"/>
        <v>-2.9809881292349627E-2</v>
      </c>
      <c r="F437">
        <v>1055.5749510000001</v>
      </c>
      <c r="G437">
        <f t="shared" si="68"/>
        <v>-1.2304405057714241E-2</v>
      </c>
      <c r="H437">
        <v>277.4971008</v>
      </c>
      <c r="I437">
        <f t="shared" si="69"/>
        <v>-2.7325936910923776E-2</v>
      </c>
      <c r="J437">
        <v>646.20001219999995</v>
      </c>
      <c r="K437">
        <f t="shared" si="70"/>
        <v>-3.1256991202061934E-2</v>
      </c>
      <c r="L437">
        <v>276.75</v>
      </c>
      <c r="M437">
        <f t="shared" si="71"/>
        <v>-2.0873851149232348E-2</v>
      </c>
      <c r="N437">
        <v>425.2999878</v>
      </c>
      <c r="O437">
        <f t="shared" si="72"/>
        <v>-8.7402403137883944E-3</v>
      </c>
      <c r="P437">
        <v>148.5</v>
      </c>
      <c r="Q437">
        <f t="shared" si="73"/>
        <v>-6.7298853226627209E-4</v>
      </c>
      <c r="R437">
        <v>176.25</v>
      </c>
      <c r="S437">
        <f t="shared" si="74"/>
        <v>-8.5030558495957642E-4</v>
      </c>
      <c r="T437">
        <v>1648.099976</v>
      </c>
      <c r="U437">
        <f t="shared" si="75"/>
        <v>1.2149930315046298E-3</v>
      </c>
      <c r="W437">
        <f t="shared" si="76"/>
        <v>-1.5565399982417572E-2</v>
      </c>
      <c r="X437">
        <v>-4.972928847672687E-3</v>
      </c>
    </row>
    <row r="438" spans="1:24" x14ac:dyDescent="0.35">
      <c r="A438" s="1">
        <v>43458</v>
      </c>
      <c r="B438">
        <v>995.84545900000001</v>
      </c>
      <c r="C438">
        <f t="shared" si="66"/>
        <v>-1.0043645827388814E-2</v>
      </c>
      <c r="D438">
        <v>1918.5</v>
      </c>
      <c r="E438">
        <f t="shared" si="67"/>
        <v>1.197381074653614E-2</v>
      </c>
      <c r="F438">
        <v>1040.3249510000001</v>
      </c>
      <c r="G438">
        <f t="shared" si="68"/>
        <v>-1.4447102960858382E-2</v>
      </c>
      <c r="H438">
        <v>278.57861329999997</v>
      </c>
      <c r="I438">
        <f t="shared" si="69"/>
        <v>3.897383060515125E-3</v>
      </c>
      <c r="J438">
        <v>649</v>
      </c>
      <c r="K438">
        <f t="shared" si="70"/>
        <v>4.3330048702219237E-3</v>
      </c>
      <c r="L438">
        <v>276</v>
      </c>
      <c r="M438">
        <f t="shared" si="71"/>
        <v>-2.7100271002710175E-3</v>
      </c>
      <c r="N438">
        <v>424.35000609999997</v>
      </c>
      <c r="O438">
        <f t="shared" si="72"/>
        <v>-2.2336744115938334E-3</v>
      </c>
      <c r="P438">
        <v>147.8999939</v>
      </c>
      <c r="Q438">
        <f t="shared" si="73"/>
        <v>-4.0404451178451817E-3</v>
      </c>
      <c r="R438">
        <v>172.5</v>
      </c>
      <c r="S438">
        <f t="shared" si="74"/>
        <v>-2.1276595744680882E-2</v>
      </c>
      <c r="T438">
        <v>1545.75</v>
      </c>
      <c r="U438">
        <f t="shared" si="75"/>
        <v>-6.2101800552419872E-2</v>
      </c>
      <c r="W438">
        <f t="shared" si="76"/>
        <v>-9.6649093037784791E-3</v>
      </c>
      <c r="X438">
        <v>-4.9546035072231646E-3</v>
      </c>
    </row>
    <row r="439" spans="1:24" x14ac:dyDescent="0.35">
      <c r="A439" s="1">
        <v>43460</v>
      </c>
      <c r="B439">
        <v>1004.257324</v>
      </c>
      <c r="C439">
        <f t="shared" si="66"/>
        <v>8.4469582343098537E-3</v>
      </c>
      <c r="D439">
        <v>1889.1999510000001</v>
      </c>
      <c r="E439">
        <f t="shared" si="67"/>
        <v>-1.5272373729476096E-2</v>
      </c>
      <c r="F439">
        <v>1061.1750489999999</v>
      </c>
      <c r="G439">
        <f t="shared" si="68"/>
        <v>2.0041909001565328E-2</v>
      </c>
      <c r="H439">
        <v>288.80789179999999</v>
      </c>
      <c r="I439">
        <f t="shared" si="69"/>
        <v>3.6719539877184237E-2</v>
      </c>
      <c r="J439">
        <v>644.04998780000005</v>
      </c>
      <c r="K439">
        <f t="shared" si="70"/>
        <v>-7.6271374422187677E-3</v>
      </c>
      <c r="L439">
        <v>276.64999390000003</v>
      </c>
      <c r="M439">
        <f t="shared" si="71"/>
        <v>2.3550503623188668E-3</v>
      </c>
      <c r="N439">
        <v>413.64999390000003</v>
      </c>
      <c r="O439">
        <f t="shared" si="72"/>
        <v>-2.5215063146431183E-2</v>
      </c>
      <c r="P439">
        <v>146.6000061</v>
      </c>
      <c r="Q439">
        <f t="shared" si="73"/>
        <v>-8.7896406600189714E-3</v>
      </c>
      <c r="R439">
        <v>170.8999939</v>
      </c>
      <c r="S439">
        <f t="shared" si="74"/>
        <v>-9.2753976811594807E-3</v>
      </c>
      <c r="T439">
        <v>1554.849976</v>
      </c>
      <c r="U439">
        <f t="shared" si="75"/>
        <v>5.8870942907973678E-3</v>
      </c>
      <c r="W439">
        <f t="shared" si="76"/>
        <v>7.2709391068711572E-4</v>
      </c>
      <c r="X439">
        <v>-4.9457852453061116E-3</v>
      </c>
    </row>
    <row r="440" spans="1:24" x14ac:dyDescent="0.35">
      <c r="A440" s="1">
        <v>43461</v>
      </c>
      <c r="B440">
        <v>1024.2354740000001</v>
      </c>
      <c r="C440">
        <f t="shared" si="66"/>
        <v>1.9893457107612811E-2</v>
      </c>
      <c r="D440">
        <v>1908.9499510000001</v>
      </c>
      <c r="E440">
        <f t="shared" si="67"/>
        <v>1.045416076236183E-2</v>
      </c>
      <c r="F440">
        <v>1052.525024</v>
      </c>
      <c r="G440">
        <f t="shared" si="68"/>
        <v>-8.151364855545018E-3</v>
      </c>
      <c r="H440">
        <v>285.42816160000001</v>
      </c>
      <c r="I440">
        <f t="shared" si="69"/>
        <v>-1.1702347117094836E-2</v>
      </c>
      <c r="J440">
        <v>656.79998780000005</v>
      </c>
      <c r="K440">
        <f t="shared" si="70"/>
        <v>1.9796600017884414E-2</v>
      </c>
      <c r="L440">
        <v>280.75</v>
      </c>
      <c r="M440">
        <f t="shared" si="71"/>
        <v>1.4820192266051579E-2</v>
      </c>
      <c r="N440">
        <v>411.14999390000003</v>
      </c>
      <c r="O440">
        <f t="shared" si="72"/>
        <v>-6.0437568883522363E-3</v>
      </c>
      <c r="P440">
        <v>149.6999969</v>
      </c>
      <c r="Q440">
        <f t="shared" si="73"/>
        <v>2.1145911807707529E-2</v>
      </c>
      <c r="R440">
        <v>168.25</v>
      </c>
      <c r="S440">
        <f t="shared" si="74"/>
        <v>-1.550610880390435E-2</v>
      </c>
      <c r="T440">
        <v>1570.150024</v>
      </c>
      <c r="U440">
        <f t="shared" si="75"/>
        <v>9.8402085321189769E-3</v>
      </c>
      <c r="W440">
        <f t="shared" si="76"/>
        <v>5.4546952828840693E-3</v>
      </c>
      <c r="X440">
        <v>-4.9083593923004987E-3</v>
      </c>
    </row>
    <row r="441" spans="1:24" x14ac:dyDescent="0.35">
      <c r="A441" s="1">
        <v>43462</v>
      </c>
      <c r="B441">
        <v>1029.127197</v>
      </c>
      <c r="C441">
        <f t="shared" si="66"/>
        <v>4.7759749824871633E-3</v>
      </c>
      <c r="D441">
        <v>1896.0500489999999</v>
      </c>
      <c r="E441">
        <f t="shared" si="67"/>
        <v>-6.7575904717892543E-3</v>
      </c>
      <c r="F441">
        <v>1061.4499510000001</v>
      </c>
      <c r="G441">
        <f t="shared" si="68"/>
        <v>8.4795390099912105E-3</v>
      </c>
      <c r="H441">
        <v>285.29299930000002</v>
      </c>
      <c r="I441">
        <f t="shared" si="69"/>
        <v>-4.7354227152052175E-4</v>
      </c>
      <c r="J441">
        <v>656.95001219999995</v>
      </c>
      <c r="K441">
        <f t="shared" si="70"/>
        <v>2.2841717842059239E-4</v>
      </c>
      <c r="L441">
        <v>282.25</v>
      </c>
      <c r="M441">
        <f t="shared" si="71"/>
        <v>5.3428317008015203E-3</v>
      </c>
      <c r="N441">
        <v>425.2000122</v>
      </c>
      <c r="O441">
        <f t="shared" si="72"/>
        <v>3.4172488163570769E-2</v>
      </c>
      <c r="P441">
        <v>150.5</v>
      </c>
      <c r="Q441">
        <f t="shared" si="73"/>
        <v>5.3440421948331984E-3</v>
      </c>
      <c r="R441">
        <v>170.8500061</v>
      </c>
      <c r="S441">
        <f t="shared" si="74"/>
        <v>1.5453230906389281E-2</v>
      </c>
      <c r="T441">
        <v>1654.9499510000001</v>
      </c>
      <c r="U441">
        <f t="shared" si="75"/>
        <v>5.4007531575849033E-2</v>
      </c>
      <c r="W441">
        <f t="shared" si="76"/>
        <v>1.20572922969033E-2</v>
      </c>
      <c r="X441">
        <v>-4.9066943521946516E-3</v>
      </c>
    </row>
    <row r="442" spans="1:24" x14ac:dyDescent="0.35">
      <c r="A442" s="1">
        <v>43465</v>
      </c>
      <c r="B442">
        <v>1025.195557</v>
      </c>
      <c r="C442">
        <f t="shared" si="66"/>
        <v>-3.8203635191657037E-3</v>
      </c>
      <c r="D442">
        <v>1893.0500489999999</v>
      </c>
      <c r="E442">
        <f t="shared" si="67"/>
        <v>-1.5822367144697758E-3</v>
      </c>
      <c r="F442">
        <v>1060.849976</v>
      </c>
      <c r="G442">
        <f t="shared" si="68"/>
        <v>-5.6524097008514573E-4</v>
      </c>
      <c r="H442">
        <v>281.64288329999999</v>
      </c>
      <c r="I442">
        <f t="shared" si="69"/>
        <v>-1.2794271184207173E-2</v>
      </c>
      <c r="J442">
        <v>658.95001219999995</v>
      </c>
      <c r="K442">
        <f t="shared" si="70"/>
        <v>3.044371661250711E-3</v>
      </c>
      <c r="L442">
        <v>281.64999390000003</v>
      </c>
      <c r="M442">
        <f t="shared" si="71"/>
        <v>-2.1257966341894363E-3</v>
      </c>
      <c r="N442">
        <v>430.5</v>
      </c>
      <c r="O442">
        <f t="shared" si="72"/>
        <v>1.2464693433515306E-2</v>
      </c>
      <c r="P442">
        <v>149.8999939</v>
      </c>
      <c r="Q442">
        <f t="shared" si="73"/>
        <v>-3.9867514950165939E-3</v>
      </c>
      <c r="R442">
        <v>172.6999969</v>
      </c>
      <c r="S442">
        <f t="shared" si="74"/>
        <v>1.0828157646755932E-2</v>
      </c>
      <c r="T442">
        <v>1606.650024</v>
      </c>
      <c r="U442">
        <f t="shared" si="75"/>
        <v>-2.9185128511478475E-2</v>
      </c>
      <c r="W442">
        <f t="shared" si="76"/>
        <v>-2.7722566287090356E-3</v>
      </c>
      <c r="X442">
        <v>-4.8959322736062743E-3</v>
      </c>
    </row>
    <row r="443" spans="1:24" x14ac:dyDescent="0.35">
      <c r="A443" s="1">
        <v>43466</v>
      </c>
      <c r="B443">
        <v>1024.966919</v>
      </c>
      <c r="C443">
        <f t="shared" si="66"/>
        <v>-2.2301891423437414E-4</v>
      </c>
      <c r="D443">
        <v>1902.8000489999999</v>
      </c>
      <c r="E443">
        <f t="shared" si="67"/>
        <v>5.1504185032775762E-3</v>
      </c>
      <c r="F443">
        <v>1074.0500489999999</v>
      </c>
      <c r="G443">
        <f t="shared" si="68"/>
        <v>1.2442921523900807E-2</v>
      </c>
      <c r="H443">
        <v>287.95169069999997</v>
      </c>
      <c r="I443">
        <f t="shared" si="69"/>
        <v>2.2400024194042745E-2</v>
      </c>
      <c r="J443">
        <v>665.04998780000005</v>
      </c>
      <c r="K443">
        <f t="shared" si="70"/>
        <v>9.2571143289525981E-3</v>
      </c>
      <c r="L443">
        <v>282.7000122</v>
      </c>
      <c r="M443">
        <f t="shared" si="71"/>
        <v>3.7280962994545863E-3</v>
      </c>
      <c r="N443">
        <v>433.5499878</v>
      </c>
      <c r="O443">
        <f t="shared" si="72"/>
        <v>7.0847567944249956E-3</v>
      </c>
      <c r="P443">
        <v>148.5</v>
      </c>
      <c r="Q443">
        <f t="shared" si="73"/>
        <v>-9.3395193927355846E-3</v>
      </c>
      <c r="R443">
        <v>173.4499969</v>
      </c>
      <c r="S443">
        <f t="shared" si="74"/>
        <v>4.3427910449487239E-3</v>
      </c>
      <c r="T443">
        <v>1590.75</v>
      </c>
      <c r="U443">
        <f t="shared" si="75"/>
        <v>-9.8963830096703287E-3</v>
      </c>
      <c r="W443">
        <f t="shared" si="76"/>
        <v>4.4947201372361736E-3</v>
      </c>
      <c r="X443">
        <v>-4.8823221576445577E-3</v>
      </c>
    </row>
    <row r="444" spans="1:24" x14ac:dyDescent="0.35">
      <c r="A444" s="1">
        <v>43467</v>
      </c>
      <c r="B444">
        <v>1011.617737</v>
      </c>
      <c r="C444">
        <f t="shared" si="66"/>
        <v>-1.3024012534008311E-2</v>
      </c>
      <c r="D444">
        <v>1923.3000489999999</v>
      </c>
      <c r="E444">
        <f t="shared" si="67"/>
        <v>1.0773596527272389E-2</v>
      </c>
      <c r="F444">
        <v>1064.25</v>
      </c>
      <c r="G444">
        <f t="shared" si="68"/>
        <v>-9.1243876476001518E-3</v>
      </c>
      <c r="H444">
        <v>281.77807619999999</v>
      </c>
      <c r="I444">
        <f t="shared" si="69"/>
        <v>-2.1439757776702595E-2</v>
      </c>
      <c r="J444">
        <v>669.04998780000005</v>
      </c>
      <c r="K444">
        <f t="shared" si="70"/>
        <v>6.0145854798556719E-3</v>
      </c>
      <c r="L444">
        <v>280.60000609999997</v>
      </c>
      <c r="M444">
        <f t="shared" si="71"/>
        <v>-7.4283905531434824E-3</v>
      </c>
      <c r="N444">
        <v>440.0499878</v>
      </c>
      <c r="O444">
        <f t="shared" si="72"/>
        <v>1.4992504170011633E-2</v>
      </c>
      <c r="P444">
        <v>147.0500031</v>
      </c>
      <c r="Q444">
        <f t="shared" si="73"/>
        <v>-9.7642888888889168E-3</v>
      </c>
      <c r="R444">
        <v>168.5500031</v>
      </c>
      <c r="S444">
        <f t="shared" si="74"/>
        <v>-2.8250180960366467E-2</v>
      </c>
      <c r="T444">
        <v>1560.25</v>
      </c>
      <c r="U444">
        <f t="shared" si="75"/>
        <v>-1.9173345906019157E-2</v>
      </c>
      <c r="W444">
        <f t="shared" si="76"/>
        <v>-7.6423678089589395E-3</v>
      </c>
      <c r="X444">
        <v>-4.8755464547918688E-3</v>
      </c>
    </row>
    <row r="445" spans="1:24" x14ac:dyDescent="0.35">
      <c r="A445" s="1">
        <v>43468</v>
      </c>
      <c r="B445">
        <v>999.13708499999996</v>
      </c>
      <c r="C445">
        <f t="shared" si="66"/>
        <v>-1.2337320257958306E-2</v>
      </c>
      <c r="D445">
        <v>1899.9499510000001</v>
      </c>
      <c r="E445">
        <f t="shared" si="67"/>
        <v>-1.2140642336145424E-2</v>
      </c>
      <c r="F445">
        <v>1055.900024</v>
      </c>
      <c r="G445">
        <f t="shared" si="68"/>
        <v>-7.845878318064381E-3</v>
      </c>
      <c r="H445">
        <v>282.54415890000001</v>
      </c>
      <c r="I445">
        <f t="shared" si="69"/>
        <v>2.7187448730265906E-3</v>
      </c>
      <c r="J445">
        <v>669.15002440000001</v>
      </c>
      <c r="K445">
        <f t="shared" si="70"/>
        <v>1.4952036742266195E-4</v>
      </c>
      <c r="L445">
        <v>278.85000609999997</v>
      </c>
      <c r="M445">
        <f t="shared" si="71"/>
        <v>-6.2366356448914084E-3</v>
      </c>
      <c r="N445">
        <v>436.10000609999997</v>
      </c>
      <c r="O445">
        <f t="shared" si="72"/>
        <v>-8.9762113612312788E-3</v>
      </c>
      <c r="P445">
        <v>142.3999939</v>
      </c>
      <c r="Q445">
        <f t="shared" si="73"/>
        <v>-3.1621959210961781E-2</v>
      </c>
      <c r="R445">
        <v>166.0500031</v>
      </c>
      <c r="S445">
        <f t="shared" si="74"/>
        <v>-1.4832393675583422E-2</v>
      </c>
      <c r="T445">
        <v>1575.900024</v>
      </c>
      <c r="U445">
        <f t="shared" si="75"/>
        <v>1.0030459221278765E-2</v>
      </c>
      <c r="W445">
        <f t="shared" si="76"/>
        <v>-8.1092316343107981E-3</v>
      </c>
      <c r="X445">
        <v>-4.8685268161099745E-3</v>
      </c>
    </row>
    <row r="446" spans="1:24" x14ac:dyDescent="0.35">
      <c r="A446" s="1">
        <v>43469</v>
      </c>
      <c r="B446">
        <v>1004.531616</v>
      </c>
      <c r="C446">
        <f t="shared" si="66"/>
        <v>5.3991900420751193E-3</v>
      </c>
      <c r="D446">
        <v>1876.849976</v>
      </c>
      <c r="E446">
        <f t="shared" si="67"/>
        <v>-1.2158201845181127E-2</v>
      </c>
      <c r="F446">
        <v>1058.724976</v>
      </c>
      <c r="G446">
        <f t="shared" si="68"/>
        <v>2.6753972305999518E-3</v>
      </c>
      <c r="H446">
        <v>290.61041260000002</v>
      </c>
      <c r="I446">
        <f t="shared" si="69"/>
        <v>2.8548647869428789E-2</v>
      </c>
      <c r="J446">
        <v>661.04998780000005</v>
      </c>
      <c r="K446">
        <f t="shared" si="70"/>
        <v>-1.2104963468039798E-2</v>
      </c>
      <c r="L446">
        <v>280.9500122</v>
      </c>
      <c r="M446">
        <f t="shared" si="71"/>
        <v>7.530952318670403E-3</v>
      </c>
      <c r="N446">
        <v>433.7999878</v>
      </c>
      <c r="O446">
        <f t="shared" si="72"/>
        <v>-5.2740616093286397E-3</v>
      </c>
      <c r="P446">
        <v>145.6999969</v>
      </c>
      <c r="Q446">
        <f t="shared" si="73"/>
        <v>2.3174179363500746E-2</v>
      </c>
      <c r="R446">
        <v>170.9499969</v>
      </c>
      <c r="S446">
        <f t="shared" si="74"/>
        <v>2.9509146091668992E-2</v>
      </c>
      <c r="T446">
        <v>1577.75</v>
      </c>
      <c r="U446">
        <f t="shared" si="75"/>
        <v>1.173917108843181E-3</v>
      </c>
      <c r="W446">
        <f t="shared" si="76"/>
        <v>6.8474203102237624E-3</v>
      </c>
      <c r="X446">
        <v>-4.850567611927893E-3</v>
      </c>
    </row>
    <row r="447" spans="1:24" x14ac:dyDescent="0.35">
      <c r="A447" s="1">
        <v>43472</v>
      </c>
      <c r="B447">
        <v>1010.10907</v>
      </c>
      <c r="C447">
        <f t="shared" si="66"/>
        <v>5.552293139571951E-3</v>
      </c>
      <c r="D447">
        <v>1897.900024</v>
      </c>
      <c r="E447">
        <f t="shared" si="67"/>
        <v>1.1215626325585371E-2</v>
      </c>
      <c r="F447">
        <v>1060.3249510000001</v>
      </c>
      <c r="G447">
        <f t="shared" si="68"/>
        <v>1.5112281624307666E-3</v>
      </c>
      <c r="H447">
        <v>292.86355589999999</v>
      </c>
      <c r="I447">
        <f t="shared" si="69"/>
        <v>7.7531402947397243E-3</v>
      </c>
      <c r="J447">
        <v>671.70001219999995</v>
      </c>
      <c r="K447">
        <f t="shared" si="70"/>
        <v>1.6110770133199059E-2</v>
      </c>
      <c r="L447">
        <v>281.64999390000003</v>
      </c>
      <c r="M447">
        <f t="shared" si="71"/>
        <v>2.4914812941945197E-3</v>
      </c>
      <c r="N447">
        <v>430.7999878</v>
      </c>
      <c r="O447">
        <f t="shared" si="72"/>
        <v>-6.9156295167603909E-3</v>
      </c>
      <c r="P447">
        <v>147.8500061</v>
      </c>
      <c r="Q447">
        <f t="shared" si="73"/>
        <v>1.4756412119045104E-2</v>
      </c>
      <c r="R447">
        <v>175.3500061</v>
      </c>
      <c r="S447">
        <f t="shared" si="74"/>
        <v>2.5738574318745711E-2</v>
      </c>
      <c r="T447">
        <v>1571.150024</v>
      </c>
      <c r="U447">
        <f t="shared" si="75"/>
        <v>-4.1831570274124541E-3</v>
      </c>
      <c r="W447">
        <f t="shared" si="76"/>
        <v>7.4030739243339362E-3</v>
      </c>
      <c r="X447">
        <v>-4.8450595743739664E-3</v>
      </c>
    </row>
    <row r="448" spans="1:24" x14ac:dyDescent="0.35">
      <c r="A448" s="1">
        <v>43473</v>
      </c>
      <c r="B448">
        <v>1010.017639</v>
      </c>
      <c r="C448">
        <f t="shared" si="66"/>
        <v>-9.0515967745896653E-5</v>
      </c>
      <c r="D448">
        <v>1893.5500489999999</v>
      </c>
      <c r="E448">
        <f t="shared" si="67"/>
        <v>-2.2919937536183266E-3</v>
      </c>
      <c r="F448">
        <v>1051.5</v>
      </c>
      <c r="G448">
        <f t="shared" si="68"/>
        <v>-8.3228740318495031E-3</v>
      </c>
      <c r="H448">
        <v>296.7389526</v>
      </c>
      <c r="I448">
        <f t="shared" si="69"/>
        <v>1.3232772128612957E-2</v>
      </c>
      <c r="J448">
        <v>670.04998780000005</v>
      </c>
      <c r="K448">
        <f t="shared" si="70"/>
        <v>-2.456490055129823E-3</v>
      </c>
      <c r="L448">
        <v>284.25</v>
      </c>
      <c r="M448">
        <f t="shared" si="71"/>
        <v>9.2313373204726545E-3</v>
      </c>
      <c r="N448">
        <v>448.0499878</v>
      </c>
      <c r="O448">
        <f t="shared" si="72"/>
        <v>4.0041783863764557E-2</v>
      </c>
      <c r="P448">
        <v>147.4499969</v>
      </c>
      <c r="Q448">
        <f t="shared" si="73"/>
        <v>-2.7055068210781741E-3</v>
      </c>
      <c r="R448">
        <v>179.9499969</v>
      </c>
      <c r="S448">
        <f t="shared" si="74"/>
        <v>2.6233194411049432E-2</v>
      </c>
      <c r="T448">
        <v>1572.400024</v>
      </c>
      <c r="U448">
        <f t="shared" si="75"/>
        <v>7.955955707001916E-4</v>
      </c>
      <c r="W448">
        <f t="shared" si="76"/>
        <v>7.3667302665178071E-3</v>
      </c>
      <c r="X448">
        <v>-4.8339687068329152E-3</v>
      </c>
    </row>
    <row r="449" spans="1:24" x14ac:dyDescent="0.35">
      <c r="A449" s="1">
        <v>43474</v>
      </c>
      <c r="B449">
        <v>1015.595093</v>
      </c>
      <c r="C449">
        <f t="shared" si="66"/>
        <v>5.5221352426302328E-3</v>
      </c>
      <c r="D449">
        <v>1886.9499510000001</v>
      </c>
      <c r="E449">
        <f t="shared" si="67"/>
        <v>-3.4855682866610227E-3</v>
      </c>
      <c r="F449">
        <v>1058.400024</v>
      </c>
      <c r="G449">
        <f t="shared" si="68"/>
        <v>6.5620770328103095E-3</v>
      </c>
      <c r="H449">
        <v>301.4705505</v>
      </c>
      <c r="I449">
        <f t="shared" si="69"/>
        <v>1.5945321160373949E-2</v>
      </c>
      <c r="J449">
        <v>676.09997559999999</v>
      </c>
      <c r="K449">
        <f t="shared" si="70"/>
        <v>9.0291588838977699E-3</v>
      </c>
      <c r="L449">
        <v>290.39999390000003</v>
      </c>
      <c r="M449">
        <f t="shared" si="71"/>
        <v>2.1635862445030796E-2</v>
      </c>
      <c r="N449">
        <v>448.75</v>
      </c>
      <c r="O449">
        <f t="shared" si="72"/>
        <v>1.56235290494533E-3</v>
      </c>
      <c r="P449">
        <v>145.3000031</v>
      </c>
      <c r="Q449">
        <f t="shared" si="73"/>
        <v>-1.4581172229241379E-2</v>
      </c>
      <c r="R449">
        <v>183.0500031</v>
      </c>
      <c r="S449">
        <f t="shared" si="74"/>
        <v>1.7227042252869307E-2</v>
      </c>
      <c r="T449">
        <v>1595.75</v>
      </c>
      <c r="U449">
        <f t="shared" si="75"/>
        <v>1.4849895474181141E-2</v>
      </c>
      <c r="W449">
        <f t="shared" si="76"/>
        <v>7.4267104880836442E-3</v>
      </c>
      <c r="X449">
        <v>-4.8079101118559849E-3</v>
      </c>
    </row>
    <row r="450" spans="1:24" x14ac:dyDescent="0.35">
      <c r="A450" s="1">
        <v>43475</v>
      </c>
      <c r="B450">
        <v>1012.623474</v>
      </c>
      <c r="C450">
        <f t="shared" si="66"/>
        <v>-2.9259879458674032E-3</v>
      </c>
      <c r="D450">
        <v>1888.5500489999999</v>
      </c>
      <c r="E450">
        <f t="shared" si="67"/>
        <v>8.479811555954786E-4</v>
      </c>
      <c r="F450">
        <v>1054.25</v>
      </c>
      <c r="G450">
        <f t="shared" si="68"/>
        <v>-3.9210354364088706E-3</v>
      </c>
      <c r="H450">
        <v>303.99407960000002</v>
      </c>
      <c r="I450">
        <f t="shared" si="69"/>
        <v>8.3707317209413823E-3</v>
      </c>
      <c r="J450">
        <v>679.70001219999995</v>
      </c>
      <c r="K450">
        <f t="shared" si="70"/>
        <v>5.3247104421281222E-3</v>
      </c>
      <c r="L450">
        <v>289.60000609999997</v>
      </c>
      <c r="M450">
        <f t="shared" si="71"/>
        <v>-2.7547789834855285E-3</v>
      </c>
      <c r="N450">
        <v>444.60000609999997</v>
      </c>
      <c r="O450">
        <f t="shared" si="72"/>
        <v>-9.2478972701950379E-3</v>
      </c>
      <c r="P450">
        <v>143.25</v>
      </c>
      <c r="Q450">
        <f t="shared" si="73"/>
        <v>-1.410876157097618E-2</v>
      </c>
      <c r="R450">
        <v>185.75</v>
      </c>
      <c r="S450">
        <f t="shared" si="74"/>
        <v>1.4750051102293549E-2</v>
      </c>
      <c r="T450">
        <v>1587.8000489999999</v>
      </c>
      <c r="U450">
        <f t="shared" si="75"/>
        <v>-4.9819526868244424E-3</v>
      </c>
      <c r="W450">
        <f t="shared" si="76"/>
        <v>-8.6469394727989313E-4</v>
      </c>
      <c r="X450">
        <v>-4.7849719556856797E-3</v>
      </c>
    </row>
    <row r="451" spans="1:24" x14ac:dyDescent="0.35">
      <c r="A451" s="1">
        <v>43476</v>
      </c>
      <c r="B451">
        <v>1003.983032</v>
      </c>
      <c r="C451">
        <f t="shared" si="66"/>
        <v>-8.532729313363685E-3</v>
      </c>
      <c r="D451">
        <v>1842.5500489999999</v>
      </c>
      <c r="E451">
        <f t="shared" si="67"/>
        <v>-2.4357310532679421E-2</v>
      </c>
      <c r="F451">
        <v>1055.9499510000001</v>
      </c>
      <c r="G451">
        <f t="shared" si="68"/>
        <v>1.6124742708087947E-3</v>
      </c>
      <c r="H451">
        <v>302.01132200000001</v>
      </c>
      <c r="I451">
        <f t="shared" si="69"/>
        <v>-6.5223559702509704E-3</v>
      </c>
      <c r="J451">
        <v>683.5</v>
      </c>
      <c r="K451">
        <f t="shared" si="70"/>
        <v>5.5906837307542201E-3</v>
      </c>
      <c r="L451">
        <v>295.35000609999997</v>
      </c>
      <c r="M451">
        <f t="shared" si="71"/>
        <v>1.9854971957474765E-2</v>
      </c>
      <c r="N451">
        <v>444.39999390000003</v>
      </c>
      <c r="O451">
        <f t="shared" si="72"/>
        <v>-4.4986998932916578E-4</v>
      </c>
      <c r="P451">
        <v>144.6499939</v>
      </c>
      <c r="Q451">
        <f t="shared" si="73"/>
        <v>9.7730813263525729E-3</v>
      </c>
      <c r="R451">
        <v>180.3000031</v>
      </c>
      <c r="S451">
        <f t="shared" si="74"/>
        <v>-2.9340494751009416E-2</v>
      </c>
      <c r="T451">
        <v>1571.650024</v>
      </c>
      <c r="U451">
        <f t="shared" si="75"/>
        <v>-1.0171321641015973E-2</v>
      </c>
      <c r="W451">
        <f t="shared" si="76"/>
        <v>-4.2542870912258279E-3</v>
      </c>
      <c r="X451">
        <v>-4.7703178014665507E-3</v>
      </c>
    </row>
    <row r="452" spans="1:24" x14ac:dyDescent="0.35">
      <c r="A452" s="1">
        <v>43479</v>
      </c>
      <c r="B452">
        <v>1002.840149</v>
      </c>
      <c r="C452">
        <f t="shared" ref="C452:C515" si="77">B452/B451 - 1</f>
        <v>-1.1383489198251162E-3</v>
      </c>
      <c r="D452">
        <v>1813.25</v>
      </c>
      <c r="E452">
        <f t="shared" ref="E452:E515" si="78">D452/D451 - 1</f>
        <v>-1.5901901289412379E-2</v>
      </c>
      <c r="F452">
        <v>1050.8249510000001</v>
      </c>
      <c r="G452">
        <f t="shared" ref="G452:G515" si="79">F452/F451 - 1</f>
        <v>-4.8534497256679243E-3</v>
      </c>
      <c r="H452">
        <v>298.85690310000001</v>
      </c>
      <c r="I452">
        <f t="shared" ref="I452:I515" si="80">H452/H451 - 1</f>
        <v>-1.0444704122714921E-2</v>
      </c>
      <c r="J452">
        <v>701.90002440000001</v>
      </c>
      <c r="K452">
        <f t="shared" ref="K452:K515" si="81">J452/J451 -1</f>
        <v>2.6920299049012497E-2</v>
      </c>
      <c r="L452">
        <v>294.2999878</v>
      </c>
      <c r="M452">
        <f t="shared" ref="M452:M515" si="82">L452/L451 -1</f>
        <v>-3.5551660007226982E-3</v>
      </c>
      <c r="N452">
        <v>450.85000609999997</v>
      </c>
      <c r="O452">
        <f t="shared" ref="O452:O515" si="83">N452/N451-1</f>
        <v>1.4513979047108938E-2</v>
      </c>
      <c r="P452">
        <v>143.4499969</v>
      </c>
      <c r="Q452">
        <f t="shared" ref="Q452:Q515" si="84">P452/P451 -1</f>
        <v>-8.2958662330091526E-3</v>
      </c>
      <c r="R452">
        <v>182.3999939</v>
      </c>
      <c r="S452">
        <f t="shared" ref="S452:S515" si="85">R452/R451 - 1</f>
        <v>1.1647203349382629E-2</v>
      </c>
      <c r="T452">
        <v>1397.400024</v>
      </c>
      <c r="U452">
        <f t="shared" ref="U452:U515" si="86">T452/T451 - 1</f>
        <v>-0.11087073924798918</v>
      </c>
      <c r="W452">
        <f t="shared" ref="W452:W515" si="87">0.1*C452+0.1*E452+0.1*G452+0.1*I452+0.1*K452+0.1*M452+0.1*O452+0.1*Q452+0.1*S452+0.1*U452</f>
        <v>-1.0197869409383732E-2</v>
      </c>
      <c r="X452">
        <v>-4.7517796414084492E-3</v>
      </c>
    </row>
    <row r="453" spans="1:24" x14ac:dyDescent="0.35">
      <c r="A453" s="1">
        <v>43480</v>
      </c>
      <c r="B453">
        <v>1032.8759769999999</v>
      </c>
      <c r="C453">
        <f t="shared" si="77"/>
        <v>2.9950763369367195E-2</v>
      </c>
      <c r="D453">
        <v>1867.8000489999999</v>
      </c>
      <c r="E453">
        <f t="shared" si="78"/>
        <v>3.0084130153040123E-2</v>
      </c>
      <c r="F453">
        <v>1060.9499510000001</v>
      </c>
      <c r="G453">
        <f t="shared" si="79"/>
        <v>9.6352870098532772E-3</v>
      </c>
      <c r="H453">
        <v>304.3996277</v>
      </c>
      <c r="I453">
        <f t="shared" si="80"/>
        <v>1.8546416504039431E-2</v>
      </c>
      <c r="J453">
        <v>726.59997559999999</v>
      </c>
      <c r="K453">
        <f t="shared" si="81"/>
        <v>3.5190127285027684E-2</v>
      </c>
      <c r="L453">
        <v>296.5499878</v>
      </c>
      <c r="M453">
        <f t="shared" si="82"/>
        <v>7.6452602557668392E-3</v>
      </c>
      <c r="N453">
        <v>452.4500122</v>
      </c>
      <c r="O453">
        <f t="shared" si="83"/>
        <v>3.5488656501097005E-3</v>
      </c>
      <c r="P453">
        <v>145.1499939</v>
      </c>
      <c r="Q453">
        <f t="shared" si="84"/>
        <v>1.1850798443621358E-2</v>
      </c>
      <c r="R453">
        <v>185.3500061</v>
      </c>
      <c r="S453">
        <f t="shared" si="85"/>
        <v>1.6173313040883874E-2</v>
      </c>
      <c r="T453">
        <v>1390</v>
      </c>
      <c r="U453">
        <f t="shared" si="86"/>
        <v>-5.2955659602880178E-3</v>
      </c>
      <c r="W453">
        <f t="shared" si="87"/>
        <v>1.5732939575142147E-2</v>
      </c>
      <c r="X453">
        <v>-4.7308849504258954E-3</v>
      </c>
    </row>
    <row r="454" spans="1:24" x14ac:dyDescent="0.35">
      <c r="A454" s="1">
        <v>43481</v>
      </c>
      <c r="B454">
        <v>1038.5905760000001</v>
      </c>
      <c r="C454">
        <f t="shared" si="77"/>
        <v>5.5327058884633296E-3</v>
      </c>
      <c r="D454">
        <v>1870.150024</v>
      </c>
      <c r="E454">
        <f t="shared" si="78"/>
        <v>1.2581512679894491E-3</v>
      </c>
      <c r="F454">
        <v>1060.099976</v>
      </c>
      <c r="G454">
        <f t="shared" si="79"/>
        <v>-8.0114523705754337E-4</v>
      </c>
      <c r="H454">
        <v>300.97485349999999</v>
      </c>
      <c r="I454">
        <f t="shared" si="80"/>
        <v>-1.1250914548999624E-2</v>
      </c>
      <c r="J454">
        <v>736.79998780000005</v>
      </c>
      <c r="K454">
        <f t="shared" si="81"/>
        <v>1.4038002398193417E-2</v>
      </c>
      <c r="L454">
        <v>294.0499878</v>
      </c>
      <c r="M454">
        <f t="shared" si="82"/>
        <v>-8.4302819182243693E-3</v>
      </c>
      <c r="N454">
        <v>453.7999878</v>
      </c>
      <c r="O454">
        <f t="shared" si="83"/>
        <v>2.9837011019977489E-3</v>
      </c>
      <c r="P454">
        <v>146.3500061</v>
      </c>
      <c r="Q454">
        <f t="shared" si="84"/>
        <v>8.2673940780648714E-3</v>
      </c>
      <c r="R454">
        <v>185.4499969</v>
      </c>
      <c r="S454">
        <f t="shared" si="85"/>
        <v>5.3947017377509177E-4</v>
      </c>
      <c r="T454">
        <v>1393.25</v>
      </c>
      <c r="U454">
        <f t="shared" si="86"/>
        <v>2.3381294964028854E-3</v>
      </c>
      <c r="W454">
        <f t="shared" si="87"/>
        <v>1.4475212700605256E-3</v>
      </c>
      <c r="X454">
        <v>-4.7187598016026899E-3</v>
      </c>
    </row>
    <row r="455" spans="1:24" x14ac:dyDescent="0.35">
      <c r="A455" s="1">
        <v>43482</v>
      </c>
      <c r="B455">
        <v>1037.2647710000001</v>
      </c>
      <c r="C455">
        <f t="shared" si="77"/>
        <v>-1.276542490021515E-3</v>
      </c>
      <c r="D455">
        <v>1894.3000489999999</v>
      </c>
      <c r="E455">
        <f t="shared" si="78"/>
        <v>1.2913415870426492E-2</v>
      </c>
      <c r="F455">
        <v>1066.150024</v>
      </c>
      <c r="G455">
        <f t="shared" si="79"/>
        <v>5.707054180708715E-3</v>
      </c>
      <c r="H455">
        <v>299.26248170000002</v>
      </c>
      <c r="I455">
        <f t="shared" si="80"/>
        <v>-5.6894181692822565E-3</v>
      </c>
      <c r="J455">
        <v>733.34997559999999</v>
      </c>
      <c r="K455">
        <f t="shared" si="81"/>
        <v>-4.682427059073957E-3</v>
      </c>
      <c r="L455">
        <v>293.9500122</v>
      </c>
      <c r="M455">
        <f t="shared" si="82"/>
        <v>-3.3999525301120492E-4</v>
      </c>
      <c r="N455">
        <v>426.5499878</v>
      </c>
      <c r="O455">
        <f t="shared" si="83"/>
        <v>-6.0048481120739239E-2</v>
      </c>
      <c r="P455">
        <v>145</v>
      </c>
      <c r="Q455">
        <f t="shared" si="84"/>
        <v>-9.2245032028051011E-3</v>
      </c>
      <c r="R455">
        <v>184.8999939</v>
      </c>
      <c r="S455">
        <f t="shared" si="85"/>
        <v>-2.9657751911238428E-3</v>
      </c>
      <c r="T455">
        <v>1368</v>
      </c>
      <c r="U455">
        <f t="shared" si="86"/>
        <v>-1.8123093486452579E-2</v>
      </c>
      <c r="W455">
        <f t="shared" si="87"/>
        <v>-8.3729765921374492E-3</v>
      </c>
      <c r="X455">
        <v>-4.7030101341868358E-3</v>
      </c>
    </row>
    <row r="456" spans="1:24" x14ac:dyDescent="0.35">
      <c r="A456" s="1">
        <v>43483</v>
      </c>
      <c r="B456">
        <v>1082.889893</v>
      </c>
      <c r="C456">
        <f t="shared" si="77"/>
        <v>4.3985994006153328E-2</v>
      </c>
      <c r="D456">
        <v>1900.650024</v>
      </c>
      <c r="E456">
        <f t="shared" si="78"/>
        <v>3.3521484642056176E-3</v>
      </c>
      <c r="F456">
        <v>1065.125</v>
      </c>
      <c r="G456">
        <f t="shared" si="79"/>
        <v>-9.6142566892631898E-4</v>
      </c>
      <c r="H456">
        <v>280.42620849999997</v>
      </c>
      <c r="I456">
        <f t="shared" si="80"/>
        <v>-6.2942314362288587E-2</v>
      </c>
      <c r="J456">
        <v>730.95001219999995</v>
      </c>
      <c r="K456">
        <f t="shared" si="81"/>
        <v>-3.2726030951817364E-3</v>
      </c>
      <c r="L456">
        <v>291.4500122</v>
      </c>
      <c r="M456">
        <f t="shared" si="82"/>
        <v>-8.5048474102428218E-3</v>
      </c>
      <c r="N456">
        <v>390.75</v>
      </c>
      <c r="O456">
        <f t="shared" si="83"/>
        <v>-8.3929173189393746E-2</v>
      </c>
      <c r="P456">
        <v>146.75</v>
      </c>
      <c r="Q456">
        <f t="shared" si="84"/>
        <v>1.2068965517241459E-2</v>
      </c>
      <c r="R456">
        <v>183.3000031</v>
      </c>
      <c r="S456">
        <f t="shared" si="85"/>
        <v>-8.6532766510816206E-3</v>
      </c>
      <c r="T456">
        <v>1383.0500489999999</v>
      </c>
      <c r="U456">
        <f t="shared" si="86"/>
        <v>1.1001497807017424E-2</v>
      </c>
      <c r="W456">
        <f t="shared" si="87"/>
        <v>-9.7855034582496996E-3</v>
      </c>
      <c r="X456">
        <v>-4.691396863646757E-3</v>
      </c>
    </row>
    <row r="457" spans="1:24" x14ac:dyDescent="0.35">
      <c r="A457" s="1">
        <v>43486</v>
      </c>
      <c r="B457">
        <v>1131.6695560000001</v>
      </c>
      <c r="C457">
        <f t="shared" si="77"/>
        <v>4.5045819815404009E-2</v>
      </c>
      <c r="D457">
        <v>1908.6999510000001</v>
      </c>
      <c r="E457">
        <f t="shared" si="78"/>
        <v>4.2353546935793851E-3</v>
      </c>
      <c r="F457">
        <v>1074.0749510000001</v>
      </c>
      <c r="G457">
        <f t="shared" si="79"/>
        <v>8.4027236239878622E-3</v>
      </c>
      <c r="H457">
        <v>280.60644530000002</v>
      </c>
      <c r="I457">
        <f t="shared" si="80"/>
        <v>6.4272451909586081E-4</v>
      </c>
      <c r="J457">
        <v>745</v>
      </c>
      <c r="K457">
        <f t="shared" si="81"/>
        <v>1.922154397085607E-2</v>
      </c>
      <c r="L457">
        <v>289.89999390000003</v>
      </c>
      <c r="M457">
        <f t="shared" si="82"/>
        <v>-5.3182989710643946E-3</v>
      </c>
      <c r="N457">
        <v>398.2999878</v>
      </c>
      <c r="O457">
        <f t="shared" si="83"/>
        <v>1.9321785796545088E-2</v>
      </c>
      <c r="P457">
        <v>144.6999969</v>
      </c>
      <c r="Q457">
        <f t="shared" si="84"/>
        <v>-1.3969356729131133E-2</v>
      </c>
      <c r="R457">
        <v>181.5</v>
      </c>
      <c r="S457">
        <f t="shared" si="85"/>
        <v>-9.8199840128644356E-3</v>
      </c>
      <c r="T457">
        <v>1351.3000489999999</v>
      </c>
      <c r="U457">
        <f t="shared" si="86"/>
        <v>-2.2956508351202887E-2</v>
      </c>
      <c r="W457">
        <f t="shared" si="87"/>
        <v>4.4805804355205429E-3</v>
      </c>
      <c r="X457">
        <v>-4.6869903527612111E-3</v>
      </c>
    </row>
    <row r="458" spans="1:24" x14ac:dyDescent="0.35">
      <c r="A458" s="1">
        <v>43487</v>
      </c>
      <c r="B458">
        <v>1129.338013</v>
      </c>
      <c r="C458">
        <f t="shared" si="77"/>
        <v>-2.0602683774945119E-3</v>
      </c>
      <c r="D458">
        <v>1901.900024</v>
      </c>
      <c r="E458">
        <f t="shared" si="78"/>
        <v>-3.5625960992127226E-3</v>
      </c>
      <c r="F458">
        <v>1067.9250489999999</v>
      </c>
      <c r="G458">
        <f t="shared" si="79"/>
        <v>-5.7257661527944093E-3</v>
      </c>
      <c r="H458">
        <v>274.74829099999999</v>
      </c>
      <c r="I458">
        <f t="shared" si="80"/>
        <v>-2.0876763161077783E-2</v>
      </c>
      <c r="J458">
        <v>745.34997559999999</v>
      </c>
      <c r="K458">
        <f t="shared" si="81"/>
        <v>4.6976590604019819E-4</v>
      </c>
      <c r="L458">
        <v>289.75</v>
      </c>
      <c r="M458">
        <f t="shared" si="82"/>
        <v>-5.1739876907952453E-4</v>
      </c>
      <c r="N458">
        <v>418.9500122</v>
      </c>
      <c r="O458">
        <f t="shared" si="83"/>
        <v>5.1845405554893143E-2</v>
      </c>
      <c r="P458">
        <v>144.3500061</v>
      </c>
      <c r="Q458">
        <f t="shared" si="84"/>
        <v>-2.4187339840917588E-3</v>
      </c>
      <c r="R458">
        <v>180.8500061</v>
      </c>
      <c r="S458">
        <f t="shared" si="85"/>
        <v>-3.5812336088154595E-3</v>
      </c>
      <c r="T458">
        <v>1357.900024</v>
      </c>
      <c r="U458">
        <f t="shared" si="86"/>
        <v>4.8841669212431604E-3</v>
      </c>
      <c r="W458">
        <f t="shared" si="87"/>
        <v>1.8456578229610336E-3</v>
      </c>
      <c r="X458">
        <v>-4.6832438892160273E-3</v>
      </c>
    </row>
    <row r="459" spans="1:24" x14ac:dyDescent="0.35">
      <c r="A459" s="1">
        <v>43488</v>
      </c>
      <c r="B459">
        <v>1121.246216</v>
      </c>
      <c r="C459">
        <f t="shared" si="77"/>
        <v>-7.1650798138856997E-3</v>
      </c>
      <c r="D459">
        <v>1875.599976</v>
      </c>
      <c r="E459">
        <f t="shared" si="78"/>
        <v>-1.3828302049592955E-2</v>
      </c>
      <c r="F459">
        <v>1052.6999510000001</v>
      </c>
      <c r="G459">
        <f t="shared" si="79"/>
        <v>-1.4256710257200766E-2</v>
      </c>
      <c r="H459">
        <v>273.71182249999998</v>
      </c>
      <c r="I459">
        <f t="shared" si="80"/>
        <v>-3.7724292887413302E-3</v>
      </c>
      <c r="J459">
        <v>731.65002440000001</v>
      </c>
      <c r="K459">
        <f t="shared" si="81"/>
        <v>-1.8380561680399365E-2</v>
      </c>
      <c r="L459">
        <v>277.2999878</v>
      </c>
      <c r="M459">
        <f t="shared" si="82"/>
        <v>-4.2968118032786884E-2</v>
      </c>
      <c r="N459">
        <v>431</v>
      </c>
      <c r="O459">
        <f t="shared" si="83"/>
        <v>2.8762352187848839E-2</v>
      </c>
      <c r="P459">
        <v>143.3000031</v>
      </c>
      <c r="Q459">
        <f t="shared" si="84"/>
        <v>-7.2740073129793359E-3</v>
      </c>
      <c r="R459">
        <v>180.25</v>
      </c>
      <c r="S459">
        <f t="shared" si="85"/>
        <v>-3.3177001922146676E-3</v>
      </c>
      <c r="T459">
        <v>1397.3000489999999</v>
      </c>
      <c r="U459">
        <f t="shared" si="86"/>
        <v>2.9015409311164309E-2</v>
      </c>
      <c r="W459">
        <f t="shared" si="87"/>
        <v>-5.3185147128787854E-3</v>
      </c>
      <c r="X459">
        <v>-4.6831082128777398E-3</v>
      </c>
    </row>
    <row r="460" spans="1:24" x14ac:dyDescent="0.35">
      <c r="A460" s="1">
        <v>43489</v>
      </c>
      <c r="B460">
        <v>1140.584351</v>
      </c>
      <c r="C460">
        <f t="shared" si="77"/>
        <v>1.7247001349077529E-2</v>
      </c>
      <c r="D460">
        <v>1901.5500489999999</v>
      </c>
      <c r="E460">
        <f t="shared" si="78"/>
        <v>1.3835611714680507E-2</v>
      </c>
      <c r="F460">
        <v>1051.125</v>
      </c>
      <c r="G460">
        <f t="shared" si="79"/>
        <v>-1.4961062727361085E-3</v>
      </c>
      <c r="H460">
        <v>271.86425780000002</v>
      </c>
      <c r="I460">
        <f t="shared" si="80"/>
        <v>-6.7500361625774108E-3</v>
      </c>
      <c r="J460">
        <v>732</v>
      </c>
      <c r="K460">
        <f t="shared" si="81"/>
        <v>4.7833744048197957E-4</v>
      </c>
      <c r="L460">
        <v>278.89999390000003</v>
      </c>
      <c r="M460">
        <f t="shared" si="82"/>
        <v>5.7699465214329226E-3</v>
      </c>
      <c r="N460">
        <v>423</v>
      </c>
      <c r="O460">
        <f t="shared" si="83"/>
        <v>-1.8561484918793503E-2</v>
      </c>
      <c r="P460">
        <v>141.6999969</v>
      </c>
      <c r="Q460">
        <f t="shared" si="84"/>
        <v>-1.1165430323706649E-2</v>
      </c>
      <c r="R460">
        <v>175.3999939</v>
      </c>
      <c r="S460">
        <f t="shared" si="85"/>
        <v>-2.6907107350901516E-2</v>
      </c>
      <c r="T460">
        <v>1391.5500489999999</v>
      </c>
      <c r="U460">
        <f t="shared" si="86"/>
        <v>-4.1150789367788709E-3</v>
      </c>
      <c r="W460">
        <f t="shared" si="87"/>
        <v>-3.1664346939821119E-3</v>
      </c>
      <c r="X460">
        <v>-4.6447245725925075E-3</v>
      </c>
    </row>
    <row r="461" spans="1:24" x14ac:dyDescent="0.35">
      <c r="A461" s="1">
        <v>43490</v>
      </c>
      <c r="B461">
        <v>1139.2585449999999</v>
      </c>
      <c r="C461">
        <f t="shared" si="77"/>
        <v>-1.1623918904706265E-3</v>
      </c>
      <c r="D461">
        <v>1920.8000489999999</v>
      </c>
      <c r="E461">
        <f t="shared" si="78"/>
        <v>1.0123320188244911E-2</v>
      </c>
      <c r="F461">
        <v>1048</v>
      </c>
      <c r="G461">
        <f t="shared" si="79"/>
        <v>-2.973005113568794E-3</v>
      </c>
      <c r="H461">
        <v>277.13659669999998</v>
      </c>
      <c r="I461">
        <f t="shared" si="80"/>
        <v>1.9393277154801991E-2</v>
      </c>
      <c r="J461">
        <v>730.34997559999999</v>
      </c>
      <c r="K461">
        <f t="shared" si="81"/>
        <v>-2.2541316939890255E-3</v>
      </c>
      <c r="L461">
        <v>279.2000122</v>
      </c>
      <c r="M461">
        <f t="shared" si="82"/>
        <v>1.0757199948434604E-3</v>
      </c>
      <c r="N461">
        <v>422.39999390000003</v>
      </c>
      <c r="O461">
        <f t="shared" si="83"/>
        <v>-1.4184541371157211E-3</v>
      </c>
      <c r="P461">
        <v>142</v>
      </c>
      <c r="Q461">
        <f t="shared" si="84"/>
        <v>2.1171708296627845E-3</v>
      </c>
      <c r="R461">
        <v>173.25</v>
      </c>
      <c r="S461">
        <f t="shared" si="85"/>
        <v>-1.2257662341914166E-2</v>
      </c>
      <c r="T461">
        <v>1365.6999510000001</v>
      </c>
      <c r="U461">
        <f t="shared" si="86"/>
        <v>-1.8576477373973277E-2</v>
      </c>
      <c r="W461">
        <f t="shared" si="87"/>
        <v>-5.9326343834784686E-4</v>
      </c>
      <c r="X461">
        <v>-4.6253653930068859E-3</v>
      </c>
    </row>
    <row r="462" spans="1:24" x14ac:dyDescent="0.35">
      <c r="A462" s="1">
        <v>43493</v>
      </c>
      <c r="B462">
        <v>1124.2177730000001</v>
      </c>
      <c r="C462">
        <f t="shared" si="77"/>
        <v>-1.3202246378586358E-2</v>
      </c>
      <c r="D462">
        <v>1955</v>
      </c>
      <c r="E462">
        <f t="shared" si="78"/>
        <v>1.780505525174525E-2</v>
      </c>
      <c r="F462">
        <v>1042.0749510000001</v>
      </c>
      <c r="G462">
        <f t="shared" si="79"/>
        <v>-5.6536727099235629E-3</v>
      </c>
      <c r="H462">
        <v>275.01864619999998</v>
      </c>
      <c r="I462">
        <f t="shared" si="80"/>
        <v>-7.6422620657807805E-3</v>
      </c>
      <c r="J462">
        <v>727.95001219999995</v>
      </c>
      <c r="K462">
        <f t="shared" si="81"/>
        <v>-3.2860457043603075E-3</v>
      </c>
      <c r="L462">
        <v>274.75</v>
      </c>
      <c r="M462">
        <f t="shared" si="82"/>
        <v>-1.5938438415297518E-2</v>
      </c>
      <c r="N462">
        <v>411.75</v>
      </c>
      <c r="O462">
        <f t="shared" si="83"/>
        <v>-2.5213054104639365E-2</v>
      </c>
      <c r="P462">
        <v>141.6499939</v>
      </c>
      <c r="Q462">
        <f t="shared" si="84"/>
        <v>-2.4648316901408895E-3</v>
      </c>
      <c r="R462">
        <v>172.3000031</v>
      </c>
      <c r="S462">
        <f t="shared" si="85"/>
        <v>-5.4833875901876272E-3</v>
      </c>
      <c r="T462">
        <v>1372.75</v>
      </c>
      <c r="U462">
        <f t="shared" si="86"/>
        <v>5.1622239532467251E-3</v>
      </c>
      <c r="W462">
        <f t="shared" si="87"/>
        <v>-5.5916659453924432E-3</v>
      </c>
      <c r="X462">
        <v>-4.62443367400468E-3</v>
      </c>
    </row>
    <row r="463" spans="1:24" x14ac:dyDescent="0.35">
      <c r="A463" s="1">
        <v>43494</v>
      </c>
      <c r="B463">
        <v>1106.9368899999999</v>
      </c>
      <c r="C463">
        <f t="shared" si="77"/>
        <v>-1.5371472872098169E-2</v>
      </c>
      <c r="D463">
        <v>1982.75</v>
      </c>
      <c r="E463">
        <f t="shared" si="78"/>
        <v>1.4194373401534621E-2</v>
      </c>
      <c r="F463">
        <v>1028.8000489999999</v>
      </c>
      <c r="G463">
        <f t="shared" si="79"/>
        <v>-1.2738912865395302E-2</v>
      </c>
      <c r="H463">
        <v>277.4520569</v>
      </c>
      <c r="I463">
        <f t="shared" si="80"/>
        <v>8.8481662375372583E-3</v>
      </c>
      <c r="J463">
        <v>727.90002440000001</v>
      </c>
      <c r="K463">
        <f t="shared" si="81"/>
        <v>-6.8669275585131473E-5</v>
      </c>
      <c r="L463">
        <v>278.4500122</v>
      </c>
      <c r="M463">
        <f t="shared" si="82"/>
        <v>1.346683239308466E-2</v>
      </c>
      <c r="N463">
        <v>422.39999390000003</v>
      </c>
      <c r="O463">
        <f t="shared" si="83"/>
        <v>2.586519465695214E-2</v>
      </c>
      <c r="P463">
        <v>141.0500031</v>
      </c>
      <c r="Q463">
        <f t="shared" si="84"/>
        <v>-4.2357276797595489E-3</v>
      </c>
      <c r="R463">
        <v>173.6000061</v>
      </c>
      <c r="S463">
        <f t="shared" si="85"/>
        <v>7.5449969623360147E-3</v>
      </c>
      <c r="T463">
        <v>1384.5500489999999</v>
      </c>
      <c r="U463">
        <f t="shared" si="86"/>
        <v>8.5959198688763117E-3</v>
      </c>
      <c r="W463">
        <f t="shared" si="87"/>
        <v>4.6100700827482856E-3</v>
      </c>
      <c r="X463">
        <v>-4.5370709868137859E-3</v>
      </c>
    </row>
    <row r="464" spans="1:24" x14ac:dyDescent="0.35">
      <c r="A464" s="1">
        <v>43495</v>
      </c>
      <c r="B464">
        <v>1093.267578</v>
      </c>
      <c r="C464">
        <f t="shared" si="77"/>
        <v>-1.2348772656768148E-2</v>
      </c>
      <c r="D464">
        <v>1981.400024</v>
      </c>
      <c r="E464">
        <f t="shared" si="78"/>
        <v>-6.8086042113224554E-4</v>
      </c>
      <c r="F464">
        <v>1017.349976</v>
      </c>
      <c r="G464">
        <f t="shared" si="79"/>
        <v>-1.1129541654988806E-2</v>
      </c>
      <c r="H464">
        <v>273.71182249999998</v>
      </c>
      <c r="I464">
        <f t="shared" si="80"/>
        <v>-1.3480651186334791E-2</v>
      </c>
      <c r="J464">
        <v>725.90002440000001</v>
      </c>
      <c r="K464">
        <f t="shared" si="81"/>
        <v>-2.7476300768757289E-3</v>
      </c>
      <c r="L464">
        <v>275.5</v>
      </c>
      <c r="M464">
        <f t="shared" si="82"/>
        <v>-1.0594404994606843E-2</v>
      </c>
      <c r="N464">
        <v>417.9500122</v>
      </c>
      <c r="O464">
        <f t="shared" si="83"/>
        <v>-1.0534994707063206E-2</v>
      </c>
      <c r="P464">
        <v>139.6999969</v>
      </c>
      <c r="Q464">
        <f t="shared" si="84"/>
        <v>-9.5711178328927726E-3</v>
      </c>
      <c r="R464">
        <v>174.6000061</v>
      </c>
      <c r="S464">
        <f t="shared" si="85"/>
        <v>5.7603684611851058E-3</v>
      </c>
      <c r="T464">
        <v>1374.1999510000001</v>
      </c>
      <c r="U464">
        <f t="shared" si="86"/>
        <v>-7.4754235193413843E-3</v>
      </c>
      <c r="W464">
        <f t="shared" si="87"/>
        <v>-7.2803028588818829E-3</v>
      </c>
      <c r="X464">
        <v>-4.5169391792330826E-3</v>
      </c>
    </row>
    <row r="465" spans="1:24" x14ac:dyDescent="0.35">
      <c r="A465" s="1">
        <v>43496</v>
      </c>
      <c r="B465">
        <v>1122.0234379999999</v>
      </c>
      <c r="C465">
        <f t="shared" si="77"/>
        <v>2.6302673360720563E-2</v>
      </c>
      <c r="D465">
        <v>2014.099976</v>
      </c>
      <c r="E465">
        <f t="shared" si="78"/>
        <v>1.6503457960995727E-2</v>
      </c>
      <c r="F465">
        <v>1039.974976</v>
      </c>
      <c r="G465">
        <f t="shared" si="79"/>
        <v>2.2239151259389134E-2</v>
      </c>
      <c r="H465">
        <v>276.14523320000001</v>
      </c>
      <c r="I465">
        <f t="shared" si="80"/>
        <v>8.8904113741745672E-3</v>
      </c>
      <c r="J465">
        <v>749.54998780000005</v>
      </c>
      <c r="K465">
        <f t="shared" si="81"/>
        <v>3.2580193697538729E-2</v>
      </c>
      <c r="L465">
        <v>278.64999390000003</v>
      </c>
      <c r="M465">
        <f t="shared" si="82"/>
        <v>1.1433734664247019E-2</v>
      </c>
      <c r="N465">
        <v>423.4500122</v>
      </c>
      <c r="O465">
        <f t="shared" si="83"/>
        <v>1.3159468451859002E-2</v>
      </c>
      <c r="P465">
        <v>141.25</v>
      </c>
      <c r="Q465">
        <f t="shared" si="84"/>
        <v>1.1095226445205331E-2</v>
      </c>
      <c r="R465">
        <v>181.1999969</v>
      </c>
      <c r="S465">
        <f t="shared" si="85"/>
        <v>3.7800633272715656E-2</v>
      </c>
      <c r="T465">
        <v>1374.849976</v>
      </c>
      <c r="U465">
        <f t="shared" si="86"/>
        <v>4.7302068343602066E-4</v>
      </c>
      <c r="W465">
        <f t="shared" si="87"/>
        <v>1.8047797117028176E-2</v>
      </c>
      <c r="X465">
        <v>-4.5010717816292081E-3</v>
      </c>
    </row>
    <row r="466" spans="1:24" x14ac:dyDescent="0.35">
      <c r="A466" s="1">
        <v>43497</v>
      </c>
      <c r="B466">
        <v>1142.8701169999999</v>
      </c>
      <c r="C466">
        <f t="shared" si="77"/>
        <v>1.8579539690506852E-2</v>
      </c>
      <c r="D466">
        <v>2029.9499510000001</v>
      </c>
      <c r="E466">
        <f t="shared" si="78"/>
        <v>7.8695075660932812E-3</v>
      </c>
      <c r="F466">
        <v>1045.224976</v>
      </c>
      <c r="G466">
        <f t="shared" si="79"/>
        <v>5.0481983904966388E-3</v>
      </c>
      <c r="H466">
        <v>281.05706789999999</v>
      </c>
      <c r="I466">
        <f t="shared" si="80"/>
        <v>1.7787142812791368E-2</v>
      </c>
      <c r="J466">
        <v>757.04998780000005</v>
      </c>
      <c r="K466">
        <f t="shared" si="81"/>
        <v>1.0006003765023364E-2</v>
      </c>
      <c r="L466">
        <v>280.85000609999997</v>
      </c>
      <c r="M466">
        <f t="shared" si="82"/>
        <v>7.8952529989628761E-3</v>
      </c>
      <c r="N466">
        <v>423.25</v>
      </c>
      <c r="O466">
        <f t="shared" si="83"/>
        <v>-4.723395778426509E-4</v>
      </c>
      <c r="P466">
        <v>141.8000031</v>
      </c>
      <c r="Q466">
        <f t="shared" si="84"/>
        <v>3.8938272566371168E-3</v>
      </c>
      <c r="R466">
        <v>181.6499939</v>
      </c>
      <c r="S466">
        <f t="shared" si="85"/>
        <v>2.4834271948046549E-3</v>
      </c>
      <c r="T466">
        <v>1442.9499510000001</v>
      </c>
      <c r="U466">
        <f t="shared" si="86"/>
        <v>4.9532658972821775E-2</v>
      </c>
      <c r="W466">
        <f t="shared" si="87"/>
        <v>1.2262321907029528E-2</v>
      </c>
      <c r="X466">
        <v>-4.4729539934327163E-3</v>
      </c>
    </row>
    <row r="467" spans="1:24" x14ac:dyDescent="0.35">
      <c r="A467" s="1">
        <v>43500</v>
      </c>
      <c r="B467">
        <v>1180.312134</v>
      </c>
      <c r="C467">
        <f t="shared" si="77"/>
        <v>3.2761392955381607E-2</v>
      </c>
      <c r="D467">
        <v>2050.25</v>
      </c>
      <c r="E467">
        <f t="shared" si="78"/>
        <v>1.0000270691402857E-2</v>
      </c>
      <c r="F467">
        <v>1052.4499510000001</v>
      </c>
      <c r="G467">
        <f t="shared" si="79"/>
        <v>6.9123635254579874E-3</v>
      </c>
      <c r="H467">
        <v>276.28042599999998</v>
      </c>
      <c r="I467">
        <f t="shared" si="80"/>
        <v>-1.6995274076151423E-2</v>
      </c>
      <c r="J467">
        <v>755.90002440000001</v>
      </c>
      <c r="K467">
        <f t="shared" si="81"/>
        <v>-1.5190059025584901E-3</v>
      </c>
      <c r="L467">
        <v>277.10000609999997</v>
      </c>
      <c r="M467">
        <f t="shared" si="82"/>
        <v>-1.3352323014245382E-2</v>
      </c>
      <c r="N467">
        <v>414.7999878</v>
      </c>
      <c r="O467">
        <f t="shared" si="83"/>
        <v>-1.9964588777318326E-2</v>
      </c>
      <c r="P467">
        <v>146.25</v>
      </c>
      <c r="Q467">
        <f t="shared" si="84"/>
        <v>3.1382205942984243E-2</v>
      </c>
      <c r="R467">
        <v>180.25</v>
      </c>
      <c r="S467">
        <f t="shared" si="85"/>
        <v>-7.7070957721623312E-3</v>
      </c>
      <c r="T467">
        <v>1473.900024</v>
      </c>
      <c r="U467">
        <f t="shared" si="86"/>
        <v>2.1449165980116591E-2</v>
      </c>
      <c r="W467">
        <f t="shared" si="87"/>
        <v>4.2967111552907333E-3</v>
      </c>
      <c r="X467">
        <v>-4.4692702271632804E-3</v>
      </c>
    </row>
    <row r="468" spans="1:24" x14ac:dyDescent="0.35">
      <c r="A468" s="1">
        <v>43501</v>
      </c>
      <c r="B468">
        <v>1180.9063719999999</v>
      </c>
      <c r="C468">
        <f t="shared" si="77"/>
        <v>5.0345835045018106E-4</v>
      </c>
      <c r="D468">
        <v>2044.5500489999999</v>
      </c>
      <c r="E468">
        <f t="shared" si="78"/>
        <v>-2.7801248628216424E-3</v>
      </c>
      <c r="F468">
        <v>1057.025024</v>
      </c>
      <c r="G468">
        <f t="shared" si="79"/>
        <v>4.3470694218312733E-3</v>
      </c>
      <c r="H468">
        <v>277.76748659999998</v>
      </c>
      <c r="I468">
        <f t="shared" si="80"/>
        <v>5.3824319787316721E-3</v>
      </c>
      <c r="J468">
        <v>754.84997559999999</v>
      </c>
      <c r="K468">
        <f t="shared" si="81"/>
        <v>-1.3891371426181243E-3</v>
      </c>
      <c r="L468">
        <v>274.14999390000003</v>
      </c>
      <c r="M468">
        <f t="shared" si="82"/>
        <v>-1.064601997495207E-2</v>
      </c>
      <c r="N468">
        <v>409.89999390000003</v>
      </c>
      <c r="O468">
        <f t="shared" si="83"/>
        <v>-1.1812907531623562E-2</v>
      </c>
      <c r="P468">
        <v>142.9499969</v>
      </c>
      <c r="Q468">
        <f t="shared" si="84"/>
        <v>-2.256412376068373E-2</v>
      </c>
      <c r="R468">
        <v>175.8000031</v>
      </c>
      <c r="S468">
        <f t="shared" si="85"/>
        <v>-2.4687916227461915E-2</v>
      </c>
      <c r="T468">
        <v>1471.6999510000001</v>
      </c>
      <c r="U468">
        <f t="shared" si="86"/>
        <v>-1.4926880820784749E-3</v>
      </c>
      <c r="W468">
        <f t="shared" si="87"/>
        <v>-6.5139957831226395E-3</v>
      </c>
      <c r="X468">
        <v>-4.469098910149993E-3</v>
      </c>
    </row>
    <row r="469" spans="1:24" x14ac:dyDescent="0.35">
      <c r="A469" s="1">
        <v>43502</v>
      </c>
      <c r="B469">
        <v>1198.0043949999999</v>
      </c>
      <c r="C469">
        <f t="shared" si="77"/>
        <v>1.4478728716691203E-2</v>
      </c>
      <c r="D469">
        <v>2074.8000489999999</v>
      </c>
      <c r="E469">
        <f t="shared" si="78"/>
        <v>1.4795431403009873E-2</v>
      </c>
      <c r="F469">
        <v>1061.3249510000001</v>
      </c>
      <c r="G469">
        <f t="shared" si="79"/>
        <v>4.0679519428292732E-3</v>
      </c>
      <c r="H469">
        <v>278.26318359999999</v>
      </c>
      <c r="I469">
        <f t="shared" si="80"/>
        <v>1.7845753153746813E-3</v>
      </c>
      <c r="J469">
        <v>763.29998780000005</v>
      </c>
      <c r="K469">
        <f t="shared" si="81"/>
        <v>1.1194293532676536E-2</v>
      </c>
      <c r="L469">
        <v>277.7000122</v>
      </c>
      <c r="M469">
        <f t="shared" si="82"/>
        <v>1.2949182487652644E-2</v>
      </c>
      <c r="N469">
        <v>416.60000609999997</v>
      </c>
      <c r="O469">
        <f t="shared" si="83"/>
        <v>1.6345480116387812E-2</v>
      </c>
      <c r="P469">
        <v>146.6999969</v>
      </c>
      <c r="Q469">
        <f t="shared" si="84"/>
        <v>2.6232949152305896E-2</v>
      </c>
      <c r="R469">
        <v>178.5</v>
      </c>
      <c r="S469">
        <f t="shared" si="85"/>
        <v>1.5358343870245372E-2</v>
      </c>
      <c r="T469">
        <v>1512.650024</v>
      </c>
      <c r="U469">
        <f t="shared" si="86"/>
        <v>2.78250148558985E-2</v>
      </c>
      <c r="W469">
        <f t="shared" si="87"/>
        <v>1.450319513930718E-2</v>
      </c>
      <c r="X469">
        <v>-4.4564720278494228E-3</v>
      </c>
    </row>
    <row r="470" spans="1:24" x14ac:dyDescent="0.35">
      <c r="A470" s="1">
        <v>43503</v>
      </c>
      <c r="B470">
        <v>1179.8549800000001</v>
      </c>
      <c r="C470">
        <f t="shared" si="77"/>
        <v>-1.5149706525074857E-2</v>
      </c>
      <c r="D470">
        <v>2082.8999020000001</v>
      </c>
      <c r="E470">
        <f t="shared" si="78"/>
        <v>3.9039198036958656E-3</v>
      </c>
      <c r="F470">
        <v>1058.625</v>
      </c>
      <c r="G470">
        <f t="shared" si="79"/>
        <v>-2.543943772787105E-3</v>
      </c>
      <c r="H470">
        <v>280.42620849999997</v>
      </c>
      <c r="I470">
        <f t="shared" si="80"/>
        <v>7.7733060910756269E-3</v>
      </c>
      <c r="J470">
        <v>764</v>
      </c>
      <c r="K470">
        <f t="shared" si="81"/>
        <v>9.1708661232603461E-4</v>
      </c>
      <c r="L470">
        <v>280.2999878</v>
      </c>
      <c r="M470">
        <f t="shared" si="82"/>
        <v>9.362533258109762E-3</v>
      </c>
      <c r="N470">
        <v>434.89999390000003</v>
      </c>
      <c r="O470">
        <f t="shared" si="83"/>
        <v>4.3926998396652372E-2</v>
      </c>
      <c r="P470">
        <v>147.8999939</v>
      </c>
      <c r="Q470">
        <f t="shared" si="84"/>
        <v>8.1799388231615922E-3</v>
      </c>
      <c r="R470">
        <v>182.8500061</v>
      </c>
      <c r="S470">
        <f t="shared" si="85"/>
        <v>2.4369782072829249E-2</v>
      </c>
      <c r="T470">
        <v>1496.349976</v>
      </c>
      <c r="U470">
        <f t="shared" si="86"/>
        <v>-1.0775822392080303E-2</v>
      </c>
      <c r="W470">
        <f t="shared" si="87"/>
        <v>6.9964092367908234E-3</v>
      </c>
      <c r="X470">
        <v>-4.4324511686375523E-3</v>
      </c>
    </row>
    <row r="471" spans="1:24" x14ac:dyDescent="0.35">
      <c r="A471" s="1">
        <v>43504</v>
      </c>
      <c r="B471">
        <v>1168.2429199999999</v>
      </c>
      <c r="C471">
        <f t="shared" si="77"/>
        <v>-9.8419383711040309E-3</v>
      </c>
      <c r="D471">
        <v>2061.3999020000001</v>
      </c>
      <c r="E471">
        <f t="shared" si="78"/>
        <v>-1.0322147492232148E-2</v>
      </c>
      <c r="F471">
        <v>1061.3249510000001</v>
      </c>
      <c r="G471">
        <f t="shared" si="79"/>
        <v>2.5504319282088073E-3</v>
      </c>
      <c r="H471">
        <v>282.31884769999999</v>
      </c>
      <c r="I471">
        <f t="shared" si="80"/>
        <v>6.7491523353817584E-3</v>
      </c>
      <c r="J471">
        <v>760.90002440000001</v>
      </c>
      <c r="K471">
        <f t="shared" si="81"/>
        <v>-4.0575596858638541E-3</v>
      </c>
      <c r="L471">
        <v>275.5</v>
      </c>
      <c r="M471">
        <f t="shared" si="82"/>
        <v>-1.7124466674700245E-2</v>
      </c>
      <c r="N471">
        <v>431.0499878</v>
      </c>
      <c r="O471">
        <f t="shared" si="83"/>
        <v>-8.8526239457370481E-3</v>
      </c>
      <c r="P471">
        <v>144.1499939</v>
      </c>
      <c r="Q471">
        <f t="shared" si="84"/>
        <v>-2.5354970619779094E-2</v>
      </c>
      <c r="R471">
        <v>150.6999969</v>
      </c>
      <c r="S471">
        <f t="shared" si="85"/>
        <v>-0.17582722519799798</v>
      </c>
      <c r="T471">
        <v>1477.5</v>
      </c>
      <c r="U471">
        <f t="shared" si="86"/>
        <v>-1.259730430870809E-2</v>
      </c>
      <c r="W471">
        <f t="shared" si="87"/>
        <v>-2.5467865203253195E-2</v>
      </c>
      <c r="X471">
        <v>-4.4197118296690711E-3</v>
      </c>
    </row>
    <row r="472" spans="1:24" x14ac:dyDescent="0.35">
      <c r="A472" s="1">
        <v>43507</v>
      </c>
      <c r="B472">
        <v>1145.8874510000001</v>
      </c>
      <c r="C472">
        <f t="shared" si="77"/>
        <v>-1.9135976445720626E-2</v>
      </c>
      <c r="D472">
        <v>2065.8999020000001</v>
      </c>
      <c r="E472">
        <f t="shared" si="78"/>
        <v>2.18298254289917E-3</v>
      </c>
      <c r="F472">
        <v>1069.8249510000001</v>
      </c>
      <c r="G472">
        <f t="shared" si="79"/>
        <v>8.0088572232199784E-3</v>
      </c>
      <c r="H472">
        <v>281.37252810000001</v>
      </c>
      <c r="I472">
        <f t="shared" si="80"/>
        <v>-3.3519533240854438E-3</v>
      </c>
      <c r="J472">
        <v>762.79998780000005</v>
      </c>
      <c r="K472">
        <f t="shared" si="81"/>
        <v>2.4969947944188942E-3</v>
      </c>
      <c r="L472">
        <v>277.10000609999997</v>
      </c>
      <c r="M472">
        <f t="shared" si="82"/>
        <v>5.8076446460979536E-3</v>
      </c>
      <c r="N472">
        <v>428.5499878</v>
      </c>
      <c r="O472">
        <f t="shared" si="83"/>
        <v>-5.7997913716678617E-3</v>
      </c>
      <c r="P472">
        <v>138.1999969</v>
      </c>
      <c r="Q472">
        <f t="shared" si="84"/>
        <v>-4.1276429079335486E-2</v>
      </c>
      <c r="R472">
        <v>152.6499939</v>
      </c>
      <c r="S472">
        <f t="shared" si="85"/>
        <v>1.2939595488472122E-2</v>
      </c>
      <c r="T472">
        <v>1451.3000489999999</v>
      </c>
      <c r="U472">
        <f t="shared" si="86"/>
        <v>-1.7732623350253829E-2</v>
      </c>
      <c r="W472">
        <f t="shared" si="87"/>
        <v>-5.5860698875955126E-3</v>
      </c>
      <c r="X472">
        <v>-4.4187178369715857E-3</v>
      </c>
    </row>
    <row r="473" spans="1:24" x14ac:dyDescent="0.35">
      <c r="A473" s="1">
        <v>43508</v>
      </c>
      <c r="B473">
        <v>1148.767578</v>
      </c>
      <c r="C473">
        <f t="shared" si="77"/>
        <v>2.513446671823294E-3</v>
      </c>
      <c r="D473">
        <v>2051.6000979999999</v>
      </c>
      <c r="E473">
        <f t="shared" si="78"/>
        <v>-6.9218281031702134E-3</v>
      </c>
      <c r="F473">
        <v>1064.849976</v>
      </c>
      <c r="G473">
        <f t="shared" si="79"/>
        <v>-4.6502701169475191E-3</v>
      </c>
      <c r="H473">
        <v>280.51632690000002</v>
      </c>
      <c r="I473">
        <f t="shared" si="80"/>
        <v>-3.0429452575970739E-3</v>
      </c>
      <c r="J473">
        <v>750.45001219999995</v>
      </c>
      <c r="K473">
        <f t="shared" si="81"/>
        <v>-1.6190319608707426E-2</v>
      </c>
      <c r="L473">
        <v>275.2999878</v>
      </c>
      <c r="M473">
        <f t="shared" si="82"/>
        <v>-6.4959157718328386E-3</v>
      </c>
      <c r="N473">
        <v>436.60000609999997</v>
      </c>
      <c r="O473">
        <f t="shared" si="83"/>
        <v>1.8784315783849426E-2</v>
      </c>
      <c r="P473">
        <v>137.4499969</v>
      </c>
      <c r="Q473">
        <f t="shared" si="84"/>
        <v>-5.4269176325864033E-3</v>
      </c>
      <c r="R473">
        <v>151.8000031</v>
      </c>
      <c r="S473">
        <f t="shared" si="85"/>
        <v>-5.5682334357433083E-3</v>
      </c>
      <c r="T473">
        <v>1442.25</v>
      </c>
      <c r="U473">
        <f t="shared" si="86"/>
        <v>-6.2358221556154669E-3</v>
      </c>
      <c r="W473">
        <f t="shared" si="87"/>
        <v>-3.3234489626527532E-3</v>
      </c>
      <c r="X473">
        <v>-4.3942900226530586E-3</v>
      </c>
    </row>
    <row r="474" spans="1:24" x14ac:dyDescent="0.35">
      <c r="A474" s="1">
        <v>43510</v>
      </c>
      <c r="B474">
        <v>1119.3260499999999</v>
      </c>
      <c r="C474">
        <f t="shared" si="77"/>
        <v>-2.5628794339110472E-2</v>
      </c>
      <c r="D474">
        <v>2044.599976</v>
      </c>
      <c r="E474">
        <f t="shared" si="78"/>
        <v>-3.4120304472708973E-3</v>
      </c>
      <c r="F474">
        <v>1055.099976</v>
      </c>
      <c r="G474">
        <f t="shared" si="79"/>
        <v>-9.1562193921672641E-3</v>
      </c>
      <c r="H474">
        <v>271.09817500000003</v>
      </c>
      <c r="I474">
        <f t="shared" si="80"/>
        <v>-3.3574344866412864E-2</v>
      </c>
      <c r="J474">
        <v>740.04998780000005</v>
      </c>
      <c r="K474">
        <f t="shared" si="81"/>
        <v>-1.3858383944203578E-2</v>
      </c>
      <c r="L474">
        <v>277.89999390000003</v>
      </c>
      <c r="M474">
        <f t="shared" si="82"/>
        <v>9.4442652205595223E-3</v>
      </c>
      <c r="N474">
        <v>440.89999390000003</v>
      </c>
      <c r="O474">
        <f t="shared" si="83"/>
        <v>9.8488038019293178E-3</v>
      </c>
      <c r="P474">
        <v>132.1499939</v>
      </c>
      <c r="Q474">
        <f t="shared" si="84"/>
        <v>-3.8559498868930175E-2</v>
      </c>
      <c r="R474">
        <v>159.8500061</v>
      </c>
      <c r="S474">
        <f t="shared" si="85"/>
        <v>5.3030321710184403E-2</v>
      </c>
      <c r="T474">
        <v>1465.400024</v>
      </c>
      <c r="U474">
        <f t="shared" si="86"/>
        <v>1.6051325359681012E-2</v>
      </c>
      <c r="W474">
        <f t="shared" si="87"/>
        <v>-3.5814555765741017E-3</v>
      </c>
      <c r="X474">
        <v>-4.3872586673144639E-3</v>
      </c>
    </row>
    <row r="475" spans="1:24" x14ac:dyDescent="0.35">
      <c r="A475" s="1">
        <v>43511</v>
      </c>
      <c r="B475">
        <v>1137.8413089999999</v>
      </c>
      <c r="C475">
        <f t="shared" si="77"/>
        <v>1.6541434910766206E-2</v>
      </c>
      <c r="D475">
        <v>2029.6999510000001</v>
      </c>
      <c r="E475">
        <f t="shared" si="78"/>
        <v>-7.2875013082753792E-3</v>
      </c>
      <c r="F475">
        <v>1050.3249510000001</v>
      </c>
      <c r="G475">
        <f t="shared" si="79"/>
        <v>-4.5256611777232392E-3</v>
      </c>
      <c r="H475">
        <v>274.52294920000003</v>
      </c>
      <c r="I475">
        <f t="shared" si="80"/>
        <v>1.2632966636533016E-2</v>
      </c>
      <c r="J475">
        <v>741.95001219999995</v>
      </c>
      <c r="K475">
        <f t="shared" si="81"/>
        <v>2.5674271080635691E-3</v>
      </c>
      <c r="L475">
        <v>280.10000609999997</v>
      </c>
      <c r="M475">
        <f t="shared" si="82"/>
        <v>7.9165608070923543E-3</v>
      </c>
      <c r="N475">
        <v>422.89999390000003</v>
      </c>
      <c r="O475">
        <f t="shared" si="83"/>
        <v>-4.082558459749619E-2</v>
      </c>
      <c r="P475">
        <v>135</v>
      </c>
      <c r="Q475">
        <f t="shared" si="84"/>
        <v>2.1566448971285235E-2</v>
      </c>
      <c r="R475">
        <v>161.6499939</v>
      </c>
      <c r="S475">
        <f t="shared" si="85"/>
        <v>1.126048002071367E-2</v>
      </c>
      <c r="T475">
        <v>1464.3000489999999</v>
      </c>
      <c r="U475">
        <f t="shared" si="86"/>
        <v>-7.5063121467511262E-4</v>
      </c>
      <c r="W475">
        <f t="shared" si="87"/>
        <v>1.9095940156284123E-3</v>
      </c>
      <c r="X475">
        <v>-4.3727066186102451E-3</v>
      </c>
    </row>
    <row r="476" spans="1:24" x14ac:dyDescent="0.35">
      <c r="A476" s="1">
        <v>43514</v>
      </c>
      <c r="B476">
        <v>1115.577393</v>
      </c>
      <c r="C476">
        <f t="shared" si="77"/>
        <v>-1.9566802350994505E-2</v>
      </c>
      <c r="D476">
        <v>1970.3000489999999</v>
      </c>
      <c r="E476">
        <f t="shared" si="78"/>
        <v>-2.9265361104598098E-2</v>
      </c>
      <c r="F476">
        <v>1044.9499510000001</v>
      </c>
      <c r="G476">
        <f t="shared" si="79"/>
        <v>-5.1174638809470263E-3</v>
      </c>
      <c r="H476">
        <v>272.67538450000001</v>
      </c>
      <c r="I476">
        <f t="shared" si="80"/>
        <v>-6.730091984601283E-3</v>
      </c>
      <c r="J476">
        <v>741.04998780000005</v>
      </c>
      <c r="K476">
        <f t="shared" si="81"/>
        <v>-1.2130526116324036E-3</v>
      </c>
      <c r="L476">
        <v>274.7000122</v>
      </c>
      <c r="M476">
        <f t="shared" si="82"/>
        <v>-1.9278806791857339E-2</v>
      </c>
      <c r="N476">
        <v>414.64999390000003</v>
      </c>
      <c r="O476">
        <f t="shared" si="83"/>
        <v>-1.9508158238353612E-2</v>
      </c>
      <c r="P476">
        <v>137.1000061</v>
      </c>
      <c r="Q476">
        <f t="shared" si="84"/>
        <v>1.5555600740740694E-2</v>
      </c>
      <c r="R476">
        <v>162.8999939</v>
      </c>
      <c r="S476">
        <f t="shared" si="85"/>
        <v>7.7327562460240973E-3</v>
      </c>
      <c r="T476">
        <v>1436.0500489999999</v>
      </c>
      <c r="U476">
        <f t="shared" si="86"/>
        <v>-1.9292494061782239E-2</v>
      </c>
      <c r="W476">
        <f t="shared" si="87"/>
        <v>-9.6683874038001726E-3</v>
      </c>
      <c r="X476">
        <v>-4.3696255733041691E-3</v>
      </c>
    </row>
    <row r="477" spans="1:24" x14ac:dyDescent="0.35">
      <c r="A477" s="1">
        <v>43515</v>
      </c>
      <c r="B477">
        <v>1111.920044</v>
      </c>
      <c r="C477">
        <f t="shared" si="77"/>
        <v>-3.2784359229123261E-3</v>
      </c>
      <c r="D477">
        <v>1904.8000489999999</v>
      </c>
      <c r="E477">
        <f t="shared" si="78"/>
        <v>-3.3243667650134645E-2</v>
      </c>
      <c r="F477">
        <v>1042.025024</v>
      </c>
      <c r="G477">
        <f t="shared" si="79"/>
        <v>-2.7991072655689786E-3</v>
      </c>
      <c r="H477">
        <v>273.71182249999998</v>
      </c>
      <c r="I477">
        <f t="shared" si="80"/>
        <v>3.8009958320970316E-3</v>
      </c>
      <c r="J477">
        <v>724.29998780000005</v>
      </c>
      <c r="K477">
        <f t="shared" si="81"/>
        <v>-2.2603063593222283E-2</v>
      </c>
      <c r="L477">
        <v>275.89999390000003</v>
      </c>
      <c r="M477">
        <f t="shared" si="82"/>
        <v>4.368335080838559E-3</v>
      </c>
      <c r="N477">
        <v>413.64999390000003</v>
      </c>
      <c r="O477">
        <f t="shared" si="83"/>
        <v>-2.4116725303537923E-3</v>
      </c>
      <c r="P477">
        <v>139.1499939</v>
      </c>
      <c r="Q477">
        <f t="shared" si="84"/>
        <v>1.495249969941459E-2</v>
      </c>
      <c r="R477">
        <v>163.75</v>
      </c>
      <c r="S477">
        <f t="shared" si="85"/>
        <v>5.2179627491073521E-3</v>
      </c>
      <c r="T477">
        <v>1433.3000489999999</v>
      </c>
      <c r="U477">
        <f t="shared" si="86"/>
        <v>-1.9149750399820586E-3</v>
      </c>
      <c r="W477">
        <f t="shared" si="87"/>
        <v>-3.7911128640716555E-3</v>
      </c>
      <c r="X477">
        <v>-4.3473562518635987E-3</v>
      </c>
    </row>
    <row r="478" spans="1:24" x14ac:dyDescent="0.35">
      <c r="A478" s="1">
        <v>43516</v>
      </c>
      <c r="B478">
        <v>1128.606567</v>
      </c>
      <c r="C478">
        <f t="shared" si="77"/>
        <v>1.500694504972877E-2</v>
      </c>
      <c r="D478">
        <v>1914.75</v>
      </c>
      <c r="E478">
        <f t="shared" si="78"/>
        <v>5.2236196682291514E-3</v>
      </c>
      <c r="F478">
        <v>1054.1750489999999</v>
      </c>
      <c r="G478">
        <f t="shared" si="79"/>
        <v>1.1660012686988797E-2</v>
      </c>
      <c r="H478">
        <v>278.48849489999998</v>
      </c>
      <c r="I478">
        <f t="shared" si="80"/>
        <v>1.7451465400256883E-2</v>
      </c>
      <c r="J478">
        <v>740.70001219999995</v>
      </c>
      <c r="K478">
        <f t="shared" si="81"/>
        <v>2.2642585498052537E-2</v>
      </c>
      <c r="L478">
        <v>275.85000609999997</v>
      </c>
      <c r="M478">
        <f t="shared" si="82"/>
        <v>-1.8118086663743149E-4</v>
      </c>
      <c r="N478">
        <v>422.35000609999997</v>
      </c>
      <c r="O478">
        <f t="shared" si="83"/>
        <v>2.1032303464999291E-2</v>
      </c>
      <c r="P478">
        <v>144.0500031</v>
      </c>
      <c r="Q478">
        <f t="shared" si="84"/>
        <v>3.5213865719041282E-2</v>
      </c>
      <c r="R478">
        <v>164.8000031</v>
      </c>
      <c r="S478">
        <f t="shared" si="85"/>
        <v>6.4122326717557243E-3</v>
      </c>
      <c r="T478">
        <v>1472.9499510000001</v>
      </c>
      <c r="U478">
        <f t="shared" si="86"/>
        <v>2.7663364713943484E-2</v>
      </c>
      <c r="W478">
        <f t="shared" si="87"/>
        <v>1.6212521400635851E-2</v>
      </c>
      <c r="X478">
        <v>-4.3442864117354679E-3</v>
      </c>
    </row>
    <row r="479" spans="1:24" x14ac:dyDescent="0.35">
      <c r="A479" s="1">
        <v>43517</v>
      </c>
      <c r="B479">
        <v>1140.0814210000001</v>
      </c>
      <c r="C479">
        <f t="shared" si="77"/>
        <v>1.0167275590555747E-2</v>
      </c>
      <c r="D479">
        <v>1914.1999510000001</v>
      </c>
      <c r="E479">
        <f t="shared" si="78"/>
        <v>-2.87269356312847E-4</v>
      </c>
      <c r="F479">
        <v>1057.9499510000001</v>
      </c>
      <c r="G479">
        <f t="shared" si="79"/>
        <v>3.5809062295497629E-3</v>
      </c>
      <c r="H479">
        <v>279.29962160000002</v>
      </c>
      <c r="I479">
        <f t="shared" si="80"/>
        <v>2.9126039849196594E-3</v>
      </c>
      <c r="J479">
        <v>733.45001219999995</v>
      </c>
      <c r="K479">
        <f t="shared" si="81"/>
        <v>-9.7880381808909123E-3</v>
      </c>
      <c r="L479">
        <v>275.0499878</v>
      </c>
      <c r="M479">
        <f t="shared" si="82"/>
        <v>-2.9001931568199968E-3</v>
      </c>
      <c r="N479">
        <v>429.7000122</v>
      </c>
      <c r="O479">
        <f t="shared" si="83"/>
        <v>1.7402642343657959E-2</v>
      </c>
      <c r="P479">
        <v>146.9499969</v>
      </c>
      <c r="Q479">
        <f t="shared" si="84"/>
        <v>2.0131855172448754E-2</v>
      </c>
      <c r="R479">
        <v>169.6999969</v>
      </c>
      <c r="S479">
        <f t="shared" si="85"/>
        <v>2.9732971528081187E-2</v>
      </c>
      <c r="T479">
        <v>1461.0500489999999</v>
      </c>
      <c r="U479">
        <f t="shared" si="86"/>
        <v>-8.0789588213239227E-3</v>
      </c>
      <c r="W479">
        <f t="shared" si="87"/>
        <v>6.287379533386539E-3</v>
      </c>
      <c r="X479">
        <v>-4.3429526306798527E-3</v>
      </c>
    </row>
    <row r="480" spans="1:24" x14ac:dyDescent="0.35">
      <c r="A480" s="1">
        <v>43518</v>
      </c>
      <c r="B480">
        <v>1126.7779539999999</v>
      </c>
      <c r="C480">
        <f t="shared" si="77"/>
        <v>-1.1668874481202685E-2</v>
      </c>
      <c r="D480">
        <v>1925.650024</v>
      </c>
      <c r="E480">
        <f t="shared" si="78"/>
        <v>5.9816494060709324E-3</v>
      </c>
      <c r="F480">
        <v>1045.724976</v>
      </c>
      <c r="G480">
        <f t="shared" si="79"/>
        <v>-1.1555343415295516E-2</v>
      </c>
      <c r="H480">
        <v>282.8595886</v>
      </c>
      <c r="I480">
        <f t="shared" si="80"/>
        <v>1.2746050208039206E-2</v>
      </c>
      <c r="J480">
        <v>734.95001219999995</v>
      </c>
      <c r="K480">
        <f t="shared" si="81"/>
        <v>2.0451291499754554E-3</v>
      </c>
      <c r="L480">
        <v>274.2999878</v>
      </c>
      <c r="M480">
        <f t="shared" si="82"/>
        <v>-2.7267770705933225E-3</v>
      </c>
      <c r="N480">
        <v>430.5</v>
      </c>
      <c r="O480">
        <f t="shared" si="83"/>
        <v>1.8617355766508137E-3</v>
      </c>
      <c r="P480">
        <v>148.6000061</v>
      </c>
      <c r="Q480">
        <f t="shared" si="84"/>
        <v>1.1228371791820013E-2</v>
      </c>
      <c r="R480">
        <v>174.3000031</v>
      </c>
      <c r="S480">
        <f t="shared" si="85"/>
        <v>2.7106695839898443E-2</v>
      </c>
      <c r="T480">
        <v>1487.900024</v>
      </c>
      <c r="U480">
        <f t="shared" si="86"/>
        <v>1.8377176756112723E-2</v>
      </c>
      <c r="W480">
        <f t="shared" si="87"/>
        <v>5.3395813761476073E-3</v>
      </c>
      <c r="X480">
        <v>-4.3231615830988781E-3</v>
      </c>
    </row>
    <row r="481" spans="1:24" x14ac:dyDescent="0.35">
      <c r="A481" s="1">
        <v>43521</v>
      </c>
      <c r="B481">
        <v>1126.732178</v>
      </c>
      <c r="C481">
        <f t="shared" si="77"/>
        <v>-4.0625572977792679E-5</v>
      </c>
      <c r="D481">
        <v>1985.150024</v>
      </c>
      <c r="E481">
        <f t="shared" si="78"/>
        <v>3.0898657211036351E-2</v>
      </c>
      <c r="F481">
        <v>1062.6999510000001</v>
      </c>
      <c r="G481">
        <f t="shared" si="79"/>
        <v>1.6232733643726238E-2</v>
      </c>
      <c r="H481">
        <v>285.92385860000002</v>
      </c>
      <c r="I481">
        <f t="shared" si="80"/>
        <v>1.0833184107940097E-2</v>
      </c>
      <c r="J481">
        <v>754.90002440000001</v>
      </c>
      <c r="K481">
        <f t="shared" si="81"/>
        <v>2.7144719870514367E-2</v>
      </c>
      <c r="L481">
        <v>276.7000122</v>
      </c>
      <c r="M481">
        <f t="shared" si="82"/>
        <v>8.7496336374244255E-3</v>
      </c>
      <c r="N481">
        <v>436.10000609999997</v>
      </c>
      <c r="O481">
        <f t="shared" si="83"/>
        <v>1.3008144250870934E-2</v>
      </c>
      <c r="P481">
        <v>147.75</v>
      </c>
      <c r="Q481">
        <f t="shared" si="84"/>
        <v>-5.7200946507901529E-3</v>
      </c>
      <c r="R481">
        <v>175.75</v>
      </c>
      <c r="S481">
        <f t="shared" si="85"/>
        <v>8.3189723133172411E-3</v>
      </c>
      <c r="T481">
        <v>1495.9499510000001</v>
      </c>
      <c r="U481">
        <f t="shared" si="86"/>
        <v>5.4102606829449229E-3</v>
      </c>
      <c r="W481">
        <f t="shared" si="87"/>
        <v>1.1483558549400662E-2</v>
      </c>
      <c r="X481">
        <v>-4.3223330371074953E-3</v>
      </c>
    </row>
    <row r="482" spans="1:24" x14ac:dyDescent="0.35">
      <c r="A482" s="1">
        <v>43522</v>
      </c>
      <c r="B482">
        <v>1115.7144780000001</v>
      </c>
      <c r="C482">
        <f t="shared" si="77"/>
        <v>-9.7784550890849253E-3</v>
      </c>
      <c r="D482">
        <v>2038.6999510000001</v>
      </c>
      <c r="E482">
        <f t="shared" si="78"/>
        <v>2.6975254440517737E-2</v>
      </c>
      <c r="F482">
        <v>1055.3249510000001</v>
      </c>
      <c r="G482">
        <f t="shared" si="79"/>
        <v>-6.9398704620811102E-3</v>
      </c>
      <c r="H482">
        <v>284.30160519999998</v>
      </c>
      <c r="I482">
        <f t="shared" si="80"/>
        <v>-5.6737251936346267E-3</v>
      </c>
      <c r="J482">
        <v>742.5</v>
      </c>
      <c r="K482">
        <f t="shared" si="81"/>
        <v>-1.6426048482188982E-2</v>
      </c>
      <c r="L482">
        <v>275.5</v>
      </c>
      <c r="M482">
        <f t="shared" si="82"/>
        <v>-4.3368707881827895E-3</v>
      </c>
      <c r="N482">
        <v>435.75</v>
      </c>
      <c r="O482">
        <f t="shared" si="83"/>
        <v>-8.0258219468976044E-4</v>
      </c>
      <c r="P482">
        <v>147.5</v>
      </c>
      <c r="Q482">
        <f t="shared" si="84"/>
        <v>-1.6920473773265332E-3</v>
      </c>
      <c r="R482">
        <v>182.6499939</v>
      </c>
      <c r="S482">
        <f t="shared" si="85"/>
        <v>3.9260278236130874E-2</v>
      </c>
      <c r="T482">
        <v>1469.349976</v>
      </c>
      <c r="U482">
        <f t="shared" si="86"/>
        <v>-1.778132682996425E-2</v>
      </c>
      <c r="W482">
        <f t="shared" si="87"/>
        <v>2.8046062594956362E-4</v>
      </c>
      <c r="X482">
        <v>-4.3113024925854563E-3</v>
      </c>
    </row>
    <row r="483" spans="1:24" x14ac:dyDescent="0.35">
      <c r="A483" s="1">
        <v>43523</v>
      </c>
      <c r="B483">
        <v>1118.6860349999999</v>
      </c>
      <c r="C483">
        <f t="shared" si="77"/>
        <v>2.6633668905386987E-3</v>
      </c>
      <c r="D483">
        <v>2058.1000979999999</v>
      </c>
      <c r="E483">
        <f t="shared" si="78"/>
        <v>9.5159402885569566E-3</v>
      </c>
      <c r="F483">
        <v>1046.125</v>
      </c>
      <c r="G483">
        <f t="shared" si="79"/>
        <v>-8.7176475750738724E-3</v>
      </c>
      <c r="H483">
        <v>288.53750609999997</v>
      </c>
      <c r="I483">
        <f t="shared" si="80"/>
        <v>1.4899321081990102E-2</v>
      </c>
      <c r="J483">
        <v>735.25</v>
      </c>
      <c r="K483">
        <f t="shared" si="81"/>
        <v>-9.7643097643097532E-3</v>
      </c>
      <c r="L483">
        <v>275.10000609999997</v>
      </c>
      <c r="M483">
        <f t="shared" si="82"/>
        <v>-1.4518834845735906E-3</v>
      </c>
      <c r="N483">
        <v>442.7000122</v>
      </c>
      <c r="O483">
        <f t="shared" si="83"/>
        <v>1.5949540332759637E-2</v>
      </c>
      <c r="P483">
        <v>148</v>
      </c>
      <c r="Q483">
        <f t="shared" si="84"/>
        <v>3.3898305084745228E-3</v>
      </c>
      <c r="R483">
        <v>177.3500061</v>
      </c>
      <c r="S483">
        <f t="shared" si="85"/>
        <v>-2.9017180273773868E-2</v>
      </c>
      <c r="T483">
        <v>1450.150024</v>
      </c>
      <c r="U483">
        <f t="shared" si="86"/>
        <v>-1.3066969961960884E-2</v>
      </c>
      <c r="W483">
        <f t="shared" si="87"/>
        <v>-1.5599991957372052E-3</v>
      </c>
      <c r="X483">
        <v>-4.2911468104478876E-3</v>
      </c>
    </row>
    <row r="484" spans="1:24" x14ac:dyDescent="0.35">
      <c r="A484" s="1">
        <v>43524</v>
      </c>
      <c r="B484">
        <v>1125.5892329999999</v>
      </c>
      <c r="C484">
        <f t="shared" si="77"/>
        <v>6.1708091314467417E-3</v>
      </c>
      <c r="D484">
        <v>1983.4499510000001</v>
      </c>
      <c r="E484">
        <f t="shared" si="78"/>
        <v>-3.6271387904088126E-2</v>
      </c>
      <c r="F484">
        <v>1038.775024</v>
      </c>
      <c r="G484">
        <f t="shared" si="79"/>
        <v>-7.0259060819691799E-3</v>
      </c>
      <c r="H484">
        <v>286.64486690000001</v>
      </c>
      <c r="I484">
        <f t="shared" si="80"/>
        <v>-6.5594217735562843E-3</v>
      </c>
      <c r="J484">
        <v>734.29998780000005</v>
      </c>
      <c r="K484">
        <f t="shared" si="81"/>
        <v>-1.2920941176469691E-3</v>
      </c>
      <c r="L484">
        <v>276.0499878</v>
      </c>
      <c r="M484">
        <f t="shared" si="82"/>
        <v>3.4532231149959625E-3</v>
      </c>
      <c r="N484">
        <v>445.14999390000003</v>
      </c>
      <c r="O484">
        <f t="shared" si="83"/>
        <v>5.5341803308854853E-3</v>
      </c>
      <c r="P484">
        <v>148.6499939</v>
      </c>
      <c r="Q484">
        <f t="shared" si="84"/>
        <v>4.3918506756757125E-3</v>
      </c>
      <c r="R484">
        <v>177.4499969</v>
      </c>
      <c r="S484">
        <f t="shared" si="85"/>
        <v>5.6380488616181168E-4</v>
      </c>
      <c r="T484">
        <v>1455.8000489999999</v>
      </c>
      <c r="U484">
        <f t="shared" si="86"/>
        <v>3.8961658493892326E-3</v>
      </c>
      <c r="W484">
        <f t="shared" si="87"/>
        <v>-2.7138775888705616E-3</v>
      </c>
      <c r="X484">
        <v>-4.2542870912258279E-3</v>
      </c>
    </row>
    <row r="485" spans="1:24" x14ac:dyDescent="0.35">
      <c r="A485" s="1">
        <v>43525</v>
      </c>
      <c r="B485">
        <v>1121.017578</v>
      </c>
      <c r="C485">
        <f t="shared" si="77"/>
        <v>-4.0615660366750683E-3</v>
      </c>
      <c r="D485">
        <v>1995.400024</v>
      </c>
      <c r="E485">
        <f t="shared" si="78"/>
        <v>6.0248926341575082E-3</v>
      </c>
      <c r="F485">
        <v>1041.6750489999999</v>
      </c>
      <c r="G485">
        <f t="shared" si="79"/>
        <v>2.7917739000238306E-3</v>
      </c>
      <c r="H485">
        <v>277.27178959999998</v>
      </c>
      <c r="I485">
        <f t="shared" si="80"/>
        <v>-3.269926791771216E-2</v>
      </c>
      <c r="J485">
        <v>741.90002440000001</v>
      </c>
      <c r="K485">
        <f t="shared" si="81"/>
        <v>1.0350043206142523E-2</v>
      </c>
      <c r="L485">
        <v>278.2000122</v>
      </c>
      <c r="M485">
        <f t="shared" si="82"/>
        <v>7.7885328564395451E-3</v>
      </c>
      <c r="N485">
        <v>447.35000609999997</v>
      </c>
      <c r="O485">
        <f t="shared" si="83"/>
        <v>4.9421818042172383E-3</v>
      </c>
      <c r="P485">
        <v>149.1000061</v>
      </c>
      <c r="Q485">
        <f t="shared" si="84"/>
        <v>3.0273274030723218E-3</v>
      </c>
      <c r="R485">
        <v>180.3000031</v>
      </c>
      <c r="S485">
        <f t="shared" si="85"/>
        <v>1.6060897434707178E-2</v>
      </c>
      <c r="T485">
        <v>1456.5500489999999</v>
      </c>
      <c r="U485">
        <f t="shared" si="86"/>
        <v>5.1518063934352654E-4</v>
      </c>
      <c r="W485">
        <f t="shared" si="87"/>
        <v>1.4739995923716443E-3</v>
      </c>
      <c r="X485">
        <v>-4.2541901536737089E-3</v>
      </c>
    </row>
    <row r="486" spans="1:24" x14ac:dyDescent="0.35">
      <c r="A486" s="1">
        <v>43529</v>
      </c>
      <c r="B486">
        <v>1131.6239009999999</v>
      </c>
      <c r="C486">
        <f t="shared" si="77"/>
        <v>9.4613351370660403E-3</v>
      </c>
      <c r="D486">
        <v>1988.099976</v>
      </c>
      <c r="E486">
        <f t="shared" si="78"/>
        <v>-3.6584383643367691E-3</v>
      </c>
      <c r="F486">
        <v>1053.5500489999999</v>
      </c>
      <c r="G486">
        <f t="shared" si="79"/>
        <v>1.1399908264482228E-2</v>
      </c>
      <c r="H486">
        <v>277.4520569</v>
      </c>
      <c r="I486">
        <f t="shared" si="80"/>
        <v>6.5014655930228926E-4</v>
      </c>
      <c r="J486">
        <v>732.5</v>
      </c>
      <c r="K486">
        <f t="shared" si="81"/>
        <v>-1.2670203653925127E-2</v>
      </c>
      <c r="L486">
        <v>282.5499878</v>
      </c>
      <c r="M486">
        <f t="shared" si="82"/>
        <v>1.563614453356954E-2</v>
      </c>
      <c r="N486">
        <v>455.89999390000003</v>
      </c>
      <c r="O486">
        <f t="shared" si="83"/>
        <v>1.9112524160978417E-2</v>
      </c>
      <c r="P486">
        <v>155</v>
      </c>
      <c r="Q486">
        <f t="shared" si="84"/>
        <v>3.9570715349554808E-2</v>
      </c>
      <c r="R486">
        <v>194.0500031</v>
      </c>
      <c r="S486">
        <f t="shared" si="85"/>
        <v>7.626178460115618E-2</v>
      </c>
      <c r="T486">
        <v>1471.9499510000001</v>
      </c>
      <c r="U486">
        <f t="shared" si="86"/>
        <v>1.0572861544011491E-2</v>
      </c>
      <c r="W486">
        <f t="shared" si="87"/>
        <v>1.663367781318591E-2</v>
      </c>
      <c r="X486">
        <v>-4.2430916394505819E-3</v>
      </c>
    </row>
    <row r="487" spans="1:24" x14ac:dyDescent="0.35">
      <c r="A487" s="1">
        <v>43530</v>
      </c>
      <c r="B487">
        <v>1156.4479980000001</v>
      </c>
      <c r="C487">
        <f t="shared" si="77"/>
        <v>2.193670262537184E-2</v>
      </c>
      <c r="D487">
        <v>1999.599976</v>
      </c>
      <c r="E487">
        <f t="shared" si="78"/>
        <v>5.7844173526613307E-3</v>
      </c>
      <c r="F487">
        <v>1052.125</v>
      </c>
      <c r="G487">
        <f t="shared" si="79"/>
        <v>-1.352616329288403E-3</v>
      </c>
      <c r="H487">
        <v>278.84899899999999</v>
      </c>
      <c r="I487">
        <f t="shared" si="80"/>
        <v>5.0348954540404556E-3</v>
      </c>
      <c r="J487">
        <v>732.5</v>
      </c>
      <c r="K487">
        <f t="shared" si="81"/>
        <v>0</v>
      </c>
      <c r="L487">
        <v>285.75</v>
      </c>
      <c r="M487">
        <f t="shared" si="82"/>
        <v>1.1325472794800007E-2</v>
      </c>
      <c r="N487">
        <v>460.5499878</v>
      </c>
      <c r="O487">
        <f t="shared" si="83"/>
        <v>1.0199591932918306E-2</v>
      </c>
      <c r="P487">
        <v>154.8000031</v>
      </c>
      <c r="Q487">
        <f t="shared" si="84"/>
        <v>-1.2903025806452195E-3</v>
      </c>
      <c r="R487">
        <v>188.8000031</v>
      </c>
      <c r="S487">
        <f t="shared" si="85"/>
        <v>-2.7054882329965779E-2</v>
      </c>
      <c r="T487">
        <v>1470.349976</v>
      </c>
      <c r="U487">
        <f t="shared" si="86"/>
        <v>-1.0869764959828832E-3</v>
      </c>
      <c r="W487">
        <f t="shared" si="87"/>
        <v>2.3496302423909659E-3</v>
      </c>
      <c r="X487">
        <v>-4.2188371676361693E-3</v>
      </c>
    </row>
    <row r="488" spans="1:24" x14ac:dyDescent="0.35">
      <c r="A488" s="1">
        <v>43531</v>
      </c>
      <c r="B488">
        <v>1161.4311520000001</v>
      </c>
      <c r="C488">
        <f t="shared" si="77"/>
        <v>4.3090169282302693E-3</v>
      </c>
      <c r="D488">
        <v>2013.3000489999999</v>
      </c>
      <c r="E488">
        <f t="shared" si="78"/>
        <v>6.8514068635896486E-3</v>
      </c>
      <c r="F488">
        <v>1063.25</v>
      </c>
      <c r="G488">
        <f t="shared" si="79"/>
        <v>1.0573838659855062E-2</v>
      </c>
      <c r="H488">
        <v>277.27178959999998</v>
      </c>
      <c r="I488">
        <f t="shared" si="80"/>
        <v>-5.6561415162190709E-3</v>
      </c>
      <c r="J488">
        <v>722.95001219999995</v>
      </c>
      <c r="K488">
        <f t="shared" si="81"/>
        <v>-1.3037526006826061E-2</v>
      </c>
      <c r="L488">
        <v>290.10000609999997</v>
      </c>
      <c r="M488">
        <f t="shared" si="82"/>
        <v>1.5223118460192309E-2</v>
      </c>
      <c r="N488">
        <v>450.89999390000003</v>
      </c>
      <c r="O488">
        <f t="shared" si="83"/>
        <v>-2.0953195430743587E-2</v>
      </c>
      <c r="P488">
        <v>152.0500031</v>
      </c>
      <c r="Q488">
        <f t="shared" si="84"/>
        <v>-1.7764857525380706E-2</v>
      </c>
      <c r="R488">
        <v>189.3000031</v>
      </c>
      <c r="S488">
        <f t="shared" si="85"/>
        <v>2.6483050412620113E-3</v>
      </c>
      <c r="T488">
        <v>1457.4499510000001</v>
      </c>
      <c r="U488">
        <f t="shared" si="86"/>
        <v>-8.7734384402097243E-3</v>
      </c>
      <c r="W488">
        <f t="shared" si="87"/>
        <v>-2.6579472966249849E-3</v>
      </c>
      <c r="X488">
        <v>-4.2179152462179402E-3</v>
      </c>
    </row>
    <row r="489" spans="1:24" x14ac:dyDescent="0.35">
      <c r="A489" s="1">
        <v>43532</v>
      </c>
      <c r="B489">
        <v>1158.551025</v>
      </c>
      <c r="C489">
        <f t="shared" si="77"/>
        <v>-2.4798086352690873E-3</v>
      </c>
      <c r="D489">
        <v>2022.6999510000001</v>
      </c>
      <c r="E489">
        <f t="shared" si="78"/>
        <v>4.6689026827715363E-3</v>
      </c>
      <c r="F489">
        <v>1064.099976</v>
      </c>
      <c r="G489">
        <f t="shared" si="79"/>
        <v>7.9941312015052723E-4</v>
      </c>
      <c r="H489">
        <v>278.21810909999999</v>
      </c>
      <c r="I489">
        <f t="shared" si="80"/>
        <v>3.412967115641985E-3</v>
      </c>
      <c r="J489">
        <v>712.34997559999999</v>
      </c>
      <c r="K489">
        <f t="shared" si="81"/>
        <v>-1.4662198521503744E-2</v>
      </c>
      <c r="L489">
        <v>292</v>
      </c>
      <c r="M489">
        <f t="shared" si="82"/>
        <v>6.5494445365337217E-3</v>
      </c>
      <c r="N489">
        <v>454.9500122</v>
      </c>
      <c r="O489">
        <f t="shared" si="83"/>
        <v>8.9820766351533798E-3</v>
      </c>
      <c r="P489">
        <v>150.3999939</v>
      </c>
      <c r="Q489">
        <f t="shared" si="84"/>
        <v>-1.0851753807034292E-2</v>
      </c>
      <c r="R489">
        <v>181.1999969</v>
      </c>
      <c r="S489">
        <f t="shared" si="85"/>
        <v>-4.2789255506356594E-2</v>
      </c>
      <c r="T489">
        <v>1450.400024</v>
      </c>
      <c r="U489">
        <f t="shared" si="86"/>
        <v>-4.8371657600748685E-3</v>
      </c>
      <c r="W489">
        <f t="shared" si="87"/>
        <v>-5.1207378139987436E-3</v>
      </c>
      <c r="X489">
        <v>-4.2133123254528568E-3</v>
      </c>
    </row>
    <row r="490" spans="1:24" x14ac:dyDescent="0.35">
      <c r="A490" s="1">
        <v>43535</v>
      </c>
      <c r="B490">
        <v>1192.3813479999999</v>
      </c>
      <c r="C490">
        <f t="shared" si="77"/>
        <v>2.9200546432557761E-2</v>
      </c>
      <c r="D490">
        <v>2014.8000489999999</v>
      </c>
      <c r="E490">
        <f t="shared" si="78"/>
        <v>-3.9056222827782427E-3</v>
      </c>
      <c r="F490">
        <v>1064.224976</v>
      </c>
      <c r="G490">
        <f t="shared" si="79"/>
        <v>1.174701652282284E-4</v>
      </c>
      <c r="H490">
        <v>300.8396606</v>
      </c>
      <c r="I490">
        <f t="shared" si="80"/>
        <v>8.1308695444656021E-2</v>
      </c>
      <c r="J490">
        <v>711.25</v>
      </c>
      <c r="K490">
        <f t="shared" si="81"/>
        <v>-1.5441505407135514E-3</v>
      </c>
      <c r="L490">
        <v>292.9500122</v>
      </c>
      <c r="M490">
        <f t="shared" si="82"/>
        <v>3.2534664383561118E-3</v>
      </c>
      <c r="N490">
        <v>459.4500122</v>
      </c>
      <c r="O490">
        <f t="shared" si="83"/>
        <v>9.8911965695733794E-3</v>
      </c>
      <c r="P490">
        <v>153</v>
      </c>
      <c r="Q490">
        <f t="shared" si="84"/>
        <v>1.728727530220997E-2</v>
      </c>
      <c r="R490">
        <v>181.8500061</v>
      </c>
      <c r="S490">
        <f t="shared" si="85"/>
        <v>3.5872473019893381E-3</v>
      </c>
      <c r="T490">
        <v>1482.1999510000001</v>
      </c>
      <c r="U490">
        <f t="shared" si="86"/>
        <v>2.1924935516961952E-2</v>
      </c>
      <c r="W490">
        <f t="shared" si="87"/>
        <v>1.6112106034804095E-2</v>
      </c>
      <c r="X490">
        <v>-4.2079679986953607E-3</v>
      </c>
    </row>
    <row r="491" spans="1:24" x14ac:dyDescent="0.35">
      <c r="A491" s="1">
        <v>43536</v>
      </c>
      <c r="B491">
        <v>1217.296875</v>
      </c>
      <c r="C491">
        <f t="shared" si="77"/>
        <v>2.0895602771539012E-2</v>
      </c>
      <c r="D491">
        <v>2012.4499510000001</v>
      </c>
      <c r="E491">
        <f t="shared" si="78"/>
        <v>-1.1664174820554818E-3</v>
      </c>
      <c r="F491">
        <v>1085.5</v>
      </c>
      <c r="G491">
        <f t="shared" si="79"/>
        <v>1.999109631871665E-2</v>
      </c>
      <c r="H491">
        <v>317.06231689999998</v>
      </c>
      <c r="I491">
        <f t="shared" si="80"/>
        <v>5.3924593145881161E-2</v>
      </c>
      <c r="J491">
        <v>706.95001219999995</v>
      </c>
      <c r="K491">
        <f t="shared" si="81"/>
        <v>-6.0456770474517363E-3</v>
      </c>
      <c r="L491">
        <v>294.5</v>
      </c>
      <c r="M491">
        <f t="shared" si="82"/>
        <v>5.2909634253293092E-3</v>
      </c>
      <c r="N491">
        <v>470.2999878</v>
      </c>
      <c r="O491">
        <f t="shared" si="83"/>
        <v>2.3615138343443975E-2</v>
      </c>
      <c r="P491">
        <v>151.8500061</v>
      </c>
      <c r="Q491">
        <f t="shared" si="84"/>
        <v>-7.5163000000000313E-3</v>
      </c>
      <c r="R491">
        <v>184.8000031</v>
      </c>
      <c r="S491">
        <f t="shared" si="85"/>
        <v>1.6222144080533019E-2</v>
      </c>
      <c r="T491">
        <v>1510.599976</v>
      </c>
      <c r="U491">
        <f t="shared" si="86"/>
        <v>1.9160724557330644E-2</v>
      </c>
      <c r="W491">
        <f t="shared" si="87"/>
        <v>1.4437186811326653E-2</v>
      </c>
      <c r="X491">
        <v>-4.2050639687416626E-3</v>
      </c>
    </row>
    <row r="492" spans="1:24" x14ac:dyDescent="0.35">
      <c r="A492" s="1">
        <v>43537</v>
      </c>
      <c r="B492">
        <v>1231.8804929999999</v>
      </c>
      <c r="C492">
        <f t="shared" si="77"/>
        <v>1.1980329777811827E-2</v>
      </c>
      <c r="D492">
        <v>2000.5</v>
      </c>
      <c r="E492">
        <f t="shared" si="78"/>
        <v>-5.9380115237459563E-3</v>
      </c>
      <c r="F492">
        <v>1113.275024</v>
      </c>
      <c r="G492">
        <f t="shared" si="79"/>
        <v>2.5587309074159403E-2</v>
      </c>
      <c r="H492">
        <v>304.3996277</v>
      </c>
      <c r="I492">
        <f t="shared" si="80"/>
        <v>-3.9937540745322186E-2</v>
      </c>
      <c r="J492">
        <v>708.45001219999995</v>
      </c>
      <c r="K492">
        <f t="shared" si="81"/>
        <v>2.1217907548116699E-3</v>
      </c>
      <c r="L492">
        <v>294.89999390000003</v>
      </c>
      <c r="M492">
        <f t="shared" si="82"/>
        <v>1.3582135823431152E-3</v>
      </c>
      <c r="N492">
        <v>456.5</v>
      </c>
      <c r="O492">
        <f t="shared" si="83"/>
        <v>-2.9342947390992857E-2</v>
      </c>
      <c r="P492">
        <v>149.75</v>
      </c>
      <c r="Q492">
        <f t="shared" si="84"/>
        <v>-1.3829476560027643E-2</v>
      </c>
      <c r="R492">
        <v>181.6999969</v>
      </c>
      <c r="S492">
        <f t="shared" si="85"/>
        <v>-1.6774925043277711E-2</v>
      </c>
      <c r="T492">
        <v>1501.400024</v>
      </c>
      <c r="U492">
        <f t="shared" si="86"/>
        <v>-6.0902635682287265E-3</v>
      </c>
      <c r="W492">
        <f t="shared" si="87"/>
        <v>-7.0865521642469063E-3</v>
      </c>
      <c r="X492">
        <v>-4.1643582379873425E-3</v>
      </c>
    </row>
    <row r="493" spans="1:24" x14ac:dyDescent="0.35">
      <c r="A493" s="1">
        <v>43538</v>
      </c>
      <c r="B493">
        <v>1226.623047</v>
      </c>
      <c r="C493">
        <f t="shared" si="77"/>
        <v>-4.2678214566060912E-3</v>
      </c>
      <c r="D493">
        <v>1987.400024</v>
      </c>
      <c r="E493">
        <f t="shared" si="78"/>
        <v>-6.5483509122719052E-3</v>
      </c>
      <c r="F493">
        <v>1112.375</v>
      </c>
      <c r="G493">
        <f t="shared" si="79"/>
        <v>-8.0844713174843541E-4</v>
      </c>
      <c r="H493">
        <v>308.59048460000002</v>
      </c>
      <c r="I493">
        <f t="shared" si="80"/>
        <v>1.3767615064661953E-2</v>
      </c>
      <c r="J493">
        <v>708.34997559999999</v>
      </c>
      <c r="K493">
        <f t="shared" si="81"/>
        <v>-1.4120488146973642E-4</v>
      </c>
      <c r="L493">
        <v>295.5</v>
      </c>
      <c r="M493">
        <f t="shared" si="82"/>
        <v>2.0346087229945464E-3</v>
      </c>
      <c r="N493">
        <v>466.14999390000003</v>
      </c>
      <c r="O493">
        <f t="shared" si="83"/>
        <v>2.1139088499452452E-2</v>
      </c>
      <c r="P493">
        <v>151.0500031</v>
      </c>
      <c r="Q493">
        <f t="shared" si="84"/>
        <v>8.6811559265442817E-3</v>
      </c>
      <c r="R493">
        <v>179.5500031</v>
      </c>
      <c r="S493">
        <f t="shared" si="85"/>
        <v>-1.1832657329010732E-2</v>
      </c>
      <c r="T493">
        <v>1467.3000489999999</v>
      </c>
      <c r="U493">
        <f t="shared" si="86"/>
        <v>-2.2712118326168373E-2</v>
      </c>
      <c r="W493">
        <f t="shared" si="87"/>
        <v>-6.8813182362204364E-5</v>
      </c>
      <c r="X493">
        <v>-4.1535929698581775E-3</v>
      </c>
    </row>
    <row r="494" spans="1:24" x14ac:dyDescent="0.35">
      <c r="A494" s="1">
        <v>43539</v>
      </c>
      <c r="B494">
        <v>1208.427856</v>
      </c>
      <c r="C494">
        <f t="shared" si="77"/>
        <v>-1.4833563615570977E-2</v>
      </c>
      <c r="D494">
        <v>2039.9499510000001</v>
      </c>
      <c r="E494">
        <f t="shared" si="78"/>
        <v>2.6441544915670301E-2</v>
      </c>
      <c r="F494">
        <v>1126.5</v>
      </c>
      <c r="G494">
        <f t="shared" si="79"/>
        <v>1.2698055961343879E-2</v>
      </c>
      <c r="H494">
        <v>304.35458369999998</v>
      </c>
      <c r="I494">
        <f t="shared" si="80"/>
        <v>-1.3726608924739536E-2</v>
      </c>
      <c r="J494">
        <v>718.54998780000005</v>
      </c>
      <c r="K494">
        <f t="shared" si="81"/>
        <v>1.4399678903581847E-2</v>
      </c>
      <c r="L494">
        <v>290.7999878</v>
      </c>
      <c r="M494">
        <f t="shared" si="82"/>
        <v>-1.5905286632825755E-2</v>
      </c>
      <c r="N494">
        <v>464.35000609999997</v>
      </c>
      <c r="O494">
        <f t="shared" si="83"/>
        <v>-3.8613918771952527E-3</v>
      </c>
      <c r="P494">
        <v>156</v>
      </c>
      <c r="Q494">
        <f t="shared" si="84"/>
        <v>3.2770584564125738E-2</v>
      </c>
      <c r="R494">
        <v>180</v>
      </c>
      <c r="S494">
        <f t="shared" si="85"/>
        <v>2.5062483555033932E-3</v>
      </c>
      <c r="T494">
        <v>1478.5</v>
      </c>
      <c r="U494">
        <f t="shared" si="86"/>
        <v>7.6330338894441407E-3</v>
      </c>
      <c r="W494">
        <f t="shared" si="87"/>
        <v>4.8122295539337785E-3</v>
      </c>
      <c r="X494">
        <v>-4.1440291242858087E-3</v>
      </c>
    </row>
    <row r="495" spans="1:24" x14ac:dyDescent="0.35">
      <c r="A495" s="1">
        <v>43542</v>
      </c>
      <c r="B495">
        <v>1234.3948969999999</v>
      </c>
      <c r="C495">
        <f t="shared" si="77"/>
        <v>2.1488284030420246E-2</v>
      </c>
      <c r="D495">
        <v>2022.8000489999999</v>
      </c>
      <c r="E495">
        <f t="shared" si="78"/>
        <v>-8.4070209622510994E-3</v>
      </c>
      <c r="F495">
        <v>1130.724976</v>
      </c>
      <c r="G495">
        <f t="shared" si="79"/>
        <v>3.7505335108742877E-3</v>
      </c>
      <c r="H495">
        <v>298.00070190000002</v>
      </c>
      <c r="I495">
        <f t="shared" si="80"/>
        <v>-2.0876576665140423E-2</v>
      </c>
      <c r="J495">
        <v>710.20001219999995</v>
      </c>
      <c r="K495">
        <f t="shared" si="81"/>
        <v>-1.1620591109555822E-2</v>
      </c>
      <c r="L495">
        <v>293.5499878</v>
      </c>
      <c r="M495">
        <f t="shared" si="82"/>
        <v>9.4566716484574265E-3</v>
      </c>
      <c r="N495">
        <v>464.89999390000003</v>
      </c>
      <c r="O495">
        <f t="shared" si="83"/>
        <v>1.1844250948100932E-3</v>
      </c>
      <c r="P495">
        <v>154.6499939</v>
      </c>
      <c r="Q495">
        <f t="shared" si="84"/>
        <v>-8.6538852564103097E-3</v>
      </c>
      <c r="R495">
        <v>182.25</v>
      </c>
      <c r="S495">
        <f t="shared" si="85"/>
        <v>1.2499999999999956E-2</v>
      </c>
      <c r="T495">
        <v>1478.8000489999999</v>
      </c>
      <c r="U495">
        <f t="shared" si="86"/>
        <v>2.029414947581909E-4</v>
      </c>
      <c r="W495">
        <f t="shared" si="87"/>
        <v>-9.7521821403745223E-5</v>
      </c>
      <c r="X495">
        <v>-4.1337986783958726E-3</v>
      </c>
    </row>
    <row r="496" spans="1:24" x14ac:dyDescent="0.35">
      <c r="A496" s="1">
        <v>43543</v>
      </c>
      <c r="B496">
        <v>1258.6247559999999</v>
      </c>
      <c r="C496">
        <f t="shared" si="77"/>
        <v>1.9628936460193369E-2</v>
      </c>
      <c r="D496">
        <v>2022.8000489999999</v>
      </c>
      <c r="E496">
        <f t="shared" si="78"/>
        <v>0</v>
      </c>
      <c r="F496">
        <v>1133.875</v>
      </c>
      <c r="G496">
        <f t="shared" si="79"/>
        <v>2.7858445394417508E-3</v>
      </c>
      <c r="H496">
        <v>303.49838260000001</v>
      </c>
      <c r="I496">
        <f t="shared" si="80"/>
        <v>1.8448549499876066E-2</v>
      </c>
      <c r="J496">
        <v>722.25</v>
      </c>
      <c r="K496">
        <f t="shared" si="81"/>
        <v>1.6967034065055175E-2</v>
      </c>
      <c r="L496">
        <v>299.4500122</v>
      </c>
      <c r="M496">
        <f t="shared" si="82"/>
        <v>2.0098874621721219E-2</v>
      </c>
      <c r="N496">
        <v>468.9500122</v>
      </c>
      <c r="O496">
        <f t="shared" si="83"/>
        <v>8.7115903487646751E-3</v>
      </c>
      <c r="P496">
        <v>157</v>
      </c>
      <c r="Q496">
        <f t="shared" si="84"/>
        <v>1.5195643017739568E-2</v>
      </c>
      <c r="R496">
        <v>182.8500061</v>
      </c>
      <c r="S496">
        <f t="shared" si="85"/>
        <v>3.2922145404663539E-3</v>
      </c>
      <c r="T496">
        <v>1479.5500489999999</v>
      </c>
      <c r="U496">
        <f t="shared" si="86"/>
        <v>5.0716795722793862E-4</v>
      </c>
      <c r="W496">
        <f t="shared" si="87"/>
        <v>1.0563585505048613E-2</v>
      </c>
      <c r="X496">
        <v>-4.1316373312202176E-3</v>
      </c>
    </row>
    <row r="497" spans="1:24" x14ac:dyDescent="0.35">
      <c r="A497" s="1">
        <v>43544</v>
      </c>
      <c r="B497">
        <v>1257.6188959999999</v>
      </c>
      <c r="C497">
        <f t="shared" si="77"/>
        <v>-7.9917385638961225E-4</v>
      </c>
      <c r="D497">
        <v>2015.0500489999999</v>
      </c>
      <c r="E497">
        <f t="shared" si="78"/>
        <v>-3.8313228259171384E-3</v>
      </c>
      <c r="F497">
        <v>1149.5</v>
      </c>
      <c r="G497">
        <f t="shared" si="79"/>
        <v>1.3780178591114467E-2</v>
      </c>
      <c r="H497">
        <v>301.01992799999999</v>
      </c>
      <c r="I497">
        <f t="shared" si="80"/>
        <v>-8.1662860235618417E-3</v>
      </c>
      <c r="J497">
        <v>738.95001219999995</v>
      </c>
      <c r="K497">
        <f t="shared" si="81"/>
        <v>2.3122204499826937E-2</v>
      </c>
      <c r="L497">
        <v>298.89999390000003</v>
      </c>
      <c r="M497">
        <f t="shared" si="82"/>
        <v>-1.8367616550057919E-3</v>
      </c>
      <c r="N497">
        <v>474.75</v>
      </c>
      <c r="O497">
        <f t="shared" si="83"/>
        <v>1.2368029958652382E-2</v>
      </c>
      <c r="P497">
        <v>151.8500061</v>
      </c>
      <c r="Q497">
        <f t="shared" si="84"/>
        <v>-3.2802508917197493E-2</v>
      </c>
      <c r="R497">
        <v>180.1999969</v>
      </c>
      <c r="S497">
        <f t="shared" si="85"/>
        <v>-1.4492803454164038E-2</v>
      </c>
      <c r="T497">
        <v>1482.150024</v>
      </c>
      <c r="U497">
        <f t="shared" si="86"/>
        <v>1.7572741130029712E-3</v>
      </c>
      <c r="W497">
        <f t="shared" si="87"/>
        <v>-1.090116956963916E-3</v>
      </c>
      <c r="X497">
        <v>-4.1276338760959158E-3</v>
      </c>
    </row>
    <row r="498" spans="1:24" x14ac:dyDescent="0.35">
      <c r="A498" s="1">
        <v>43546</v>
      </c>
      <c r="B498">
        <v>1226.805908</v>
      </c>
      <c r="C498">
        <f t="shared" si="77"/>
        <v>-2.4501053616484358E-2</v>
      </c>
      <c r="D498">
        <v>2005.650024</v>
      </c>
      <c r="E498">
        <f t="shared" si="78"/>
        <v>-4.664908945891888E-3</v>
      </c>
      <c r="F498">
        <v>1138.0749510000001</v>
      </c>
      <c r="G498">
        <f t="shared" si="79"/>
        <v>-9.939146585471903E-3</v>
      </c>
      <c r="H498">
        <v>298.81185909999999</v>
      </c>
      <c r="I498">
        <f t="shared" si="80"/>
        <v>-7.3352914362533328E-3</v>
      </c>
      <c r="J498">
        <v>743.09997559999999</v>
      </c>
      <c r="K498">
        <f t="shared" si="81"/>
        <v>5.6160272433649627E-3</v>
      </c>
      <c r="L498">
        <v>298.2000122</v>
      </c>
      <c r="M498">
        <f t="shared" si="82"/>
        <v>-2.3418591980105541E-3</v>
      </c>
      <c r="N498">
        <v>473.25</v>
      </c>
      <c r="O498">
        <f t="shared" si="83"/>
        <v>-3.1595576619273258E-3</v>
      </c>
      <c r="P498">
        <v>152.3500061</v>
      </c>
      <c r="Q498">
        <f t="shared" si="84"/>
        <v>3.2927229497161647E-3</v>
      </c>
      <c r="R498">
        <v>175.3999939</v>
      </c>
      <c r="S498">
        <f t="shared" si="85"/>
        <v>-2.6637087028717921E-2</v>
      </c>
      <c r="T498">
        <v>1503.6999510000001</v>
      </c>
      <c r="U498">
        <f t="shared" si="86"/>
        <v>1.4539639477143762E-2</v>
      </c>
      <c r="W498">
        <f t="shared" si="87"/>
        <v>-5.5130514802532379E-3</v>
      </c>
      <c r="X498">
        <v>-4.1251460618579542E-3</v>
      </c>
    </row>
    <row r="499" spans="1:24" x14ac:dyDescent="0.35">
      <c r="A499" s="1">
        <v>43549</v>
      </c>
      <c r="B499">
        <v>1210.9879149999999</v>
      </c>
      <c r="C499">
        <f t="shared" si="77"/>
        <v>-1.2893639406894808E-2</v>
      </c>
      <c r="D499">
        <v>1984.25</v>
      </c>
      <c r="E499">
        <f t="shared" si="78"/>
        <v>-1.0669869490650519E-2</v>
      </c>
      <c r="F499">
        <v>1140.650024</v>
      </c>
      <c r="G499">
        <f t="shared" si="79"/>
        <v>2.2626567764603145E-3</v>
      </c>
      <c r="H499">
        <v>294.71112060000002</v>
      </c>
      <c r="I499">
        <f t="shared" si="80"/>
        <v>-1.3723479758638413E-2</v>
      </c>
      <c r="J499">
        <v>735.25</v>
      </c>
      <c r="K499">
        <f t="shared" si="81"/>
        <v>-1.0563821636061399E-2</v>
      </c>
      <c r="L499">
        <v>295.0499878</v>
      </c>
      <c r="M499">
        <f t="shared" si="82"/>
        <v>-1.0563461673795405E-2</v>
      </c>
      <c r="N499">
        <v>464.64999390000003</v>
      </c>
      <c r="O499">
        <f t="shared" si="83"/>
        <v>-1.8172226307448414E-2</v>
      </c>
      <c r="P499">
        <v>158.6499939</v>
      </c>
      <c r="Q499">
        <f t="shared" si="84"/>
        <v>4.1352067920921387E-2</v>
      </c>
      <c r="R499">
        <v>171.3000031</v>
      </c>
      <c r="S499">
        <f t="shared" si="85"/>
        <v>-2.3375090892748362E-2</v>
      </c>
      <c r="T499">
        <v>1471.1999510000001</v>
      </c>
      <c r="U499">
        <f t="shared" si="86"/>
        <v>-2.1613354431771259E-2</v>
      </c>
      <c r="W499">
        <f t="shared" si="87"/>
        <v>-7.7960218900626869E-3</v>
      </c>
      <c r="X499">
        <v>-4.1237024932258559E-3</v>
      </c>
    </row>
    <row r="500" spans="1:24" x14ac:dyDescent="0.35">
      <c r="A500" s="1">
        <v>43550</v>
      </c>
      <c r="B500">
        <v>1250.1214600000001</v>
      </c>
      <c r="C500">
        <f t="shared" si="77"/>
        <v>3.2315388547870194E-2</v>
      </c>
      <c r="D500">
        <v>1982.650024</v>
      </c>
      <c r="E500">
        <f t="shared" si="78"/>
        <v>-8.0633791104944841E-4</v>
      </c>
      <c r="F500">
        <v>1155.6750489999999</v>
      </c>
      <c r="G500">
        <f t="shared" si="79"/>
        <v>1.3172335671646662E-2</v>
      </c>
      <c r="H500">
        <v>295.43212890000001</v>
      </c>
      <c r="I500">
        <f t="shared" si="80"/>
        <v>2.4464916645565715E-3</v>
      </c>
      <c r="J500">
        <v>727.75</v>
      </c>
      <c r="K500">
        <f t="shared" si="81"/>
        <v>-1.0200612036722179E-2</v>
      </c>
      <c r="L500">
        <v>293.39999390000003</v>
      </c>
      <c r="M500">
        <f t="shared" si="82"/>
        <v>-5.5922520529586572E-3</v>
      </c>
      <c r="N500">
        <v>469.7999878</v>
      </c>
      <c r="O500">
        <f t="shared" si="83"/>
        <v>1.10835983376949E-2</v>
      </c>
      <c r="P500">
        <v>160.0500031</v>
      </c>
      <c r="Q500">
        <f t="shared" si="84"/>
        <v>8.8245146790391082E-3</v>
      </c>
      <c r="R500">
        <v>173.1000061</v>
      </c>
      <c r="S500">
        <f t="shared" si="85"/>
        <v>1.0507898233657498E-2</v>
      </c>
      <c r="T500">
        <v>1477.9499510000001</v>
      </c>
      <c r="U500">
        <f t="shared" si="86"/>
        <v>4.5880915068083894E-3</v>
      </c>
      <c r="W500">
        <f t="shared" si="87"/>
        <v>6.6339116640543039E-3</v>
      </c>
      <c r="X500">
        <v>-4.0997164061066802E-3</v>
      </c>
    </row>
    <row r="501" spans="1:24" x14ac:dyDescent="0.35">
      <c r="A501" s="1">
        <v>43551</v>
      </c>
      <c r="B501">
        <v>1233.663452</v>
      </c>
      <c r="C501">
        <f t="shared" si="77"/>
        <v>-1.3165127170923108E-2</v>
      </c>
      <c r="D501">
        <v>1967.900024</v>
      </c>
      <c r="E501">
        <f t="shared" si="78"/>
        <v>-7.4395379020256724E-3</v>
      </c>
      <c r="F501">
        <v>1149.724976</v>
      </c>
      <c r="G501">
        <f t="shared" si="79"/>
        <v>-5.1485692324573229E-3</v>
      </c>
      <c r="H501">
        <v>290.65545650000001</v>
      </c>
      <c r="I501">
        <f t="shared" si="80"/>
        <v>-1.6168425613643511E-2</v>
      </c>
      <c r="J501">
        <v>729.70001219999995</v>
      </c>
      <c r="K501">
        <f t="shared" si="81"/>
        <v>2.6795083476467418E-3</v>
      </c>
      <c r="L501">
        <v>293.10000609999997</v>
      </c>
      <c r="M501">
        <f t="shared" si="82"/>
        <v>-1.0224533273245351E-3</v>
      </c>
      <c r="N501">
        <v>464.85000609999997</v>
      </c>
      <c r="O501">
        <f t="shared" si="83"/>
        <v>-1.0536359788300587E-2</v>
      </c>
      <c r="P501">
        <v>160.1000061</v>
      </c>
      <c r="Q501">
        <f t="shared" si="84"/>
        <v>3.124211123493037E-4</v>
      </c>
      <c r="R501">
        <v>169.8500061</v>
      </c>
      <c r="S501">
        <f t="shared" si="85"/>
        <v>-1.87752737462209E-2</v>
      </c>
      <c r="T501">
        <v>1479.400024</v>
      </c>
      <c r="U501">
        <f t="shared" si="86"/>
        <v>9.811380953859139E-4</v>
      </c>
      <c r="W501">
        <f t="shared" si="87"/>
        <v>-6.8282679225513685E-3</v>
      </c>
      <c r="X501">
        <v>-4.0795235901223805E-3</v>
      </c>
    </row>
    <row r="502" spans="1:24" x14ac:dyDescent="0.35">
      <c r="A502" s="1">
        <v>43552</v>
      </c>
      <c r="B502">
        <v>1243.492432</v>
      </c>
      <c r="C502">
        <f t="shared" si="77"/>
        <v>7.9673106827193863E-3</v>
      </c>
      <c r="D502">
        <v>2000.3000489999999</v>
      </c>
      <c r="E502">
        <f t="shared" si="78"/>
        <v>1.6464263735381568E-2</v>
      </c>
      <c r="F502">
        <v>1151.400024</v>
      </c>
      <c r="G502">
        <f t="shared" si="79"/>
        <v>1.4569119006422326E-3</v>
      </c>
      <c r="H502">
        <v>297.3698425</v>
      </c>
      <c r="I502">
        <f t="shared" si="80"/>
        <v>2.3100842767078689E-2</v>
      </c>
      <c r="J502">
        <v>737.79998780000005</v>
      </c>
      <c r="K502">
        <f t="shared" si="81"/>
        <v>1.1100418616657448E-2</v>
      </c>
      <c r="L502">
        <v>300</v>
      </c>
      <c r="M502">
        <f t="shared" si="82"/>
        <v>2.3541432126909845E-2</v>
      </c>
      <c r="N502">
        <v>475.4500122</v>
      </c>
      <c r="O502">
        <f t="shared" si="83"/>
        <v>2.2803067572122915E-2</v>
      </c>
      <c r="P502">
        <v>155.8999939</v>
      </c>
      <c r="Q502">
        <f t="shared" si="84"/>
        <v>-2.6233679200340809E-2</v>
      </c>
      <c r="R502">
        <v>170.5500031</v>
      </c>
      <c r="S502">
        <f t="shared" si="85"/>
        <v>4.1212656747735554E-3</v>
      </c>
      <c r="T502">
        <v>1472.5</v>
      </c>
      <c r="U502">
        <f t="shared" si="86"/>
        <v>-4.6640691415860136E-3</v>
      </c>
      <c r="W502">
        <f t="shared" si="87"/>
        <v>7.9657764734358816E-3</v>
      </c>
      <c r="X502">
        <v>-4.0294197883741344E-3</v>
      </c>
    </row>
    <row r="503" spans="1:24" x14ac:dyDescent="0.35">
      <c r="A503" s="1">
        <v>43556</v>
      </c>
      <c r="B503">
        <v>1272.614014</v>
      </c>
      <c r="C503">
        <f t="shared" si="77"/>
        <v>2.3419187162371013E-2</v>
      </c>
      <c r="D503">
        <v>2031.650024</v>
      </c>
      <c r="E503">
        <f t="shared" si="78"/>
        <v>1.5672636220587455E-2</v>
      </c>
      <c r="F503">
        <v>1155.900024</v>
      </c>
      <c r="G503">
        <f t="shared" si="79"/>
        <v>3.9082854839336267E-3</v>
      </c>
      <c r="H503">
        <v>307.14846799999998</v>
      </c>
      <c r="I503">
        <f t="shared" si="80"/>
        <v>3.2883716175758471E-2</v>
      </c>
      <c r="J503">
        <v>755.09997559999999</v>
      </c>
      <c r="K503">
        <f t="shared" si="81"/>
        <v>2.3448072765066996E-2</v>
      </c>
      <c r="L503">
        <v>297.25</v>
      </c>
      <c r="M503">
        <f t="shared" si="82"/>
        <v>-9.1666666666666563E-3</v>
      </c>
      <c r="N503">
        <v>478.85000609999997</v>
      </c>
      <c r="O503">
        <f t="shared" si="83"/>
        <v>7.1511069781395875E-3</v>
      </c>
      <c r="P503">
        <v>157.25</v>
      </c>
      <c r="Q503">
        <f t="shared" si="84"/>
        <v>8.6594365158598752E-3</v>
      </c>
      <c r="R503">
        <v>187.3500061</v>
      </c>
      <c r="S503">
        <f t="shared" si="85"/>
        <v>9.8504853090794153E-2</v>
      </c>
      <c r="T503">
        <v>1492.9499510000001</v>
      </c>
      <c r="U503">
        <f t="shared" si="86"/>
        <v>1.388791239388798E-2</v>
      </c>
      <c r="W503">
        <f t="shared" si="87"/>
        <v>2.1836854011973248E-2</v>
      </c>
      <c r="X503">
        <v>-3.9743241237014115E-3</v>
      </c>
    </row>
    <row r="504" spans="1:24" x14ac:dyDescent="0.35">
      <c r="A504" s="1">
        <v>43557</v>
      </c>
      <c r="B504">
        <v>1270.648193</v>
      </c>
      <c r="C504">
        <f t="shared" si="77"/>
        <v>-1.54471110515364E-3</v>
      </c>
      <c r="D504">
        <v>2079.3000489999999</v>
      </c>
      <c r="E504">
        <f t="shared" si="78"/>
        <v>2.3453854963752407E-2</v>
      </c>
      <c r="F504">
        <v>1147.4250489999999</v>
      </c>
      <c r="G504">
        <f t="shared" si="79"/>
        <v>-7.3319273501460946E-3</v>
      </c>
      <c r="H504">
        <v>321.25314329999998</v>
      </c>
      <c r="I504">
        <f t="shared" si="80"/>
        <v>4.5921359764034442E-2</v>
      </c>
      <c r="J504">
        <v>759.40002440000001</v>
      </c>
      <c r="K504">
        <f t="shared" si="81"/>
        <v>5.6946747966495348E-3</v>
      </c>
      <c r="L504">
        <v>297.89999390000003</v>
      </c>
      <c r="M504">
        <f t="shared" si="82"/>
        <v>2.1866910008412344E-3</v>
      </c>
      <c r="N504">
        <v>469.7000122</v>
      </c>
      <c r="O504">
        <f t="shared" si="83"/>
        <v>-1.9108267272506141E-2</v>
      </c>
      <c r="P504">
        <v>157.5</v>
      </c>
      <c r="Q504">
        <f t="shared" si="84"/>
        <v>1.5898251192367763E-3</v>
      </c>
      <c r="R504">
        <v>202.9499969</v>
      </c>
      <c r="S504">
        <f t="shared" si="85"/>
        <v>8.3266561473573475E-2</v>
      </c>
      <c r="T504">
        <v>1492.849976</v>
      </c>
      <c r="U504">
        <f t="shared" si="86"/>
        <v>-6.6964736448849038E-5</v>
      </c>
      <c r="W504">
        <f t="shared" si="87"/>
        <v>1.3406109665383317E-2</v>
      </c>
      <c r="X504">
        <v>-3.9701189641805912E-3</v>
      </c>
    </row>
    <row r="505" spans="1:24" x14ac:dyDescent="0.35">
      <c r="A505" s="1">
        <v>43558</v>
      </c>
      <c r="B505">
        <v>1257.3903809999999</v>
      </c>
      <c r="C505">
        <f t="shared" si="77"/>
        <v>-1.04338967095986E-2</v>
      </c>
      <c r="D505">
        <v>2079.3000489999999</v>
      </c>
      <c r="E505">
        <f t="shared" si="78"/>
        <v>0</v>
      </c>
      <c r="F505">
        <v>1146.375</v>
      </c>
      <c r="G505">
        <f t="shared" si="79"/>
        <v>-9.1513515494112685E-4</v>
      </c>
      <c r="H505">
        <v>315.44003300000003</v>
      </c>
      <c r="I505">
        <f t="shared" si="80"/>
        <v>-1.8095107927306509E-2</v>
      </c>
      <c r="J505">
        <v>753.29998780000005</v>
      </c>
      <c r="K505">
        <f t="shared" si="81"/>
        <v>-8.0327052989227488E-3</v>
      </c>
      <c r="L505">
        <v>296.14999390000003</v>
      </c>
      <c r="M505">
        <f t="shared" si="82"/>
        <v>-5.8744546352271776E-3</v>
      </c>
      <c r="N505">
        <v>462</v>
      </c>
      <c r="O505">
        <f t="shared" si="83"/>
        <v>-1.6393468171172487E-2</v>
      </c>
      <c r="P505">
        <v>155.4499969</v>
      </c>
      <c r="Q505">
        <f t="shared" si="84"/>
        <v>-1.3015892698412634E-2</v>
      </c>
      <c r="R505">
        <v>201.3500061</v>
      </c>
      <c r="S505">
        <f t="shared" si="85"/>
        <v>-7.8836699898466867E-3</v>
      </c>
      <c r="T505">
        <v>1478.5500489999999</v>
      </c>
      <c r="U505">
        <f t="shared" si="86"/>
        <v>-9.5789444551660496E-3</v>
      </c>
      <c r="W505">
        <f t="shared" si="87"/>
        <v>-9.0223275040594037E-3</v>
      </c>
      <c r="X505">
        <v>-3.9527348131686117E-3</v>
      </c>
    </row>
    <row r="506" spans="1:24" x14ac:dyDescent="0.35">
      <c r="A506" s="1">
        <v>43559</v>
      </c>
      <c r="B506">
        <v>1237.137939</v>
      </c>
      <c r="C506">
        <f t="shared" si="77"/>
        <v>-1.6106725728165072E-2</v>
      </c>
      <c r="D506">
        <v>2014.5</v>
      </c>
      <c r="E506">
        <f t="shared" si="78"/>
        <v>-3.1164356982131713E-2</v>
      </c>
      <c r="F506">
        <v>1141.974976</v>
      </c>
      <c r="G506">
        <f t="shared" si="79"/>
        <v>-3.8382065205539995E-3</v>
      </c>
      <c r="H506">
        <v>321.56860349999999</v>
      </c>
      <c r="I506">
        <f t="shared" si="80"/>
        <v>1.9428638913437934E-2</v>
      </c>
      <c r="J506">
        <v>747.90002440000001</v>
      </c>
      <c r="K506">
        <f t="shared" si="81"/>
        <v>-7.168410311236717E-3</v>
      </c>
      <c r="L506">
        <v>294.7999878</v>
      </c>
      <c r="M506">
        <f t="shared" si="82"/>
        <v>-4.5585214513153005E-3</v>
      </c>
      <c r="N506">
        <v>465.60000609999997</v>
      </c>
      <c r="O506">
        <f t="shared" si="83"/>
        <v>7.7922209956708954E-3</v>
      </c>
      <c r="P506">
        <v>155.25</v>
      </c>
      <c r="Q506">
        <f t="shared" si="84"/>
        <v>-1.2865674106681269E-3</v>
      </c>
      <c r="R506">
        <v>206.1499939</v>
      </c>
      <c r="S506">
        <f t="shared" si="85"/>
        <v>2.3839024855137447E-2</v>
      </c>
      <c r="T506">
        <v>1443.849976</v>
      </c>
      <c r="U506">
        <f t="shared" si="86"/>
        <v>-2.3468987758289983E-2</v>
      </c>
      <c r="W506">
        <f t="shared" si="87"/>
        <v>-3.653189139811463E-3</v>
      </c>
      <c r="X506">
        <v>-3.9349630148769353E-3</v>
      </c>
    </row>
    <row r="507" spans="1:24" x14ac:dyDescent="0.35">
      <c r="A507" s="1">
        <v>43560</v>
      </c>
      <c r="B507">
        <v>1237.915039</v>
      </c>
      <c r="C507">
        <f t="shared" si="77"/>
        <v>6.2814337472194559E-4</v>
      </c>
      <c r="D507">
        <v>2048.3000489999999</v>
      </c>
      <c r="E507">
        <f t="shared" si="78"/>
        <v>1.6778381236038697E-2</v>
      </c>
      <c r="F507">
        <v>1152.8000489999999</v>
      </c>
      <c r="G507">
        <f t="shared" si="79"/>
        <v>9.4792558746925604E-3</v>
      </c>
      <c r="H507">
        <v>321.4334106</v>
      </c>
      <c r="I507">
        <f t="shared" si="80"/>
        <v>-4.2041697643535603E-4</v>
      </c>
      <c r="J507">
        <v>759.29998780000005</v>
      </c>
      <c r="K507">
        <f t="shared" si="81"/>
        <v>1.5242630068297736E-2</v>
      </c>
      <c r="L507">
        <v>294.5499878</v>
      </c>
      <c r="M507">
        <f t="shared" si="82"/>
        <v>-8.4803259954546739E-4</v>
      </c>
      <c r="N507">
        <v>463.14999390000003</v>
      </c>
      <c r="O507">
        <f t="shared" si="83"/>
        <v>-5.2620536252178107E-3</v>
      </c>
      <c r="P507">
        <v>156.5500031</v>
      </c>
      <c r="Q507">
        <f t="shared" si="84"/>
        <v>8.3736109500804901E-3</v>
      </c>
      <c r="R507">
        <v>205.1499939</v>
      </c>
      <c r="S507">
        <f t="shared" si="85"/>
        <v>-4.8508369128794637E-3</v>
      </c>
      <c r="T507">
        <v>1449.3000489999999</v>
      </c>
      <c r="U507">
        <f t="shared" si="86"/>
        <v>3.7746809506473689E-3</v>
      </c>
      <c r="W507">
        <f t="shared" si="87"/>
        <v>4.2895362340400704E-3</v>
      </c>
      <c r="X507">
        <v>-3.9305368234340051E-3</v>
      </c>
    </row>
    <row r="508" spans="1:24" x14ac:dyDescent="0.35">
      <c r="A508" s="1">
        <v>43563</v>
      </c>
      <c r="B508">
        <v>1215.3767089999999</v>
      </c>
      <c r="C508">
        <f t="shared" si="77"/>
        <v>-1.8206685668999412E-2</v>
      </c>
      <c r="D508">
        <v>2070.75</v>
      </c>
      <c r="E508">
        <f t="shared" si="78"/>
        <v>1.0960284364080586E-2</v>
      </c>
      <c r="F508">
        <v>1144.6999510000001</v>
      </c>
      <c r="G508">
        <f t="shared" si="79"/>
        <v>-7.0264552877372655E-3</v>
      </c>
      <c r="H508">
        <v>319.90127560000002</v>
      </c>
      <c r="I508">
        <f t="shared" si="80"/>
        <v>-4.7665704605506232E-3</v>
      </c>
      <c r="J508">
        <v>767.25</v>
      </c>
      <c r="K508">
        <f t="shared" si="81"/>
        <v>1.0470186128982206E-2</v>
      </c>
      <c r="L508">
        <v>292.75</v>
      </c>
      <c r="M508">
        <f t="shared" si="82"/>
        <v>-6.1109756392935255E-3</v>
      </c>
      <c r="N508">
        <v>462.4500122</v>
      </c>
      <c r="O508">
        <f t="shared" si="83"/>
        <v>-1.5113499065513292E-3</v>
      </c>
      <c r="P508">
        <v>158.1000061</v>
      </c>
      <c r="Q508">
        <f t="shared" si="84"/>
        <v>9.9010090661568739E-3</v>
      </c>
      <c r="R508">
        <v>200.5500031</v>
      </c>
      <c r="S508">
        <f t="shared" si="85"/>
        <v>-2.2422573418365621E-2</v>
      </c>
      <c r="T508">
        <v>1481.849976</v>
      </c>
      <c r="U508">
        <f t="shared" si="86"/>
        <v>2.245906706651879E-2</v>
      </c>
      <c r="W508">
        <f t="shared" si="87"/>
        <v>-6.2540637557593169E-4</v>
      </c>
      <c r="X508">
        <v>-3.9048638918979146E-3</v>
      </c>
    </row>
    <row r="509" spans="1:24" x14ac:dyDescent="0.35">
      <c r="A509" s="1">
        <v>43564</v>
      </c>
      <c r="B509">
        <v>1220.1313479999999</v>
      </c>
      <c r="C509">
        <f t="shared" si="77"/>
        <v>3.9120701958423876E-3</v>
      </c>
      <c r="D509">
        <v>2091.5</v>
      </c>
      <c r="E509">
        <f t="shared" si="78"/>
        <v>1.0020523964747063E-2</v>
      </c>
      <c r="F509">
        <v>1143.625</v>
      </c>
      <c r="G509">
        <f t="shared" si="79"/>
        <v>-9.3906791824438507E-4</v>
      </c>
      <c r="H509">
        <v>316.88204960000002</v>
      </c>
      <c r="I509">
        <f t="shared" si="80"/>
        <v>-9.4379930006130985E-3</v>
      </c>
      <c r="J509">
        <v>760.59997559999999</v>
      </c>
      <c r="K509">
        <f t="shared" si="81"/>
        <v>-8.6673501466275615E-3</v>
      </c>
      <c r="L509">
        <v>296.2999878</v>
      </c>
      <c r="M509">
        <f t="shared" si="82"/>
        <v>1.2126346029035062E-2</v>
      </c>
      <c r="N509">
        <v>470.9500122</v>
      </c>
      <c r="O509">
        <f t="shared" si="83"/>
        <v>1.8380364960016271E-2</v>
      </c>
      <c r="P509">
        <v>157.5500031</v>
      </c>
      <c r="Q509">
        <f t="shared" si="84"/>
        <v>-3.4788297202982266E-3</v>
      </c>
      <c r="R509">
        <v>205.8999939</v>
      </c>
      <c r="S509">
        <f t="shared" si="85"/>
        <v>2.6676592955884093E-2</v>
      </c>
      <c r="T509">
        <v>1486.1999510000001</v>
      </c>
      <c r="U509">
        <f t="shared" si="86"/>
        <v>2.9355029661923826E-3</v>
      </c>
      <c r="W509">
        <f t="shared" si="87"/>
        <v>5.1528160285933986E-3</v>
      </c>
      <c r="X509">
        <v>-3.8830346757377844E-3</v>
      </c>
    </row>
    <row r="510" spans="1:24" x14ac:dyDescent="0.35">
      <c r="A510" s="1">
        <v>43565</v>
      </c>
      <c r="B510">
        <v>1217.342529</v>
      </c>
      <c r="C510">
        <f t="shared" si="77"/>
        <v>-2.2856711325147661E-3</v>
      </c>
      <c r="D510">
        <v>2040.25</v>
      </c>
      <c r="E510">
        <f t="shared" si="78"/>
        <v>-2.4503944537413336E-2</v>
      </c>
      <c r="F510">
        <v>1118.6750489999999</v>
      </c>
      <c r="G510">
        <f t="shared" si="79"/>
        <v>-2.1816549131052576E-2</v>
      </c>
      <c r="H510">
        <v>306.42745969999999</v>
      </c>
      <c r="I510">
        <f t="shared" si="80"/>
        <v>-3.2992054656288849E-2</v>
      </c>
      <c r="J510">
        <v>752.70001219999995</v>
      </c>
      <c r="K510">
        <f t="shared" si="81"/>
        <v>-1.0386489157810153E-2</v>
      </c>
      <c r="L510">
        <v>294.7000122</v>
      </c>
      <c r="M510">
        <f t="shared" si="82"/>
        <v>-5.399850374209092E-3</v>
      </c>
      <c r="N510">
        <v>471.9500122</v>
      </c>
      <c r="O510">
        <f t="shared" si="83"/>
        <v>2.1233676061045426E-3</v>
      </c>
      <c r="P510">
        <v>158</v>
      </c>
      <c r="Q510">
        <f t="shared" si="84"/>
        <v>2.8562163830259113E-3</v>
      </c>
      <c r="R510">
        <v>216.0500031</v>
      </c>
      <c r="S510">
        <f t="shared" si="85"/>
        <v>4.929582079021122E-2</v>
      </c>
      <c r="T510">
        <v>1522.3000489999999</v>
      </c>
      <c r="U510">
        <f t="shared" si="86"/>
        <v>2.4290202657932802E-2</v>
      </c>
      <c r="W510">
        <f t="shared" si="87"/>
        <v>-1.8818951552014304E-3</v>
      </c>
      <c r="X510">
        <v>-3.8674800539006187E-3</v>
      </c>
    </row>
    <row r="511" spans="1:24" x14ac:dyDescent="0.35">
      <c r="A511" s="1">
        <v>43566</v>
      </c>
      <c r="B511">
        <v>1231.4233400000001</v>
      </c>
      <c r="C511">
        <f t="shared" si="77"/>
        <v>1.1566843895256751E-2</v>
      </c>
      <c r="D511">
        <v>2019.5</v>
      </c>
      <c r="E511">
        <f t="shared" si="78"/>
        <v>-1.0170322264428378E-2</v>
      </c>
      <c r="F511">
        <v>1128.75</v>
      </c>
      <c r="G511">
        <f t="shared" si="79"/>
        <v>9.006146162825468E-3</v>
      </c>
      <c r="H511">
        <v>312.15045170000002</v>
      </c>
      <c r="I511">
        <f t="shared" si="80"/>
        <v>1.8676498527915752E-2</v>
      </c>
      <c r="J511">
        <v>742.70001219999995</v>
      </c>
      <c r="K511">
        <f t="shared" si="81"/>
        <v>-1.3285505298149092E-2</v>
      </c>
      <c r="L511">
        <v>296.39999390000003</v>
      </c>
      <c r="M511">
        <f t="shared" si="82"/>
        <v>5.7685158792810665E-3</v>
      </c>
      <c r="N511">
        <v>465.5499878</v>
      </c>
      <c r="O511">
        <f t="shared" si="83"/>
        <v>-1.356080990477404E-2</v>
      </c>
      <c r="P511">
        <v>158.6000061</v>
      </c>
      <c r="Q511">
        <f t="shared" si="84"/>
        <v>3.7975069620252988E-3</v>
      </c>
      <c r="R511">
        <v>218.1999969</v>
      </c>
      <c r="S511">
        <f t="shared" si="85"/>
        <v>9.9513712990082492E-3</v>
      </c>
      <c r="T511">
        <v>1472.599976</v>
      </c>
      <c r="U511">
        <f t="shared" si="86"/>
        <v>-3.264801379507809E-2</v>
      </c>
      <c r="W511">
        <f t="shared" si="87"/>
        <v>-1.0897768536117015E-3</v>
      </c>
      <c r="X511">
        <v>-3.8544153258231024E-3</v>
      </c>
    </row>
    <row r="512" spans="1:24" x14ac:dyDescent="0.35">
      <c r="A512" s="1">
        <v>43567</v>
      </c>
      <c r="B512">
        <v>1228.040283</v>
      </c>
      <c r="C512">
        <f t="shared" si="77"/>
        <v>-2.7472737360979549E-3</v>
      </c>
      <c r="D512">
        <v>2014.5</v>
      </c>
      <c r="E512">
        <f t="shared" si="78"/>
        <v>-2.4758603614756236E-3</v>
      </c>
      <c r="F512">
        <v>1132.625</v>
      </c>
      <c r="G512">
        <f t="shared" si="79"/>
        <v>3.4330011074197309E-3</v>
      </c>
      <c r="H512">
        <v>308.18490600000001</v>
      </c>
      <c r="I512">
        <f t="shared" si="80"/>
        <v>-1.2703956308258713E-2</v>
      </c>
      <c r="J512">
        <v>747.75</v>
      </c>
      <c r="K512">
        <f t="shared" si="81"/>
        <v>6.7994987438348975E-3</v>
      </c>
      <c r="L512">
        <v>305.75</v>
      </c>
      <c r="M512">
        <f t="shared" si="82"/>
        <v>3.1545230406295088E-2</v>
      </c>
      <c r="N512">
        <v>465.0499878</v>
      </c>
      <c r="O512">
        <f t="shared" si="83"/>
        <v>-1.0739985245468153E-3</v>
      </c>
      <c r="P512">
        <v>157.6000061</v>
      </c>
      <c r="Q512">
        <f t="shared" si="84"/>
        <v>-6.3051699970899655E-3</v>
      </c>
      <c r="R512">
        <v>215.9499969</v>
      </c>
      <c r="S512">
        <f t="shared" si="85"/>
        <v>-1.031164084310765E-2</v>
      </c>
      <c r="T512">
        <v>1465.349976</v>
      </c>
      <c r="U512">
        <f t="shared" si="86"/>
        <v>-4.9232650537541778E-3</v>
      </c>
      <c r="W512">
        <f t="shared" si="87"/>
        <v>1.2365654332188193E-4</v>
      </c>
      <c r="X512">
        <v>-3.7911128640716555E-3</v>
      </c>
    </row>
    <row r="513" spans="1:24" x14ac:dyDescent="0.35">
      <c r="A513" s="1">
        <v>43570</v>
      </c>
      <c r="B513">
        <v>1225.343018</v>
      </c>
      <c r="C513">
        <f t="shared" si="77"/>
        <v>-2.1963978196307687E-3</v>
      </c>
      <c r="D513">
        <v>2113.3000489999999</v>
      </c>
      <c r="E513">
        <f t="shared" si="78"/>
        <v>4.9044452221394863E-2</v>
      </c>
      <c r="F513">
        <v>1144.400024</v>
      </c>
      <c r="G513">
        <f t="shared" si="79"/>
        <v>1.0396224699260603E-2</v>
      </c>
      <c r="H513">
        <v>313.36715700000002</v>
      </c>
      <c r="I513">
        <f t="shared" si="80"/>
        <v>1.6815395235482367E-2</v>
      </c>
      <c r="J513">
        <v>727.5</v>
      </c>
      <c r="K513">
        <f t="shared" si="81"/>
        <v>-2.7081243731193583E-2</v>
      </c>
      <c r="L513">
        <v>305.5</v>
      </c>
      <c r="M513">
        <f t="shared" si="82"/>
        <v>-8.1766148814388373E-4</v>
      </c>
      <c r="N513">
        <v>458.64999390000003</v>
      </c>
      <c r="O513">
        <f t="shared" si="83"/>
        <v>-1.3761948323611994E-2</v>
      </c>
      <c r="P513">
        <v>156.4499969</v>
      </c>
      <c r="Q513">
        <f t="shared" si="84"/>
        <v>-7.2970124079202447E-3</v>
      </c>
      <c r="R513">
        <v>231.75</v>
      </c>
      <c r="S513">
        <f t="shared" si="85"/>
        <v>7.31650999157758E-2</v>
      </c>
      <c r="T513">
        <v>1453.25</v>
      </c>
      <c r="U513">
        <f t="shared" si="86"/>
        <v>-8.2573966616695804E-3</v>
      </c>
      <c r="W513">
        <f t="shared" si="87"/>
        <v>9.0009511639743585E-3</v>
      </c>
      <c r="X513">
        <v>-3.7716795333395566E-3</v>
      </c>
    </row>
    <row r="514" spans="1:24" x14ac:dyDescent="0.35">
      <c r="A514" s="1">
        <v>43571</v>
      </c>
      <c r="B514">
        <v>1228.634644</v>
      </c>
      <c r="C514">
        <f t="shared" si="77"/>
        <v>2.6862894321399988E-3</v>
      </c>
      <c r="D514">
        <v>2131.8000489999999</v>
      </c>
      <c r="E514">
        <f t="shared" si="78"/>
        <v>8.7540810916812983E-3</v>
      </c>
      <c r="F514">
        <v>1152.525024</v>
      </c>
      <c r="G514">
        <f t="shared" si="79"/>
        <v>7.0997901342231273E-3</v>
      </c>
      <c r="H514">
        <v>314.3134766</v>
      </c>
      <c r="I514">
        <f t="shared" si="80"/>
        <v>3.0198429505488011E-3</v>
      </c>
      <c r="J514">
        <v>724.09997559999999</v>
      </c>
      <c r="K514">
        <f t="shared" si="81"/>
        <v>-4.6735730584192003E-3</v>
      </c>
      <c r="L514">
        <v>307.2000122</v>
      </c>
      <c r="M514">
        <f t="shared" si="82"/>
        <v>5.5646880523732012E-3</v>
      </c>
      <c r="N514">
        <v>462.5499878</v>
      </c>
      <c r="O514">
        <f t="shared" si="83"/>
        <v>8.5032027730720383E-3</v>
      </c>
      <c r="P514">
        <v>160.4499969</v>
      </c>
      <c r="Q514">
        <f t="shared" si="84"/>
        <v>2.5567274396027795E-2</v>
      </c>
      <c r="R514">
        <v>230.5</v>
      </c>
      <c r="S514">
        <f t="shared" si="85"/>
        <v>-5.3937432578209377E-3</v>
      </c>
      <c r="T514">
        <v>1410.650024</v>
      </c>
      <c r="U514">
        <f t="shared" si="86"/>
        <v>-2.9313590916910326E-2</v>
      </c>
      <c r="W514">
        <f t="shared" si="87"/>
        <v>2.1814261596915805E-3</v>
      </c>
      <c r="X514">
        <v>-3.7412821648254548E-3</v>
      </c>
    </row>
    <row r="515" spans="1:24" x14ac:dyDescent="0.35">
      <c r="A515" s="1">
        <v>43573</v>
      </c>
      <c r="B515">
        <v>1267.219482</v>
      </c>
      <c r="C515">
        <f t="shared" si="77"/>
        <v>3.1404647580489442E-2</v>
      </c>
      <c r="D515">
        <v>2150.0500489999999</v>
      </c>
      <c r="E515">
        <f t="shared" si="78"/>
        <v>8.5608404074111188E-3</v>
      </c>
      <c r="F515">
        <v>1146.8249510000001</v>
      </c>
      <c r="G515">
        <f t="shared" si="79"/>
        <v>-4.9457260200885811E-3</v>
      </c>
      <c r="H515">
        <v>312.6912231</v>
      </c>
      <c r="I515">
        <f t="shared" si="80"/>
        <v>-5.1612597638137636E-3</v>
      </c>
      <c r="J515">
        <v>717.04998780000005</v>
      </c>
      <c r="K515">
        <f t="shared" si="81"/>
        <v>-9.7362077579938866E-3</v>
      </c>
      <c r="L515">
        <v>304.39999390000003</v>
      </c>
      <c r="M515">
        <f t="shared" si="82"/>
        <v>-9.1146425416710475E-3</v>
      </c>
      <c r="N515">
        <v>463.2000122</v>
      </c>
      <c r="O515">
        <f t="shared" si="83"/>
        <v>1.40530627422919E-3</v>
      </c>
      <c r="P515">
        <v>160.6000061</v>
      </c>
      <c r="Q515">
        <f t="shared" si="84"/>
        <v>9.3492803302130945E-4</v>
      </c>
      <c r="R515">
        <v>236.25</v>
      </c>
      <c r="S515">
        <f t="shared" si="85"/>
        <v>2.4945770065075923E-2</v>
      </c>
      <c r="T515">
        <v>1358.5</v>
      </c>
      <c r="U515">
        <f t="shared" si="86"/>
        <v>-3.696878964502115E-2</v>
      </c>
      <c r="W515">
        <f t="shared" si="87"/>
        <v>1.324866631638548E-4</v>
      </c>
      <c r="X515">
        <v>-3.7351255868096405E-3</v>
      </c>
    </row>
    <row r="516" spans="1:24" x14ac:dyDescent="0.35">
      <c r="A516" s="1">
        <v>43577</v>
      </c>
      <c r="B516">
        <v>1230.097534</v>
      </c>
      <c r="C516">
        <f t="shared" ref="C516:C579" si="88">B516/B515 - 1</f>
        <v>-2.9294016172645931E-2</v>
      </c>
      <c r="D516">
        <v>2161.4499510000001</v>
      </c>
      <c r="E516">
        <f t="shared" ref="E516:E579" si="89">D516/D515 - 1</f>
        <v>5.3021565731934395E-3</v>
      </c>
      <c r="F516">
        <v>1134.349976</v>
      </c>
      <c r="G516">
        <f t="shared" ref="G516:G579" si="90">F516/F515 - 1</f>
        <v>-1.0877837100703336E-2</v>
      </c>
      <c r="H516">
        <v>314.899292</v>
      </c>
      <c r="I516">
        <f t="shared" ref="I516:I579" si="91">H516/H515 - 1</f>
        <v>7.0614994501903006E-3</v>
      </c>
      <c r="J516">
        <v>721.04998780000005</v>
      </c>
      <c r="K516">
        <f t="shared" ref="K516:K579" si="92">J516/J515 -1</f>
        <v>5.578411642223946E-3</v>
      </c>
      <c r="L516">
        <v>301.7999878</v>
      </c>
      <c r="M516">
        <f t="shared" ref="M516:M579" si="93">L516/L515 -1</f>
        <v>-8.541413114660501E-3</v>
      </c>
      <c r="N516">
        <v>454.5</v>
      </c>
      <c r="O516">
        <f t="shared" ref="O516:O579" si="94">N516/N515-1</f>
        <v>-1.8782409263503053E-2</v>
      </c>
      <c r="P516">
        <v>157.8999939</v>
      </c>
      <c r="Q516">
        <f t="shared" ref="Q516:Q579" si="95">P516/P515 -1</f>
        <v>-1.681203049468627E-2</v>
      </c>
      <c r="R516">
        <v>234.8500061</v>
      </c>
      <c r="S516">
        <f t="shared" ref="S516:S579" si="96">R516/R515 - 1</f>
        <v>-5.9259001058200589E-3</v>
      </c>
      <c r="T516">
        <v>1324.8000489999999</v>
      </c>
      <c r="U516">
        <f t="shared" ref="U516:U579" si="97">T516/T515 - 1</f>
        <v>-2.4806736105999261E-2</v>
      </c>
      <c r="W516">
        <f t="shared" ref="W516:W579" si="98">0.1*C516+0.1*E516+0.1*G516+0.1*I516+0.1*K516+0.1*M516+0.1*O516+0.1*Q516+0.1*S516+0.1*U516</f>
        <v>-9.7098274692410738E-3</v>
      </c>
      <c r="X516">
        <v>-3.7332814742901954E-3</v>
      </c>
    </row>
    <row r="517" spans="1:24" x14ac:dyDescent="0.35">
      <c r="A517" s="1">
        <v>43578</v>
      </c>
      <c r="B517">
        <v>1247.0126949999999</v>
      </c>
      <c r="C517">
        <f t="shared" si="88"/>
        <v>1.3751073010443093E-2</v>
      </c>
      <c r="D517">
        <v>2155.0500489999999</v>
      </c>
      <c r="E517">
        <f t="shared" si="89"/>
        <v>-2.9609299984203474E-3</v>
      </c>
      <c r="F517">
        <v>1122.650024</v>
      </c>
      <c r="G517">
        <f t="shared" si="90"/>
        <v>-1.031423480190552E-2</v>
      </c>
      <c r="H517">
        <v>310.66723630000001</v>
      </c>
      <c r="I517">
        <f t="shared" si="91"/>
        <v>-1.3439394141286254E-2</v>
      </c>
      <c r="J517">
        <v>728.20001219999995</v>
      </c>
      <c r="K517">
        <f t="shared" si="92"/>
        <v>9.9161285916047337E-3</v>
      </c>
      <c r="L517">
        <v>303.39999390000003</v>
      </c>
      <c r="M517">
        <f t="shared" si="93"/>
        <v>5.3015446145754375E-3</v>
      </c>
      <c r="N517">
        <v>468.5499878</v>
      </c>
      <c r="O517">
        <f t="shared" si="94"/>
        <v>3.0913064466446594E-2</v>
      </c>
      <c r="P517">
        <v>163.75</v>
      </c>
      <c r="Q517">
        <f t="shared" si="95"/>
        <v>3.7048805104481941E-2</v>
      </c>
      <c r="R517">
        <v>231.6499939</v>
      </c>
      <c r="S517">
        <f t="shared" si="96"/>
        <v>-1.3625770137887239E-2</v>
      </c>
      <c r="T517">
        <v>1286.0500489999999</v>
      </c>
      <c r="U517">
        <f t="shared" si="97"/>
        <v>-2.9249696985782614E-2</v>
      </c>
      <c r="W517">
        <f t="shared" si="98"/>
        <v>2.7340589722269831E-3</v>
      </c>
      <c r="X517">
        <v>-3.6974666584345455E-3</v>
      </c>
    </row>
    <row r="518" spans="1:24" x14ac:dyDescent="0.35">
      <c r="A518" s="1">
        <v>43579</v>
      </c>
      <c r="B518">
        <v>1270.465332</v>
      </c>
      <c r="C518">
        <f t="shared" si="88"/>
        <v>1.8807055528813343E-2</v>
      </c>
      <c r="D518">
        <v>2183.4499510000001</v>
      </c>
      <c r="E518">
        <f t="shared" si="89"/>
        <v>1.3178302755974647E-2</v>
      </c>
      <c r="F518">
        <v>1139.875</v>
      </c>
      <c r="G518">
        <f t="shared" si="90"/>
        <v>1.5343139564213848E-2</v>
      </c>
      <c r="H518">
        <v>318.51977540000001</v>
      </c>
      <c r="I518">
        <f t="shared" si="91"/>
        <v>2.5276367065682814E-2</v>
      </c>
      <c r="J518">
        <v>736.45001219999995</v>
      </c>
      <c r="K518">
        <f t="shared" si="92"/>
        <v>1.1329304946144481E-2</v>
      </c>
      <c r="L518">
        <v>306.4500122</v>
      </c>
      <c r="M518">
        <f t="shared" si="93"/>
        <v>1.005279618102195E-2</v>
      </c>
      <c r="N518">
        <v>469.35000609999997</v>
      </c>
      <c r="O518">
        <f t="shared" si="94"/>
        <v>1.7074342563880851E-3</v>
      </c>
      <c r="P518">
        <v>168.6499939</v>
      </c>
      <c r="Q518">
        <f t="shared" si="95"/>
        <v>2.9923626870228981E-2</v>
      </c>
      <c r="R518">
        <v>223.6000061</v>
      </c>
      <c r="S518">
        <f t="shared" si="96"/>
        <v>-3.4750649738739314E-2</v>
      </c>
      <c r="T518">
        <v>1331.150024</v>
      </c>
      <c r="U518">
        <f t="shared" si="97"/>
        <v>3.5068600195667932E-2</v>
      </c>
      <c r="W518">
        <f t="shared" si="98"/>
        <v>1.2593597762539677E-2</v>
      </c>
      <c r="X518">
        <v>-3.6853985091916727E-3</v>
      </c>
    </row>
    <row r="519" spans="1:24" x14ac:dyDescent="0.35">
      <c r="A519" s="1">
        <v>43580</v>
      </c>
      <c r="B519">
        <v>1254.8302000000001</v>
      </c>
      <c r="C519">
        <f t="shared" si="88"/>
        <v>-1.2306618375321321E-2</v>
      </c>
      <c r="D519">
        <v>2195</v>
      </c>
      <c r="E519">
        <f t="shared" si="89"/>
        <v>5.2898162354078071E-3</v>
      </c>
      <c r="F519">
        <v>1131.724976</v>
      </c>
      <c r="G519">
        <f t="shared" si="90"/>
        <v>-7.149927842965309E-3</v>
      </c>
      <c r="H519">
        <v>322.44607539999998</v>
      </c>
      <c r="I519">
        <f t="shared" si="91"/>
        <v>1.2326707172480189E-2</v>
      </c>
      <c r="J519">
        <v>728.54998780000005</v>
      </c>
      <c r="K519">
        <f t="shared" si="92"/>
        <v>-1.0727169894939825E-2</v>
      </c>
      <c r="L519">
        <v>304.14999390000003</v>
      </c>
      <c r="M519">
        <f t="shared" si="93"/>
        <v>-7.5053620767974172E-3</v>
      </c>
      <c r="N519">
        <v>461</v>
      </c>
      <c r="O519">
        <f t="shared" si="94"/>
        <v>-1.7790574180201246E-2</v>
      </c>
      <c r="P519">
        <v>168.8500061</v>
      </c>
      <c r="Q519">
        <f t="shared" si="95"/>
        <v>1.185960315649881E-3</v>
      </c>
      <c r="R519">
        <v>221.8500061</v>
      </c>
      <c r="S519">
        <f t="shared" si="96"/>
        <v>-7.8264756362186327E-3</v>
      </c>
      <c r="T519">
        <v>1328.0500489999999</v>
      </c>
      <c r="U519">
        <f t="shared" si="97"/>
        <v>-2.3287946092543921E-3</v>
      </c>
      <c r="W519">
        <f t="shared" si="98"/>
        <v>-4.6832438892160273E-3</v>
      </c>
      <c r="X519">
        <v>-3.6831741073652608E-3</v>
      </c>
    </row>
    <row r="520" spans="1:24" x14ac:dyDescent="0.35">
      <c r="A520" s="1">
        <v>43581</v>
      </c>
      <c r="B520">
        <v>1273.4826660000001</v>
      </c>
      <c r="C520">
        <f t="shared" si="88"/>
        <v>1.4864533862828599E-2</v>
      </c>
      <c r="D520">
        <v>2238.5500489999999</v>
      </c>
      <c r="E520">
        <f t="shared" si="89"/>
        <v>1.984056902050102E-2</v>
      </c>
      <c r="F520">
        <v>1140.474976</v>
      </c>
      <c r="G520">
        <f t="shared" si="90"/>
        <v>7.7315603928140852E-3</v>
      </c>
      <c r="H520">
        <v>319.4522705</v>
      </c>
      <c r="I520">
        <f t="shared" si="91"/>
        <v>-9.2846684404085389E-3</v>
      </c>
      <c r="J520">
        <v>738</v>
      </c>
      <c r="K520">
        <f t="shared" si="92"/>
        <v>1.2970986697201203E-2</v>
      </c>
      <c r="L520">
        <v>304.5499878</v>
      </c>
      <c r="M520">
        <f t="shared" si="93"/>
        <v>1.3151205261292542E-3</v>
      </c>
      <c r="N520">
        <v>464.10000609999997</v>
      </c>
      <c r="O520">
        <f t="shared" si="94"/>
        <v>6.7245251626897318E-3</v>
      </c>
      <c r="P520">
        <v>168.3999939</v>
      </c>
      <c r="Q520">
        <f t="shared" si="95"/>
        <v>-2.6651595128369676E-3</v>
      </c>
      <c r="R520">
        <v>215.6000061</v>
      </c>
      <c r="S520">
        <f t="shared" si="96"/>
        <v>-2.8172187640972068E-2</v>
      </c>
      <c r="T520">
        <v>1301.150024</v>
      </c>
      <c r="U520">
        <f t="shared" si="97"/>
        <v>-2.0255279550838612E-2</v>
      </c>
      <c r="W520">
        <f t="shared" si="98"/>
        <v>3.0700005171077063E-4</v>
      </c>
      <c r="X520">
        <v>-3.6734767643702539E-3</v>
      </c>
    </row>
    <row r="521" spans="1:24" x14ac:dyDescent="0.35">
      <c r="A521" s="1">
        <v>43585</v>
      </c>
      <c r="B521">
        <v>1273.4826660000001</v>
      </c>
      <c r="C521">
        <f t="shared" si="88"/>
        <v>0</v>
      </c>
      <c r="D521">
        <v>2260.3500979999999</v>
      </c>
      <c r="E521">
        <f t="shared" si="89"/>
        <v>9.7384684384154152E-3</v>
      </c>
      <c r="F521">
        <v>1158.724976</v>
      </c>
      <c r="G521">
        <f t="shared" si="90"/>
        <v>1.6002104723076283E-2</v>
      </c>
      <c r="H521">
        <v>314.39718629999999</v>
      </c>
      <c r="I521">
        <f t="shared" si="91"/>
        <v>-1.5824223731726539E-2</v>
      </c>
      <c r="J521">
        <v>751.34997559999999</v>
      </c>
      <c r="K521">
        <f t="shared" si="92"/>
        <v>1.8089397831978271E-2</v>
      </c>
      <c r="L521">
        <v>301.35000609999997</v>
      </c>
      <c r="M521">
        <f t="shared" si="93"/>
        <v>-1.0507246193362074E-2</v>
      </c>
      <c r="N521">
        <v>457.64999390000003</v>
      </c>
      <c r="O521">
        <f t="shared" si="94"/>
        <v>-1.3897892943811274E-2</v>
      </c>
      <c r="P521">
        <v>169.1999969</v>
      </c>
      <c r="Q521">
        <f t="shared" si="95"/>
        <v>4.7506118110376416E-3</v>
      </c>
      <c r="R521">
        <v>214.3000031</v>
      </c>
      <c r="S521">
        <f t="shared" si="96"/>
        <v>-6.0296983451708641E-3</v>
      </c>
      <c r="T521">
        <v>1295.5</v>
      </c>
      <c r="U521">
        <f t="shared" si="97"/>
        <v>-4.3423309347762062E-3</v>
      </c>
      <c r="W521">
        <f t="shared" si="98"/>
        <v>-2.0208093443393484E-4</v>
      </c>
      <c r="X521">
        <v>-3.6566572211995546E-3</v>
      </c>
    </row>
    <row r="522" spans="1:24" x14ac:dyDescent="0.35">
      <c r="A522" s="1">
        <v>43587</v>
      </c>
      <c r="B522">
        <v>1284.6832280000001</v>
      </c>
      <c r="C522">
        <f t="shared" si="88"/>
        <v>8.7952214027229303E-3</v>
      </c>
      <c r="D522">
        <v>2215.3999020000001</v>
      </c>
      <c r="E522">
        <f t="shared" si="89"/>
        <v>-1.9886386644162979E-2</v>
      </c>
      <c r="F522">
        <v>1177.900024</v>
      </c>
      <c r="G522">
        <f t="shared" si="90"/>
        <v>1.6548403113043841E-2</v>
      </c>
      <c r="H522">
        <v>318.22531129999999</v>
      </c>
      <c r="I522">
        <f t="shared" si="91"/>
        <v>1.2176079070717716E-2</v>
      </c>
      <c r="J522">
        <v>730.79998780000005</v>
      </c>
      <c r="K522">
        <f t="shared" si="92"/>
        <v>-2.7350753267263328E-2</v>
      </c>
      <c r="L522">
        <v>305</v>
      </c>
      <c r="M522">
        <f t="shared" si="93"/>
        <v>1.211214145052586E-2</v>
      </c>
      <c r="N522">
        <v>452.2000122</v>
      </c>
      <c r="O522">
        <f t="shared" si="94"/>
        <v>-1.1908623997908041E-2</v>
      </c>
      <c r="P522">
        <v>168.8999939</v>
      </c>
      <c r="Q522">
        <f t="shared" si="95"/>
        <v>-1.7730674083717979E-3</v>
      </c>
      <c r="R522">
        <v>207.3000031</v>
      </c>
      <c r="S522">
        <f t="shared" si="96"/>
        <v>-3.2664488561549576E-2</v>
      </c>
      <c r="T522">
        <v>1265.1999510000001</v>
      </c>
      <c r="U522">
        <f t="shared" si="97"/>
        <v>-2.3388690852952476E-2</v>
      </c>
      <c r="W522">
        <f t="shared" si="98"/>
        <v>-6.7340165695197853E-3</v>
      </c>
      <c r="X522">
        <v>-3.653189139811463E-3</v>
      </c>
    </row>
    <row r="523" spans="1:24" x14ac:dyDescent="0.35">
      <c r="A523" s="1">
        <v>43588</v>
      </c>
      <c r="B523">
        <v>1288.1575929999999</v>
      </c>
      <c r="C523">
        <f t="shared" si="88"/>
        <v>2.7044526808439606E-3</v>
      </c>
      <c r="D523">
        <v>2132</v>
      </c>
      <c r="E523">
        <f t="shared" si="89"/>
        <v>-3.7645529335227024E-2</v>
      </c>
      <c r="F523">
        <v>1183.974976</v>
      </c>
      <c r="G523">
        <f t="shared" si="90"/>
        <v>5.1574428017839846E-3</v>
      </c>
      <c r="H523">
        <v>325.3417053</v>
      </c>
      <c r="I523">
        <f t="shared" si="91"/>
        <v>2.2362752890172199E-2</v>
      </c>
      <c r="J523">
        <v>723.59997559999999</v>
      </c>
      <c r="K523">
        <f t="shared" si="92"/>
        <v>-9.8522336072760508E-3</v>
      </c>
      <c r="L523">
        <v>304.25</v>
      </c>
      <c r="M523">
        <f t="shared" si="93"/>
        <v>-2.4590163934425924E-3</v>
      </c>
      <c r="N523">
        <v>453.25</v>
      </c>
      <c r="O523">
        <f t="shared" si="94"/>
        <v>2.3219543822914357E-3</v>
      </c>
      <c r="P523">
        <v>170.25</v>
      </c>
      <c r="Q523">
        <f t="shared" si="95"/>
        <v>7.9929316089810687E-3</v>
      </c>
      <c r="R523">
        <v>209.4499969</v>
      </c>
      <c r="S523">
        <f t="shared" si="96"/>
        <v>1.0371412290634874E-2</v>
      </c>
      <c r="T523">
        <v>1262.4499510000001</v>
      </c>
      <c r="U523">
        <f t="shared" si="97"/>
        <v>-2.173569480323212E-3</v>
      </c>
      <c r="W523">
        <f t="shared" si="98"/>
        <v>-1.2194021615613559E-4</v>
      </c>
      <c r="X523">
        <v>-3.6389622765987555E-3</v>
      </c>
    </row>
    <row r="524" spans="1:24" x14ac:dyDescent="0.35">
      <c r="A524" s="1">
        <v>43591</v>
      </c>
      <c r="B524">
        <v>1266.259399</v>
      </c>
      <c r="C524">
        <f t="shared" si="88"/>
        <v>-1.6999623430391742E-2</v>
      </c>
      <c r="D524">
        <v>2157.8500979999999</v>
      </c>
      <c r="E524">
        <f t="shared" si="89"/>
        <v>1.2124811444652828E-2</v>
      </c>
      <c r="F524">
        <v>1164.224976</v>
      </c>
      <c r="G524">
        <f t="shared" si="90"/>
        <v>-1.668109580045718E-2</v>
      </c>
      <c r="H524">
        <v>327.30484009999998</v>
      </c>
      <c r="I524">
        <f t="shared" si="91"/>
        <v>6.0340705418930884E-3</v>
      </c>
      <c r="J524">
        <v>718.40002440000001</v>
      </c>
      <c r="K524">
        <f t="shared" si="92"/>
        <v>-7.1862235701268817E-3</v>
      </c>
      <c r="L524">
        <v>307</v>
      </c>
      <c r="M524">
        <f t="shared" si="93"/>
        <v>9.0386195562859317E-3</v>
      </c>
      <c r="N524">
        <v>453.14999390000003</v>
      </c>
      <c r="O524">
        <f t="shared" si="94"/>
        <v>-2.2064225041362739E-4</v>
      </c>
      <c r="P524">
        <v>170.1499939</v>
      </c>
      <c r="Q524">
        <f t="shared" si="95"/>
        <v>-5.8740734214390855E-4</v>
      </c>
      <c r="R524">
        <v>199.8000031</v>
      </c>
      <c r="S524">
        <f t="shared" si="96"/>
        <v>-4.6073019540827764E-2</v>
      </c>
      <c r="T524">
        <v>1249.650024</v>
      </c>
      <c r="U524">
        <f t="shared" si="97"/>
        <v>-1.0138957976006169E-2</v>
      </c>
      <c r="W524">
        <f t="shared" si="98"/>
        <v>-7.0689468367535428E-3</v>
      </c>
      <c r="X524">
        <v>-3.607534069095919E-3</v>
      </c>
    </row>
    <row r="525" spans="1:24" x14ac:dyDescent="0.35">
      <c r="A525" s="1">
        <v>43592</v>
      </c>
      <c r="B525">
        <v>1228.4060059999999</v>
      </c>
      <c r="C525">
        <f t="shared" si="88"/>
        <v>-2.9893869320846922E-2</v>
      </c>
      <c r="D525">
        <v>2151.9499510000001</v>
      </c>
      <c r="E525">
        <f t="shared" si="89"/>
        <v>-2.7342710253452918E-3</v>
      </c>
      <c r="F525">
        <v>1161.1750489999999</v>
      </c>
      <c r="G525">
        <f t="shared" si="90"/>
        <v>-2.6197058668839812E-3</v>
      </c>
      <c r="H525">
        <v>318.96148679999999</v>
      </c>
      <c r="I525">
        <f t="shared" si="91"/>
        <v>-2.5491078278741308E-2</v>
      </c>
      <c r="J525">
        <v>724.54998780000005</v>
      </c>
      <c r="K525">
        <f t="shared" si="92"/>
        <v>8.5606391858581432E-3</v>
      </c>
      <c r="L525">
        <v>301.89999390000003</v>
      </c>
      <c r="M525">
        <f t="shared" si="93"/>
        <v>-1.6612397719869665E-2</v>
      </c>
      <c r="N525">
        <v>448.2000122</v>
      </c>
      <c r="O525">
        <f t="shared" si="94"/>
        <v>-1.0923495016293416E-2</v>
      </c>
      <c r="P525">
        <v>171.6999969</v>
      </c>
      <c r="Q525">
        <f t="shared" si="95"/>
        <v>9.109627126469233E-3</v>
      </c>
      <c r="R525">
        <v>190.9499969</v>
      </c>
      <c r="S525">
        <f t="shared" si="96"/>
        <v>-4.4294324638076032E-2</v>
      </c>
      <c r="T525">
        <v>1255.099976</v>
      </c>
      <c r="U525">
        <f t="shared" si="97"/>
        <v>4.3611826474065918E-3</v>
      </c>
      <c r="W525">
        <f t="shared" si="98"/>
        <v>-1.1053769290632263E-2</v>
      </c>
      <c r="X525">
        <v>-3.5965874241298498E-3</v>
      </c>
    </row>
    <row r="526" spans="1:24" x14ac:dyDescent="0.35">
      <c r="A526" s="1">
        <v>43593</v>
      </c>
      <c r="B526">
        <v>1188.129639</v>
      </c>
      <c r="C526">
        <f t="shared" si="88"/>
        <v>-3.2787504134036194E-2</v>
      </c>
      <c r="D526">
        <v>2152.8500979999999</v>
      </c>
      <c r="E526">
        <f t="shared" si="89"/>
        <v>4.1829365017598263E-4</v>
      </c>
      <c r="F526">
        <v>1153.625</v>
      </c>
      <c r="G526">
        <f t="shared" si="90"/>
        <v>-6.5020765013009685E-3</v>
      </c>
      <c r="H526">
        <v>318.51977540000001</v>
      </c>
      <c r="I526">
        <f t="shared" si="91"/>
        <v>-1.3848424285686223E-3</v>
      </c>
      <c r="J526">
        <v>719.34997559999999</v>
      </c>
      <c r="K526">
        <f t="shared" si="92"/>
        <v>-7.1768853599586402E-3</v>
      </c>
      <c r="L526">
        <v>300.64999390000003</v>
      </c>
      <c r="M526">
        <f t="shared" si="93"/>
        <v>-4.1404439392405123E-3</v>
      </c>
      <c r="N526">
        <v>439.14999390000003</v>
      </c>
      <c r="O526">
        <f t="shared" si="94"/>
        <v>-2.0191918905976269E-2</v>
      </c>
      <c r="P526">
        <v>168.8999939</v>
      </c>
      <c r="Q526">
        <f t="shared" si="95"/>
        <v>-1.6307530871015441E-2</v>
      </c>
      <c r="R526">
        <v>185.1000061</v>
      </c>
      <c r="S526">
        <f t="shared" si="96"/>
        <v>-3.0636244540310886E-2</v>
      </c>
      <c r="T526">
        <v>1245.5500489999999</v>
      </c>
      <c r="U526">
        <f t="shared" si="97"/>
        <v>-7.6088974445172042E-3</v>
      </c>
      <c r="W526">
        <f t="shared" si="98"/>
        <v>-1.2631805047474874E-2</v>
      </c>
      <c r="X526">
        <v>-3.5814555765741017E-3</v>
      </c>
    </row>
    <row r="527" spans="1:24" x14ac:dyDescent="0.35">
      <c r="A527" s="1">
        <v>43594</v>
      </c>
      <c r="B527">
        <v>1148.8133539999999</v>
      </c>
      <c r="C527">
        <f t="shared" si="88"/>
        <v>-3.3090904990040526E-2</v>
      </c>
      <c r="D527">
        <v>2172.5500489999999</v>
      </c>
      <c r="E527">
        <f t="shared" si="89"/>
        <v>9.1506375749530466E-3</v>
      </c>
      <c r="F527">
        <v>1145.4499510000001</v>
      </c>
      <c r="G527">
        <f t="shared" si="90"/>
        <v>-7.0864006934662216E-3</v>
      </c>
      <c r="H527">
        <v>309.6365662</v>
      </c>
      <c r="I527">
        <f t="shared" si="91"/>
        <v>-2.7889035112009575E-2</v>
      </c>
      <c r="J527">
        <v>721.04998780000005</v>
      </c>
      <c r="K527">
        <f t="shared" si="92"/>
        <v>2.3632616357318614E-3</v>
      </c>
      <c r="L527">
        <v>299.85000609999997</v>
      </c>
      <c r="M527">
        <f t="shared" si="93"/>
        <v>-2.6608608555839242E-3</v>
      </c>
      <c r="N527">
        <v>439.35000609999997</v>
      </c>
      <c r="O527">
        <f t="shared" si="94"/>
        <v>4.5545304059713132E-4</v>
      </c>
      <c r="P527">
        <v>169.3999939</v>
      </c>
      <c r="Q527">
        <f t="shared" si="95"/>
        <v>2.9603316640498534E-3</v>
      </c>
      <c r="R527">
        <v>186.3500061</v>
      </c>
      <c r="S527">
        <f t="shared" si="96"/>
        <v>6.7531062064076774E-3</v>
      </c>
      <c r="T527">
        <v>1251.599976</v>
      </c>
      <c r="U527">
        <f t="shared" si="97"/>
        <v>4.8572331596448137E-3</v>
      </c>
      <c r="W527">
        <f t="shared" si="98"/>
        <v>-4.4187178369715857E-3</v>
      </c>
      <c r="X527">
        <v>-3.5763909097504044E-3</v>
      </c>
    </row>
    <row r="528" spans="1:24" x14ac:dyDescent="0.35">
      <c r="A528" s="1">
        <v>43595</v>
      </c>
      <c r="B528">
        <v>1143.9674070000001</v>
      </c>
      <c r="C528">
        <f t="shared" si="88"/>
        <v>-4.2182195942682688E-3</v>
      </c>
      <c r="D528">
        <v>2135.8000489999999</v>
      </c>
      <c r="E528">
        <f t="shared" si="89"/>
        <v>-1.6915605703498371E-2</v>
      </c>
      <c r="F528">
        <v>1148.25</v>
      </c>
      <c r="G528">
        <f t="shared" si="90"/>
        <v>2.4444970271773059E-3</v>
      </c>
      <c r="H528">
        <v>318.12716669999998</v>
      </c>
      <c r="I528">
        <f t="shared" si="91"/>
        <v>2.7421181561985586E-2</v>
      </c>
      <c r="J528">
        <v>716.84997559999999</v>
      </c>
      <c r="K528">
        <f t="shared" si="92"/>
        <v>-5.8248557951089408E-3</v>
      </c>
      <c r="L528">
        <v>297.75</v>
      </c>
      <c r="M528">
        <f t="shared" si="93"/>
        <v>-7.0035219519042347E-3</v>
      </c>
      <c r="N528">
        <v>437.75</v>
      </c>
      <c r="O528">
        <f t="shared" si="94"/>
        <v>-3.6417573182775387E-3</v>
      </c>
      <c r="P528">
        <v>166.3000031</v>
      </c>
      <c r="Q528">
        <f t="shared" si="95"/>
        <v>-1.8299828285885167E-2</v>
      </c>
      <c r="R528">
        <v>185.8999939</v>
      </c>
      <c r="S528">
        <f t="shared" si="96"/>
        <v>-2.4148762289737391E-3</v>
      </c>
      <c r="T528">
        <v>1250.75</v>
      </c>
      <c r="U528">
        <f t="shared" si="97"/>
        <v>-6.7911155025457415E-4</v>
      </c>
      <c r="W528">
        <f t="shared" si="98"/>
        <v>-2.9132097839007936E-3</v>
      </c>
      <c r="X528">
        <v>-3.566694837997487E-3</v>
      </c>
    </row>
    <row r="529" spans="1:24" x14ac:dyDescent="0.35">
      <c r="A529" s="1">
        <v>43598</v>
      </c>
      <c r="B529">
        <v>1126.5036620000001</v>
      </c>
      <c r="C529">
        <f t="shared" si="88"/>
        <v>-1.5265946296317834E-2</v>
      </c>
      <c r="D529">
        <v>2128.75</v>
      </c>
      <c r="E529">
        <f t="shared" si="89"/>
        <v>-3.3008937345520017E-3</v>
      </c>
      <c r="F529">
        <v>1143.599976</v>
      </c>
      <c r="G529">
        <f t="shared" si="90"/>
        <v>-4.0496616590464107E-3</v>
      </c>
      <c r="H529">
        <v>312.77758790000001</v>
      </c>
      <c r="I529">
        <f t="shared" si="91"/>
        <v>-1.6815850263566801E-2</v>
      </c>
      <c r="J529">
        <v>719.70001219999995</v>
      </c>
      <c r="K529">
        <f t="shared" si="92"/>
        <v>3.97577833160212E-3</v>
      </c>
      <c r="L529">
        <v>289.2999878</v>
      </c>
      <c r="M529">
        <f t="shared" si="93"/>
        <v>-2.837955398824521E-2</v>
      </c>
      <c r="N529">
        <v>398.10000609999997</v>
      </c>
      <c r="O529">
        <f t="shared" si="94"/>
        <v>-9.0576799314677436E-2</v>
      </c>
      <c r="P529">
        <v>164.1000061</v>
      </c>
      <c r="Q529">
        <f t="shared" si="95"/>
        <v>-1.3229085742572644E-2</v>
      </c>
      <c r="R529">
        <v>180.75</v>
      </c>
      <c r="S529">
        <f t="shared" si="96"/>
        <v>-2.7703034260293191E-2</v>
      </c>
      <c r="T529">
        <v>1251.900024</v>
      </c>
      <c r="U529">
        <f t="shared" si="97"/>
        <v>9.1946751948834837E-4</v>
      </c>
      <c r="W529">
        <f t="shared" si="98"/>
        <v>-1.9442557940818107E-2</v>
      </c>
      <c r="X529">
        <v>-3.5560268286172311E-3</v>
      </c>
    </row>
    <row r="530" spans="1:24" x14ac:dyDescent="0.35">
      <c r="A530" s="1">
        <v>43599</v>
      </c>
      <c r="B530">
        <v>1152.470703</v>
      </c>
      <c r="C530">
        <f t="shared" si="88"/>
        <v>2.3051004515953322E-2</v>
      </c>
      <c r="D530">
        <v>2092.3500979999999</v>
      </c>
      <c r="E530">
        <f t="shared" si="89"/>
        <v>-1.7099190604815129E-2</v>
      </c>
      <c r="F530">
        <v>1143.9499510000001</v>
      </c>
      <c r="G530">
        <f t="shared" si="90"/>
        <v>3.060292124386077E-4</v>
      </c>
      <c r="H530">
        <v>330.39678959999998</v>
      </c>
      <c r="I530">
        <f t="shared" si="91"/>
        <v>5.6331407305414416E-2</v>
      </c>
      <c r="J530">
        <v>713.84997559999999</v>
      </c>
      <c r="K530">
        <f t="shared" si="92"/>
        <v>-8.1284375445783708E-3</v>
      </c>
      <c r="L530">
        <v>294.35000609999997</v>
      </c>
      <c r="M530">
        <f t="shared" si="93"/>
        <v>1.7455992094583817E-2</v>
      </c>
      <c r="N530">
        <v>419.4500122</v>
      </c>
      <c r="O530">
        <f t="shared" si="94"/>
        <v>5.3629755772063525E-2</v>
      </c>
      <c r="P530">
        <v>164.1499939</v>
      </c>
      <c r="Q530">
        <f t="shared" si="95"/>
        <v>3.0461790458158333E-4</v>
      </c>
      <c r="R530">
        <v>184.5</v>
      </c>
      <c r="S530">
        <f t="shared" si="96"/>
        <v>2.0746887966804906E-2</v>
      </c>
      <c r="T530">
        <v>1250.25</v>
      </c>
      <c r="U530">
        <f t="shared" si="97"/>
        <v>-1.3180157906922396E-3</v>
      </c>
      <c r="W530">
        <f t="shared" si="98"/>
        <v>1.4528005083175444E-2</v>
      </c>
      <c r="X530">
        <v>-3.544528067332841E-3</v>
      </c>
    </row>
    <row r="531" spans="1:24" x14ac:dyDescent="0.35">
      <c r="A531" s="1">
        <v>43600</v>
      </c>
      <c r="B531">
        <v>1149.224731</v>
      </c>
      <c r="C531">
        <f t="shared" si="88"/>
        <v>-2.8165332025797962E-3</v>
      </c>
      <c r="D531">
        <v>2095.3999020000001</v>
      </c>
      <c r="E531">
        <f t="shared" si="89"/>
        <v>1.4575973700172717E-3</v>
      </c>
      <c r="F531">
        <v>1143.349976</v>
      </c>
      <c r="G531">
        <f t="shared" si="90"/>
        <v>-5.244766167222803E-4</v>
      </c>
      <c r="H531">
        <v>325.14538570000002</v>
      </c>
      <c r="I531">
        <f t="shared" si="91"/>
        <v>-1.5894234040099597E-2</v>
      </c>
      <c r="J531">
        <v>716.09997559999999</v>
      </c>
      <c r="K531">
        <f t="shared" si="92"/>
        <v>3.1519227805658634E-3</v>
      </c>
      <c r="L531">
        <v>297.0499878</v>
      </c>
      <c r="M531">
        <f t="shared" si="93"/>
        <v>9.1726911637390884E-3</v>
      </c>
      <c r="N531">
        <v>409.75</v>
      </c>
      <c r="O531">
        <f t="shared" si="94"/>
        <v>-2.3125549929355782E-2</v>
      </c>
      <c r="P531">
        <v>162.75</v>
      </c>
      <c r="Q531">
        <f t="shared" si="95"/>
        <v>-8.5287478039924869E-3</v>
      </c>
      <c r="R531">
        <v>169.4499969</v>
      </c>
      <c r="S531">
        <f t="shared" si="96"/>
        <v>-8.1571832520325183E-2</v>
      </c>
      <c r="T531">
        <v>1237.599976</v>
      </c>
      <c r="U531">
        <f t="shared" si="97"/>
        <v>-1.0117995600879892E-2</v>
      </c>
      <c r="W531">
        <f t="shared" si="98"/>
        <v>-1.2879715839963279E-2</v>
      </c>
      <c r="X531">
        <v>-3.5423650940292865E-3</v>
      </c>
    </row>
    <row r="532" spans="1:24" x14ac:dyDescent="0.35">
      <c r="A532" s="1">
        <v>43601</v>
      </c>
      <c r="B532">
        <v>1156.950928</v>
      </c>
      <c r="C532">
        <f t="shared" si="88"/>
        <v>6.7229644399289246E-3</v>
      </c>
      <c r="D532">
        <v>2108.75</v>
      </c>
      <c r="E532">
        <f t="shared" si="89"/>
        <v>6.3711456640127562E-3</v>
      </c>
      <c r="F532">
        <v>1155.3249510000001</v>
      </c>
      <c r="G532">
        <f t="shared" si="90"/>
        <v>1.047358661071951E-2</v>
      </c>
      <c r="H532">
        <v>319.2068787</v>
      </c>
      <c r="I532">
        <f t="shared" si="91"/>
        <v>-1.8264158930673791E-2</v>
      </c>
      <c r="J532">
        <v>733.09997559999999</v>
      </c>
      <c r="K532">
        <f t="shared" si="92"/>
        <v>2.3739701967949722E-2</v>
      </c>
      <c r="L532">
        <v>294.75</v>
      </c>
      <c r="M532">
        <f t="shared" si="93"/>
        <v>-7.7427634891826802E-3</v>
      </c>
      <c r="N532">
        <v>412.39999390000003</v>
      </c>
      <c r="O532">
        <f t="shared" si="94"/>
        <v>6.4673432580841794E-3</v>
      </c>
      <c r="P532">
        <v>165.9499969</v>
      </c>
      <c r="Q532">
        <f t="shared" si="95"/>
        <v>1.9662039324116698E-2</v>
      </c>
      <c r="R532">
        <v>175.3999939</v>
      </c>
      <c r="S532">
        <f t="shared" si="96"/>
        <v>3.5113585770741196E-2</v>
      </c>
      <c r="T532">
        <v>1253.8000489999999</v>
      </c>
      <c r="U532">
        <f t="shared" si="97"/>
        <v>1.3089910564122453E-2</v>
      </c>
      <c r="W532">
        <f t="shared" si="98"/>
        <v>9.5633355179818979E-3</v>
      </c>
      <c r="X532">
        <v>-3.5066758585789014E-3</v>
      </c>
    </row>
    <row r="533" spans="1:24" x14ac:dyDescent="0.35">
      <c r="A533" s="1">
        <v>43602</v>
      </c>
      <c r="B533">
        <v>1158.825317</v>
      </c>
      <c r="C533">
        <f t="shared" si="88"/>
        <v>1.6201110649007866E-3</v>
      </c>
      <c r="D533">
        <v>2095.4499510000001</v>
      </c>
      <c r="E533">
        <f t="shared" si="89"/>
        <v>-6.3070771784231594E-3</v>
      </c>
      <c r="F533">
        <v>1181.0500489999999</v>
      </c>
      <c r="G533">
        <f t="shared" si="90"/>
        <v>2.226654758709512E-2</v>
      </c>
      <c r="H533">
        <v>322.39700319999997</v>
      </c>
      <c r="I533">
        <f t="shared" si="91"/>
        <v>9.9939090065730429E-3</v>
      </c>
      <c r="J533">
        <v>723.90002440000001</v>
      </c>
      <c r="K533">
        <f t="shared" si="92"/>
        <v>-1.2549381402543802E-2</v>
      </c>
      <c r="L533">
        <v>301.39999390000003</v>
      </c>
      <c r="M533">
        <f t="shared" si="93"/>
        <v>2.2561472094995816E-2</v>
      </c>
      <c r="N533">
        <v>409.10000609999997</v>
      </c>
      <c r="O533">
        <f t="shared" si="94"/>
        <v>-8.0019103996403773E-3</v>
      </c>
      <c r="P533">
        <v>167.3500061</v>
      </c>
      <c r="Q533">
        <f t="shared" si="95"/>
        <v>8.4363315827213903E-3</v>
      </c>
      <c r="R533">
        <v>176.8500061</v>
      </c>
      <c r="S533">
        <f t="shared" si="96"/>
        <v>8.2668885429191263E-3</v>
      </c>
      <c r="T533">
        <v>1234.25</v>
      </c>
      <c r="U533">
        <f t="shared" si="97"/>
        <v>-1.5592636972372564E-2</v>
      </c>
      <c r="W533">
        <f t="shared" si="98"/>
        <v>3.0694253926225384E-3</v>
      </c>
      <c r="X533">
        <v>-3.4893224709569575E-3</v>
      </c>
    </row>
    <row r="534" spans="1:24" x14ac:dyDescent="0.35">
      <c r="A534" s="1">
        <v>43605</v>
      </c>
      <c r="B534">
        <v>1212.313721</v>
      </c>
      <c r="C534">
        <f t="shared" si="88"/>
        <v>4.6157434787904128E-2</v>
      </c>
      <c r="D534">
        <v>2143.9499510000001</v>
      </c>
      <c r="E534">
        <f t="shared" si="89"/>
        <v>2.3145386973740134E-2</v>
      </c>
      <c r="F534">
        <v>1216.1750489999999</v>
      </c>
      <c r="G534">
        <f t="shared" si="90"/>
        <v>2.974048392762052E-2</v>
      </c>
      <c r="H534">
        <v>333.83230589999999</v>
      </c>
      <c r="I534">
        <f t="shared" si="91"/>
        <v>3.5469630879000791E-2</v>
      </c>
      <c r="J534">
        <v>722.40002440000001</v>
      </c>
      <c r="K534">
        <f t="shared" si="92"/>
        <v>-2.0721093375335453E-3</v>
      </c>
      <c r="L534">
        <v>307</v>
      </c>
      <c r="M534">
        <f t="shared" si="93"/>
        <v>1.8579980800722762E-2</v>
      </c>
      <c r="N534">
        <v>413.5</v>
      </c>
      <c r="O534">
        <f t="shared" si="94"/>
        <v>1.0755301477371582E-2</v>
      </c>
      <c r="P534">
        <v>176</v>
      </c>
      <c r="Q534">
        <f t="shared" si="95"/>
        <v>5.1688040541995495E-2</v>
      </c>
      <c r="R534">
        <v>190.1499939</v>
      </c>
      <c r="S534">
        <f t="shared" si="96"/>
        <v>7.5204904389313487E-2</v>
      </c>
      <c r="T534">
        <v>1318.099976</v>
      </c>
      <c r="U534">
        <f t="shared" si="97"/>
        <v>6.7935974073323857E-2</v>
      </c>
      <c r="W534">
        <f t="shared" si="98"/>
        <v>3.5660502851345928E-2</v>
      </c>
      <c r="X534">
        <v>-3.4585872719318901E-3</v>
      </c>
    </row>
    <row r="535" spans="1:24" x14ac:dyDescent="0.35">
      <c r="A535" s="1">
        <v>43606</v>
      </c>
      <c r="B535">
        <v>1225.0229489999999</v>
      </c>
      <c r="C535">
        <f t="shared" si="88"/>
        <v>1.0483448120603978E-2</v>
      </c>
      <c r="D535">
        <v>2109.75</v>
      </c>
      <c r="E535">
        <f t="shared" si="89"/>
        <v>-1.5951842058648857E-2</v>
      </c>
      <c r="F535">
        <v>1201.849976</v>
      </c>
      <c r="G535">
        <f t="shared" si="90"/>
        <v>-1.1778792051176157E-2</v>
      </c>
      <c r="H535">
        <v>324.55645750000002</v>
      </c>
      <c r="I535">
        <f t="shared" si="91"/>
        <v>-2.7785951916764362E-2</v>
      </c>
      <c r="J535">
        <v>709.29998780000005</v>
      </c>
      <c r="K535">
        <f t="shared" si="92"/>
        <v>-1.8134047837111256E-2</v>
      </c>
      <c r="L535">
        <v>305.89999390000003</v>
      </c>
      <c r="M535">
        <f t="shared" si="93"/>
        <v>-3.5830817589576069E-3</v>
      </c>
      <c r="N535">
        <v>408.85000609999997</v>
      </c>
      <c r="O535">
        <f t="shared" si="94"/>
        <v>-1.1245450785973499E-2</v>
      </c>
      <c r="P535">
        <v>174.75</v>
      </c>
      <c r="Q535">
        <f t="shared" si="95"/>
        <v>-7.1022727272727071E-3</v>
      </c>
      <c r="R535">
        <v>176.8000031</v>
      </c>
      <c r="S535">
        <f t="shared" si="96"/>
        <v>-7.0207684608292853E-2</v>
      </c>
      <c r="T535">
        <v>1272.099976</v>
      </c>
      <c r="U535">
        <f t="shared" si="97"/>
        <v>-3.4898718486889635E-2</v>
      </c>
      <c r="W535">
        <f t="shared" si="98"/>
        <v>-1.9020439411048296E-2</v>
      </c>
      <c r="X535">
        <v>-3.458118558515199E-3</v>
      </c>
    </row>
    <row r="536" spans="1:24" x14ac:dyDescent="0.35">
      <c r="A536" s="1">
        <v>43607</v>
      </c>
      <c r="B536">
        <v>1225.571533</v>
      </c>
      <c r="C536">
        <f t="shared" si="88"/>
        <v>4.4781528415271943E-4</v>
      </c>
      <c r="D536">
        <v>2081.75</v>
      </c>
      <c r="E536">
        <f t="shared" si="89"/>
        <v>-1.3271714658134814E-2</v>
      </c>
      <c r="F536">
        <v>1202.875</v>
      </c>
      <c r="G536">
        <f t="shared" si="90"/>
        <v>8.5287183963811408E-4</v>
      </c>
      <c r="H536">
        <v>328.97351070000002</v>
      </c>
      <c r="I536">
        <f t="shared" si="91"/>
        <v>1.3609506444653086E-2</v>
      </c>
      <c r="J536">
        <v>709.75</v>
      </c>
      <c r="K536">
        <f t="shared" si="92"/>
        <v>6.3444552056979298E-4</v>
      </c>
      <c r="L536">
        <v>299.75</v>
      </c>
      <c r="M536">
        <f t="shared" si="93"/>
        <v>-2.0104589809212259E-2</v>
      </c>
      <c r="N536">
        <v>421.2000122</v>
      </c>
      <c r="O536">
        <f t="shared" si="94"/>
        <v>3.0206691734717461E-2</v>
      </c>
      <c r="P536">
        <v>177</v>
      </c>
      <c r="Q536">
        <f t="shared" si="95"/>
        <v>1.2875536480686733E-2</v>
      </c>
      <c r="R536">
        <v>179.1000061</v>
      </c>
      <c r="S536">
        <f t="shared" si="96"/>
        <v>1.300906651398126E-2</v>
      </c>
      <c r="T536">
        <v>1299.150024</v>
      </c>
      <c r="U536">
        <f t="shared" si="97"/>
        <v>2.1264089702333289E-2</v>
      </c>
      <c r="W536">
        <f t="shared" si="98"/>
        <v>5.9523719053385382E-3</v>
      </c>
      <c r="X536">
        <v>-3.4401229185590742E-3</v>
      </c>
    </row>
    <row r="537" spans="1:24" x14ac:dyDescent="0.35">
      <c r="A537" s="1">
        <v>43608</v>
      </c>
      <c r="B537">
        <v>1219.628418</v>
      </c>
      <c r="C537">
        <f t="shared" si="88"/>
        <v>-4.8492599901143185E-3</v>
      </c>
      <c r="D537">
        <v>2054.0500489999999</v>
      </c>
      <c r="E537">
        <f t="shared" si="89"/>
        <v>-1.3306089107721908E-2</v>
      </c>
      <c r="F537">
        <v>1166.0500489999999</v>
      </c>
      <c r="G537">
        <f t="shared" si="90"/>
        <v>-3.0614112854619235E-2</v>
      </c>
      <c r="H537">
        <v>332.55624390000003</v>
      </c>
      <c r="I537">
        <f t="shared" si="91"/>
        <v>1.089064342103585E-2</v>
      </c>
      <c r="J537">
        <v>701.04998780000005</v>
      </c>
      <c r="K537">
        <f t="shared" si="92"/>
        <v>-1.2257854455794193E-2</v>
      </c>
      <c r="L537">
        <v>288.2000122</v>
      </c>
      <c r="M537">
        <f t="shared" si="93"/>
        <v>-3.8532069391159274E-2</v>
      </c>
      <c r="N537">
        <v>412.9500122</v>
      </c>
      <c r="O537">
        <f t="shared" si="94"/>
        <v>-1.9586894019562928E-2</v>
      </c>
      <c r="P537">
        <v>174.1499939</v>
      </c>
      <c r="Q537">
        <f t="shared" si="95"/>
        <v>-1.6101729378531049E-2</v>
      </c>
      <c r="R537">
        <v>175.1499939</v>
      </c>
      <c r="S537">
        <f t="shared" si="96"/>
        <v>-2.2054785401819155E-2</v>
      </c>
      <c r="T537">
        <v>1303.150024</v>
      </c>
      <c r="U537">
        <f t="shared" si="97"/>
        <v>3.0789361706542451E-3</v>
      </c>
      <c r="W537">
        <f t="shared" si="98"/>
        <v>-1.4333321500763194E-2</v>
      </c>
      <c r="X537">
        <v>-3.4355379007245178E-3</v>
      </c>
    </row>
    <row r="538" spans="1:24" x14ac:dyDescent="0.35">
      <c r="A538" s="1">
        <v>43609</v>
      </c>
      <c r="B538">
        <v>1222.3256839999999</v>
      </c>
      <c r="C538">
        <f t="shared" si="88"/>
        <v>2.2115473534332075E-3</v>
      </c>
      <c r="D538">
        <v>2048</v>
      </c>
      <c r="E538">
        <f t="shared" si="89"/>
        <v>-2.9454243351788589E-3</v>
      </c>
      <c r="F538">
        <v>1186.6750489999999</v>
      </c>
      <c r="G538">
        <f t="shared" si="90"/>
        <v>1.7687920014829439E-2</v>
      </c>
      <c r="H538">
        <v>346.69088749999997</v>
      </c>
      <c r="I538">
        <f t="shared" si="91"/>
        <v>4.2503016735569776E-2</v>
      </c>
      <c r="J538">
        <v>709.20001219999995</v>
      </c>
      <c r="K538">
        <f t="shared" si="92"/>
        <v>1.1625454021582549E-2</v>
      </c>
      <c r="L538">
        <v>290.4500122</v>
      </c>
      <c r="M538">
        <f t="shared" si="93"/>
        <v>7.8070780872785406E-3</v>
      </c>
      <c r="N538">
        <v>415.75</v>
      </c>
      <c r="O538">
        <f t="shared" si="94"/>
        <v>6.7804521546881436E-3</v>
      </c>
      <c r="P538">
        <v>174.3999939</v>
      </c>
      <c r="Q538">
        <f t="shared" si="95"/>
        <v>1.4355441214861653E-3</v>
      </c>
      <c r="R538">
        <v>182.3000031</v>
      </c>
      <c r="S538">
        <f t="shared" si="96"/>
        <v>4.0822206388897886E-2</v>
      </c>
      <c r="T538">
        <v>1341.0500489999999</v>
      </c>
      <c r="U538">
        <f t="shared" si="97"/>
        <v>2.9083393547940428E-2</v>
      </c>
      <c r="W538">
        <f t="shared" si="98"/>
        <v>1.5701118809052728E-2</v>
      </c>
      <c r="X538">
        <v>-3.3943269520336546E-3</v>
      </c>
    </row>
    <row r="539" spans="1:24" x14ac:dyDescent="0.35">
      <c r="A539" s="1">
        <v>43612</v>
      </c>
      <c r="B539">
        <v>1198.3701169999999</v>
      </c>
      <c r="C539">
        <f t="shared" si="88"/>
        <v>-1.9598350352588945E-2</v>
      </c>
      <c r="D539">
        <v>2055.1499020000001</v>
      </c>
      <c r="E539">
        <f t="shared" si="89"/>
        <v>3.4911630859375542E-3</v>
      </c>
      <c r="F539">
        <v>1204.1750489999999</v>
      </c>
      <c r="G539">
        <f t="shared" si="90"/>
        <v>1.4747086841294221E-2</v>
      </c>
      <c r="H539">
        <v>343.05905150000001</v>
      </c>
      <c r="I539">
        <f t="shared" si="91"/>
        <v>-1.0475718084744789E-2</v>
      </c>
      <c r="J539">
        <v>708.09997559999999</v>
      </c>
      <c r="K539">
        <f t="shared" si="92"/>
        <v>-1.5510950099782983E-3</v>
      </c>
      <c r="L539">
        <v>290.85000609999997</v>
      </c>
      <c r="M539">
        <f t="shared" si="93"/>
        <v>1.3771522919563406E-3</v>
      </c>
      <c r="N539">
        <v>414.85000609999997</v>
      </c>
      <c r="O539">
        <f t="shared" si="94"/>
        <v>-2.1647478051713964E-3</v>
      </c>
      <c r="P539">
        <v>173.6499939</v>
      </c>
      <c r="Q539">
        <f t="shared" si="95"/>
        <v>-4.3004588660137122E-3</v>
      </c>
      <c r="R539">
        <v>181.3500061</v>
      </c>
      <c r="S539">
        <f t="shared" si="96"/>
        <v>-5.2111738005778951E-3</v>
      </c>
      <c r="T539">
        <v>1289.9499510000001</v>
      </c>
      <c r="U539">
        <f t="shared" si="97"/>
        <v>-3.8104542062471491E-2</v>
      </c>
      <c r="W539">
        <f t="shared" si="98"/>
        <v>-6.1790683762358413E-3</v>
      </c>
      <c r="X539">
        <v>-3.3596053757627975E-3</v>
      </c>
    </row>
    <row r="540" spans="1:24" x14ac:dyDescent="0.35">
      <c r="A540" s="1">
        <v>43613</v>
      </c>
      <c r="B540">
        <v>1210.3479</v>
      </c>
      <c r="C540">
        <f t="shared" si="88"/>
        <v>9.995061483997203E-3</v>
      </c>
      <c r="D540">
        <v>2073.75</v>
      </c>
      <c r="E540">
        <f t="shared" si="89"/>
        <v>9.0504823915271704E-3</v>
      </c>
      <c r="F540">
        <v>1208.099976</v>
      </c>
      <c r="G540">
        <f t="shared" si="90"/>
        <v>3.2594322588392899E-3</v>
      </c>
      <c r="H540">
        <v>339.23092650000001</v>
      </c>
      <c r="I540">
        <f t="shared" si="91"/>
        <v>-1.1158793167712067E-2</v>
      </c>
      <c r="J540">
        <v>728.09997559999999</v>
      </c>
      <c r="K540">
        <f t="shared" si="92"/>
        <v>2.8244599193854247E-2</v>
      </c>
      <c r="L540">
        <v>288.89999390000003</v>
      </c>
      <c r="M540">
        <f t="shared" si="93"/>
        <v>-6.7045286542971594E-3</v>
      </c>
      <c r="N540">
        <v>412.75</v>
      </c>
      <c r="O540">
        <f t="shared" si="94"/>
        <v>-5.0620852576142017E-3</v>
      </c>
      <c r="P540">
        <v>175.3000031</v>
      </c>
      <c r="Q540">
        <f t="shared" si="95"/>
        <v>9.5019248946832668E-3</v>
      </c>
      <c r="R540">
        <v>180.25</v>
      </c>
      <c r="S540">
        <f t="shared" si="96"/>
        <v>-6.0656524014310875E-3</v>
      </c>
      <c r="T540">
        <v>1310.5</v>
      </c>
      <c r="U540">
        <f t="shared" si="97"/>
        <v>1.5930888624065664E-2</v>
      </c>
      <c r="W540">
        <f t="shared" si="98"/>
        <v>4.6991329365912334E-3</v>
      </c>
      <c r="X540">
        <v>-3.330678207882398E-3</v>
      </c>
    </row>
    <row r="541" spans="1:24" x14ac:dyDescent="0.35">
      <c r="A541" s="1">
        <v>43614</v>
      </c>
      <c r="B541">
        <v>1200.5645750000001</v>
      </c>
      <c r="C541">
        <f t="shared" si="88"/>
        <v>-8.0830685127804003E-3</v>
      </c>
      <c r="D541">
        <v>2107.5500489999999</v>
      </c>
      <c r="E541">
        <f t="shared" si="89"/>
        <v>1.6298998915009077E-2</v>
      </c>
      <c r="F541">
        <v>1208.4499510000001</v>
      </c>
      <c r="G541">
        <f t="shared" si="90"/>
        <v>2.8969042873328021E-4</v>
      </c>
      <c r="H541">
        <v>332.55624390000003</v>
      </c>
      <c r="I541">
        <f t="shared" si="91"/>
        <v>-1.9675925980174425E-2</v>
      </c>
      <c r="J541">
        <v>727.79998780000005</v>
      </c>
      <c r="K541">
        <f t="shared" si="92"/>
        <v>-4.1201457224704363E-4</v>
      </c>
      <c r="L541">
        <v>288.10000609999997</v>
      </c>
      <c r="M541">
        <f t="shared" si="93"/>
        <v>-2.7690820937744665E-3</v>
      </c>
      <c r="N541">
        <v>423.7999878</v>
      </c>
      <c r="O541">
        <f t="shared" si="94"/>
        <v>2.67716239854634E-2</v>
      </c>
      <c r="P541">
        <v>171.5500031</v>
      </c>
      <c r="Q541">
        <f t="shared" si="95"/>
        <v>-2.139189922239082E-2</v>
      </c>
      <c r="R541">
        <v>176.3500061</v>
      </c>
      <c r="S541">
        <f t="shared" si="96"/>
        <v>-2.1636581969486812E-2</v>
      </c>
      <c r="T541">
        <v>1307.0500489999999</v>
      </c>
      <c r="U541">
        <f t="shared" si="97"/>
        <v>-2.6325455932850739E-3</v>
      </c>
      <c r="W541">
        <f t="shared" si="98"/>
        <v>-3.3240804614933285E-3</v>
      </c>
      <c r="X541">
        <v>-3.3282806808520916E-3</v>
      </c>
    </row>
    <row r="542" spans="1:24" x14ac:dyDescent="0.35">
      <c r="A542" s="1">
        <v>43615</v>
      </c>
      <c r="B542">
        <v>1215.8339840000001</v>
      </c>
      <c r="C542">
        <f t="shared" si="88"/>
        <v>1.2718523699568607E-2</v>
      </c>
      <c r="D542">
        <v>2146.3000489999999</v>
      </c>
      <c r="E542">
        <f t="shared" si="89"/>
        <v>1.8386277478148694E-2</v>
      </c>
      <c r="F542">
        <v>1219.775024</v>
      </c>
      <c r="G542">
        <f t="shared" si="90"/>
        <v>9.3715697457130709E-3</v>
      </c>
      <c r="H542">
        <v>340.3106689</v>
      </c>
      <c r="I542">
        <f t="shared" si="91"/>
        <v>2.3317634662519682E-2</v>
      </c>
      <c r="J542">
        <v>733.54998780000005</v>
      </c>
      <c r="K542">
        <f t="shared" si="92"/>
        <v>7.9005222538972575E-3</v>
      </c>
      <c r="L542">
        <v>288.64999390000003</v>
      </c>
      <c r="M542">
        <f t="shared" si="93"/>
        <v>1.9090169675635149E-3</v>
      </c>
      <c r="N542">
        <v>412.75</v>
      </c>
      <c r="O542">
        <f t="shared" si="94"/>
        <v>-2.6073591595322854E-2</v>
      </c>
      <c r="P542">
        <v>169.4499969</v>
      </c>
      <c r="Q542">
        <f t="shared" si="95"/>
        <v>-1.2241364978442193E-2</v>
      </c>
      <c r="R542">
        <v>175.1499939</v>
      </c>
      <c r="S542">
        <f t="shared" si="96"/>
        <v>-6.8047187892895655E-3</v>
      </c>
      <c r="T542">
        <v>1303.900024</v>
      </c>
      <c r="U542">
        <f t="shared" si="97"/>
        <v>-2.4100263049681159E-3</v>
      </c>
      <c r="W542">
        <f t="shared" si="98"/>
        <v>2.6073843139388089E-3</v>
      </c>
      <c r="X542">
        <v>-3.3240804614933285E-3</v>
      </c>
    </row>
    <row r="543" spans="1:24" x14ac:dyDescent="0.35">
      <c r="A543" s="1">
        <v>43616</v>
      </c>
      <c r="B543">
        <v>1216.199707</v>
      </c>
      <c r="C543">
        <f t="shared" si="88"/>
        <v>3.0080011318367461E-4</v>
      </c>
      <c r="D543">
        <v>2196.5500489999999</v>
      </c>
      <c r="E543">
        <f t="shared" si="89"/>
        <v>2.3412383568370387E-2</v>
      </c>
      <c r="F543">
        <v>1212.6750489999999</v>
      </c>
      <c r="G543">
        <f t="shared" si="90"/>
        <v>-5.8207250192066073E-3</v>
      </c>
      <c r="H543">
        <v>342.37197880000002</v>
      </c>
      <c r="I543">
        <f t="shared" si="91"/>
        <v>6.0571415720314103E-3</v>
      </c>
      <c r="J543">
        <v>737.75</v>
      </c>
      <c r="K543">
        <f t="shared" si="92"/>
        <v>5.7255978049923772E-3</v>
      </c>
      <c r="L543">
        <v>278.5499878</v>
      </c>
      <c r="M543">
        <f t="shared" si="93"/>
        <v>-3.4990494763353697E-2</v>
      </c>
      <c r="N543">
        <v>409.85000609999997</v>
      </c>
      <c r="O543">
        <f t="shared" si="94"/>
        <v>-7.0260300423986566E-3</v>
      </c>
      <c r="P543">
        <v>171.9499969</v>
      </c>
      <c r="Q543">
        <f t="shared" si="95"/>
        <v>1.4753614905495427E-2</v>
      </c>
      <c r="R543">
        <v>172.6000061</v>
      </c>
      <c r="S543">
        <f t="shared" si="96"/>
        <v>-1.4558880324345824E-2</v>
      </c>
      <c r="T543">
        <v>1323.099976</v>
      </c>
      <c r="U543">
        <f t="shared" si="97"/>
        <v>1.4725018518751076E-2</v>
      </c>
      <c r="W543">
        <f t="shared" si="98"/>
        <v>2.578426333519567E-4</v>
      </c>
      <c r="X543">
        <v>-3.3234489626527532E-3</v>
      </c>
    </row>
    <row r="544" spans="1:24" x14ac:dyDescent="0.35">
      <c r="A544" s="1">
        <v>43619</v>
      </c>
      <c r="B544">
        <v>1243.6754149999999</v>
      </c>
      <c r="C544">
        <f t="shared" si="88"/>
        <v>2.2591444350676726E-2</v>
      </c>
      <c r="D544">
        <v>2242.3000489999999</v>
      </c>
      <c r="E544">
        <f t="shared" si="89"/>
        <v>2.0828116354930426E-2</v>
      </c>
      <c r="F544">
        <v>1228.5500489999999</v>
      </c>
      <c r="G544">
        <f t="shared" si="90"/>
        <v>1.3090893568801443E-2</v>
      </c>
      <c r="H544">
        <v>346.24917599999998</v>
      </c>
      <c r="I544">
        <f t="shared" si="91"/>
        <v>1.1324516724731337E-2</v>
      </c>
      <c r="J544">
        <v>744.65002440000001</v>
      </c>
      <c r="K544">
        <f t="shared" si="92"/>
        <v>9.3527948492035939E-3</v>
      </c>
      <c r="L544">
        <v>278.5499878</v>
      </c>
      <c r="M544">
        <f t="shared" si="93"/>
        <v>0</v>
      </c>
      <c r="N544">
        <v>416.7999878</v>
      </c>
      <c r="O544">
        <f t="shared" si="94"/>
        <v>1.695737854473589E-2</v>
      </c>
      <c r="P544">
        <v>172.1499939</v>
      </c>
      <c r="Q544">
        <f t="shared" si="95"/>
        <v>1.1631113905532509E-3</v>
      </c>
      <c r="R544">
        <v>174.5</v>
      </c>
      <c r="S544">
        <f t="shared" si="96"/>
        <v>1.1008075508984527E-2</v>
      </c>
      <c r="T544">
        <v>1340.3000489999999</v>
      </c>
      <c r="U544">
        <f t="shared" si="97"/>
        <v>1.2999828669031821E-2</v>
      </c>
      <c r="W544">
        <f t="shared" si="98"/>
        <v>1.1931615996164904E-2</v>
      </c>
      <c r="X544">
        <v>-3.3175760792564127E-3</v>
      </c>
    </row>
    <row r="545" spans="1:24" x14ac:dyDescent="0.35">
      <c r="A545" s="1">
        <v>43620</v>
      </c>
      <c r="B545">
        <v>1235.857788</v>
      </c>
      <c r="C545">
        <f t="shared" si="88"/>
        <v>-6.2859061984431586E-3</v>
      </c>
      <c r="D545">
        <v>2183.1000979999999</v>
      </c>
      <c r="E545">
        <f t="shared" si="89"/>
        <v>-2.6401440354247629E-2</v>
      </c>
      <c r="F545">
        <v>1226.150024</v>
      </c>
      <c r="G545">
        <f t="shared" si="90"/>
        <v>-1.9535427164351082E-3</v>
      </c>
      <c r="H545">
        <v>345.90560909999999</v>
      </c>
      <c r="I545">
        <f t="shared" si="91"/>
        <v>-9.922533360772201E-4</v>
      </c>
      <c r="J545">
        <v>735.29998780000005</v>
      </c>
      <c r="K545">
        <f t="shared" si="92"/>
        <v>-1.2556283211745956E-2</v>
      </c>
      <c r="L545">
        <v>279.25</v>
      </c>
      <c r="M545">
        <f t="shared" si="93"/>
        <v>2.5130577298844159E-3</v>
      </c>
      <c r="N545">
        <v>411.14999390000003</v>
      </c>
      <c r="O545">
        <f t="shared" si="94"/>
        <v>-1.355564794956543E-2</v>
      </c>
      <c r="P545">
        <v>170.6000061</v>
      </c>
      <c r="Q545">
        <f t="shared" si="95"/>
        <v>-9.0037052275492302E-3</v>
      </c>
      <c r="R545">
        <v>173.25</v>
      </c>
      <c r="S545">
        <f t="shared" si="96"/>
        <v>-7.1633237822349427E-3</v>
      </c>
      <c r="T545">
        <v>1333.0500489999999</v>
      </c>
      <c r="U545">
        <f t="shared" si="97"/>
        <v>-5.4092365402875764E-3</v>
      </c>
      <c r="W545">
        <f t="shared" si="98"/>
        <v>-8.0808281586701829E-3</v>
      </c>
      <c r="X545">
        <v>-3.2971707511395662E-3</v>
      </c>
    </row>
    <row r="546" spans="1:24" x14ac:dyDescent="0.35">
      <c r="A546" s="1">
        <v>43622</v>
      </c>
      <c r="B546">
        <v>1213.6395259999999</v>
      </c>
      <c r="C546">
        <f t="shared" si="88"/>
        <v>-1.7978008647707044E-2</v>
      </c>
      <c r="D546">
        <v>2166.1000979999999</v>
      </c>
      <c r="E546">
        <f t="shared" si="89"/>
        <v>-7.7870914006985537E-3</v>
      </c>
      <c r="F546">
        <v>1211.6750489999999</v>
      </c>
      <c r="G546">
        <f t="shared" si="90"/>
        <v>-1.1805223436508361E-2</v>
      </c>
      <c r="H546">
        <v>347.27981569999997</v>
      </c>
      <c r="I546">
        <f t="shared" si="91"/>
        <v>3.9727791739934126E-3</v>
      </c>
      <c r="J546">
        <v>735.59997559999999</v>
      </c>
      <c r="K546">
        <f t="shared" si="92"/>
        <v>4.0798015092802231E-4</v>
      </c>
      <c r="L546">
        <v>275.75</v>
      </c>
      <c r="M546">
        <f t="shared" si="93"/>
        <v>-1.25335720680394E-2</v>
      </c>
      <c r="N546">
        <v>404.14999390000003</v>
      </c>
      <c r="O546">
        <f t="shared" si="94"/>
        <v>-1.7025416767250445E-2</v>
      </c>
      <c r="P546">
        <v>169.3999939</v>
      </c>
      <c r="Q546">
        <f t="shared" si="95"/>
        <v>-7.0340689161323411E-3</v>
      </c>
      <c r="R546">
        <v>169.6999969</v>
      </c>
      <c r="S546">
        <f t="shared" si="96"/>
        <v>-2.0490638383838355E-2</v>
      </c>
      <c r="T546">
        <v>1317.650024</v>
      </c>
      <c r="U546">
        <f t="shared" si="97"/>
        <v>-1.1552473226007054E-2</v>
      </c>
      <c r="W546">
        <f t="shared" si="98"/>
        <v>-1.0182573352126011E-2</v>
      </c>
      <c r="X546">
        <v>-3.2922383840488065E-3</v>
      </c>
    </row>
    <row r="547" spans="1:24" x14ac:dyDescent="0.35">
      <c r="A547" s="1">
        <v>43623</v>
      </c>
      <c r="B547">
        <v>1202.2561040000001</v>
      </c>
      <c r="C547">
        <f t="shared" si="88"/>
        <v>-9.3795742113955693E-3</v>
      </c>
      <c r="D547">
        <v>2181.75</v>
      </c>
      <c r="E547">
        <f t="shared" si="89"/>
        <v>7.224920960231751E-3</v>
      </c>
      <c r="F547">
        <v>1223.8249510000001</v>
      </c>
      <c r="G547">
        <f t="shared" si="90"/>
        <v>1.0027360066568569E-2</v>
      </c>
      <c r="H547">
        <v>350.51901249999997</v>
      </c>
      <c r="I547">
        <f t="shared" si="91"/>
        <v>9.3273396654822704E-3</v>
      </c>
      <c r="J547">
        <v>739.09997559999999</v>
      </c>
      <c r="K547">
        <f t="shared" si="92"/>
        <v>4.7580208212285591E-3</v>
      </c>
      <c r="L547">
        <v>275.25</v>
      </c>
      <c r="M547">
        <f t="shared" si="93"/>
        <v>-1.8132366273798661E-3</v>
      </c>
      <c r="N547">
        <v>399.25</v>
      </c>
      <c r="O547">
        <f t="shared" si="94"/>
        <v>-1.2124196397272358E-2</v>
      </c>
      <c r="P547">
        <v>167.5</v>
      </c>
      <c r="Q547">
        <f t="shared" si="95"/>
        <v>-1.1216021065039716E-2</v>
      </c>
      <c r="R547">
        <v>169.5</v>
      </c>
      <c r="S547">
        <f t="shared" si="96"/>
        <v>-1.1785321370267887E-3</v>
      </c>
      <c r="T547">
        <v>1296.650024</v>
      </c>
      <c r="U547">
        <f t="shared" si="97"/>
        <v>-1.5937464135013735E-2</v>
      </c>
      <c r="W547">
        <f t="shared" si="98"/>
        <v>-2.0311383059616883E-3</v>
      </c>
      <c r="X547">
        <v>-3.2368991525649096E-3</v>
      </c>
    </row>
    <row r="548" spans="1:24" x14ac:dyDescent="0.35">
      <c r="A548" s="1">
        <v>43626</v>
      </c>
      <c r="B548">
        <v>1206.1419679999999</v>
      </c>
      <c r="C548">
        <f t="shared" si="88"/>
        <v>3.2321432904947045E-3</v>
      </c>
      <c r="D548">
        <v>2231.5</v>
      </c>
      <c r="E548">
        <f t="shared" si="89"/>
        <v>2.2802795920705776E-2</v>
      </c>
      <c r="F548">
        <v>1220.099976</v>
      </c>
      <c r="G548">
        <f t="shared" si="90"/>
        <v>-3.0437155223517198E-3</v>
      </c>
      <c r="H548">
        <v>356.75198360000002</v>
      </c>
      <c r="I548">
        <f t="shared" si="91"/>
        <v>1.778211987859013E-2</v>
      </c>
      <c r="J548">
        <v>753.5</v>
      </c>
      <c r="K548">
        <f t="shared" si="92"/>
        <v>1.9483188845068167E-2</v>
      </c>
      <c r="L548">
        <v>279.39999390000003</v>
      </c>
      <c r="M548">
        <f t="shared" si="93"/>
        <v>1.5077180381471544E-2</v>
      </c>
      <c r="N548">
        <v>402.0499878</v>
      </c>
      <c r="O548">
        <f t="shared" si="94"/>
        <v>7.0131190983093727E-3</v>
      </c>
      <c r="P548">
        <v>164.6499939</v>
      </c>
      <c r="Q548">
        <f t="shared" si="95"/>
        <v>-1.701496179104478E-2</v>
      </c>
      <c r="R548">
        <v>166.1999969</v>
      </c>
      <c r="S548">
        <f t="shared" si="96"/>
        <v>-1.9469044837758132E-2</v>
      </c>
      <c r="T548">
        <v>1299.6999510000001</v>
      </c>
      <c r="U548">
        <f t="shared" si="97"/>
        <v>2.3521589816435373E-3</v>
      </c>
      <c r="W548">
        <f t="shared" si="98"/>
        <v>4.8214984245128602E-3</v>
      </c>
      <c r="X548">
        <v>-3.212957033372888E-3</v>
      </c>
    </row>
    <row r="549" spans="1:24" x14ac:dyDescent="0.35">
      <c r="A549" s="1">
        <v>43627</v>
      </c>
      <c r="B549">
        <v>1215.2852780000001</v>
      </c>
      <c r="C549">
        <f t="shared" si="88"/>
        <v>7.5806250363390504E-3</v>
      </c>
      <c r="D549">
        <v>2252.8000489999999</v>
      </c>
      <c r="E549">
        <f t="shared" si="89"/>
        <v>9.5451709612368596E-3</v>
      </c>
      <c r="F549">
        <v>1224.1999510000001</v>
      </c>
      <c r="G549">
        <f t="shared" si="90"/>
        <v>3.3603598726732464E-3</v>
      </c>
      <c r="H549">
        <v>356.5556641</v>
      </c>
      <c r="I549">
        <f t="shared" si="91"/>
        <v>-5.5029687016439066E-4</v>
      </c>
      <c r="J549">
        <v>754.90002440000001</v>
      </c>
      <c r="K549">
        <f t="shared" si="92"/>
        <v>1.8580284007962966E-3</v>
      </c>
      <c r="L549">
        <v>279.85000609999997</v>
      </c>
      <c r="M549">
        <f t="shared" si="93"/>
        <v>1.6106378304396873E-3</v>
      </c>
      <c r="N549">
        <v>389.9500122</v>
      </c>
      <c r="O549">
        <f t="shared" si="94"/>
        <v>-3.0095699458195568E-2</v>
      </c>
      <c r="P549">
        <v>169.25</v>
      </c>
      <c r="Q549">
        <f t="shared" si="95"/>
        <v>2.7938088493302926E-2</v>
      </c>
      <c r="R549">
        <v>170.75</v>
      </c>
      <c r="S549">
        <f t="shared" si="96"/>
        <v>2.7376673795834527E-2</v>
      </c>
      <c r="T549">
        <v>1296.900024</v>
      </c>
      <c r="U549">
        <f t="shared" si="97"/>
        <v>-2.1542872244056932E-3</v>
      </c>
      <c r="W549">
        <f t="shared" si="98"/>
        <v>4.6469300837856942E-3</v>
      </c>
      <c r="X549">
        <v>-3.1952855326397361E-3</v>
      </c>
    </row>
    <row r="550" spans="1:24" x14ac:dyDescent="0.35">
      <c r="A550" s="1">
        <v>43628</v>
      </c>
      <c r="B550">
        <v>1218.0283199999999</v>
      </c>
      <c r="C550">
        <f t="shared" si="88"/>
        <v>2.257117772803241E-3</v>
      </c>
      <c r="D550">
        <v>2260.8999020000001</v>
      </c>
      <c r="E550">
        <f t="shared" si="89"/>
        <v>3.5954602378474032E-3</v>
      </c>
      <c r="F550">
        <v>1213.525024</v>
      </c>
      <c r="G550">
        <f t="shared" si="90"/>
        <v>-8.7199211136057553E-3</v>
      </c>
      <c r="H550">
        <v>353.26739500000002</v>
      </c>
      <c r="I550">
        <f t="shared" si="91"/>
        <v>-9.2223162638576106E-3</v>
      </c>
      <c r="J550">
        <v>753.79998780000005</v>
      </c>
      <c r="K550">
        <f t="shared" si="92"/>
        <v>-1.4571950780823961E-3</v>
      </c>
      <c r="L550">
        <v>279.9500122</v>
      </c>
      <c r="M550">
        <f t="shared" si="93"/>
        <v>3.573560758269867E-4</v>
      </c>
      <c r="N550">
        <v>391.39999390000003</v>
      </c>
      <c r="O550">
        <f t="shared" si="94"/>
        <v>3.7183783937320136E-3</v>
      </c>
      <c r="P550">
        <v>170.8500061</v>
      </c>
      <c r="Q550">
        <f t="shared" si="95"/>
        <v>9.4535072378139073E-3</v>
      </c>
      <c r="R550">
        <v>169.0500031</v>
      </c>
      <c r="S550">
        <f t="shared" si="96"/>
        <v>-9.9560579795021642E-3</v>
      </c>
      <c r="T550">
        <v>1310.5</v>
      </c>
      <c r="U550">
        <f t="shared" si="97"/>
        <v>1.0486526137962304E-2</v>
      </c>
      <c r="W550">
        <f t="shared" si="98"/>
        <v>5.1285542093793121E-5</v>
      </c>
      <c r="X550">
        <v>-3.1664346939821119E-3</v>
      </c>
    </row>
    <row r="551" spans="1:24" x14ac:dyDescent="0.35">
      <c r="A551" s="1">
        <v>43629</v>
      </c>
      <c r="B551">
        <v>1213.548096</v>
      </c>
      <c r="C551">
        <f t="shared" si="88"/>
        <v>-3.678259303527498E-3</v>
      </c>
      <c r="D551">
        <v>2254.1000979999999</v>
      </c>
      <c r="E551">
        <f t="shared" si="89"/>
        <v>-3.0075652592956859E-3</v>
      </c>
      <c r="F551">
        <v>1222.349976</v>
      </c>
      <c r="G551">
        <f t="shared" si="90"/>
        <v>7.272163182025837E-3</v>
      </c>
      <c r="H551">
        <v>357.04644780000001</v>
      </c>
      <c r="I551">
        <f t="shared" si="91"/>
        <v>1.0697428784787855E-2</v>
      </c>
      <c r="J551">
        <v>742.65002440000001</v>
      </c>
      <c r="K551">
        <f t="shared" si="92"/>
        <v>-1.479167362756495E-2</v>
      </c>
      <c r="L551">
        <v>280.60000609999997</v>
      </c>
      <c r="M551">
        <f t="shared" si="93"/>
        <v>2.3218212954947415E-3</v>
      </c>
      <c r="N551">
        <v>389.75</v>
      </c>
      <c r="O551">
        <f t="shared" si="94"/>
        <v>-4.2156206584448297E-3</v>
      </c>
      <c r="P551">
        <v>168.9499969</v>
      </c>
      <c r="Q551">
        <f t="shared" si="95"/>
        <v>-1.1120919708296095E-2</v>
      </c>
      <c r="R551">
        <v>167.3999939</v>
      </c>
      <c r="S551">
        <f t="shared" si="96"/>
        <v>-9.7604801522774842E-3</v>
      </c>
      <c r="T551">
        <v>1305</v>
      </c>
      <c r="U551">
        <f t="shared" si="97"/>
        <v>-4.1968714231209736E-3</v>
      </c>
      <c r="W551">
        <f t="shared" si="98"/>
        <v>-3.0479976870219083E-3</v>
      </c>
      <c r="X551">
        <v>-3.1658764246662256E-3</v>
      </c>
    </row>
    <row r="552" spans="1:24" x14ac:dyDescent="0.35">
      <c r="A552" s="1">
        <v>43630</v>
      </c>
      <c r="B552">
        <v>1204.679077</v>
      </c>
      <c r="C552">
        <f t="shared" si="88"/>
        <v>-7.3083374521647482E-3</v>
      </c>
      <c r="D552">
        <v>2254.5</v>
      </c>
      <c r="E552">
        <f t="shared" si="89"/>
        <v>1.7741093235157379E-4</v>
      </c>
      <c r="F552">
        <v>1217.5500489999999</v>
      </c>
      <c r="G552">
        <f t="shared" si="90"/>
        <v>-3.9268025477509072E-3</v>
      </c>
      <c r="H552">
        <v>346.78903200000002</v>
      </c>
      <c r="I552">
        <f t="shared" si="91"/>
        <v>-2.8728519393492746E-2</v>
      </c>
      <c r="J552">
        <v>740.45001219999995</v>
      </c>
      <c r="K552">
        <f t="shared" si="92"/>
        <v>-2.962380835814904E-3</v>
      </c>
      <c r="L552">
        <v>278.0499878</v>
      </c>
      <c r="M552">
        <f t="shared" si="93"/>
        <v>-9.0877342999458044E-3</v>
      </c>
      <c r="N552">
        <v>392.5499878</v>
      </c>
      <c r="O552">
        <f t="shared" si="94"/>
        <v>7.1840610647850855E-3</v>
      </c>
      <c r="P552">
        <v>169.3000031</v>
      </c>
      <c r="Q552">
        <f t="shared" si="95"/>
        <v>2.0716555573965234E-3</v>
      </c>
      <c r="R552">
        <v>164.1999969</v>
      </c>
      <c r="S552">
        <f t="shared" si="96"/>
        <v>-1.9115872859061023E-2</v>
      </c>
      <c r="T552">
        <v>1330.599976</v>
      </c>
      <c r="U552">
        <f t="shared" si="97"/>
        <v>1.9616839846743339E-2</v>
      </c>
      <c r="W552">
        <f t="shared" si="98"/>
        <v>-4.2079679986953607E-3</v>
      </c>
      <c r="X552">
        <v>-3.1634904844258125E-3</v>
      </c>
    </row>
    <row r="553" spans="1:24" x14ac:dyDescent="0.35">
      <c r="A553" s="1">
        <v>43633</v>
      </c>
      <c r="B553">
        <v>1172.4488530000001</v>
      </c>
      <c r="C553">
        <f t="shared" si="88"/>
        <v>-2.6754199201552087E-2</v>
      </c>
      <c r="D553">
        <v>2249.1999510000001</v>
      </c>
      <c r="E553">
        <f t="shared" si="89"/>
        <v>-2.3508755821689542E-3</v>
      </c>
      <c r="F553">
        <v>1211</v>
      </c>
      <c r="G553">
        <f t="shared" si="90"/>
        <v>-5.3796958945381279E-3</v>
      </c>
      <c r="H553">
        <v>337.66043089999999</v>
      </c>
      <c r="I553">
        <f t="shared" si="91"/>
        <v>-2.6323211686810288E-2</v>
      </c>
      <c r="J553">
        <v>740.54998780000005</v>
      </c>
      <c r="K553">
        <f t="shared" si="92"/>
        <v>1.3502005314713905E-4</v>
      </c>
      <c r="L553">
        <v>275</v>
      </c>
      <c r="M553">
        <f t="shared" si="93"/>
        <v>-1.0969206739163129E-2</v>
      </c>
      <c r="N553">
        <v>382.89999390000003</v>
      </c>
      <c r="O553">
        <f t="shared" si="94"/>
        <v>-2.4582840911758108E-2</v>
      </c>
      <c r="P553">
        <v>164.3999939</v>
      </c>
      <c r="Q553">
        <f t="shared" si="95"/>
        <v>-2.8942759068384172E-2</v>
      </c>
      <c r="R553">
        <v>158.75</v>
      </c>
      <c r="S553">
        <f t="shared" si="96"/>
        <v>-3.3191211954279876E-2</v>
      </c>
      <c r="T553">
        <v>1297.5</v>
      </c>
      <c r="U553">
        <f t="shared" si="97"/>
        <v>-2.4875978203083959E-2</v>
      </c>
      <c r="W553">
        <f t="shared" si="98"/>
        <v>-1.8323495918859154E-2</v>
      </c>
      <c r="X553">
        <v>-3.1565714543530638E-3</v>
      </c>
    </row>
    <row r="554" spans="1:24" x14ac:dyDescent="0.35">
      <c r="A554" s="1">
        <v>43634</v>
      </c>
      <c r="B554">
        <v>1171.260254</v>
      </c>
      <c r="C554">
        <f t="shared" si="88"/>
        <v>-1.0137747134629782E-3</v>
      </c>
      <c r="D554">
        <v>2250.8500979999999</v>
      </c>
      <c r="E554">
        <f t="shared" si="89"/>
        <v>7.3365953936921358E-4</v>
      </c>
      <c r="F554">
        <v>1208.625</v>
      </c>
      <c r="G554">
        <f t="shared" si="90"/>
        <v>-1.961189099917382E-3</v>
      </c>
      <c r="H554">
        <v>338.78924560000002</v>
      </c>
      <c r="I554">
        <f t="shared" si="91"/>
        <v>3.3430470280195745E-3</v>
      </c>
      <c r="J554">
        <v>750.15002440000001</v>
      </c>
      <c r="K554">
        <f t="shared" si="92"/>
        <v>1.2963387695838602E-2</v>
      </c>
      <c r="L554">
        <v>275.10000609999997</v>
      </c>
      <c r="M554">
        <f t="shared" si="93"/>
        <v>3.6365854545450382E-4</v>
      </c>
      <c r="N554">
        <v>378.4500122</v>
      </c>
      <c r="O554">
        <f t="shared" si="94"/>
        <v>-1.1621785768850645E-2</v>
      </c>
      <c r="P554">
        <v>166.1499939</v>
      </c>
      <c r="Q554">
        <f t="shared" si="95"/>
        <v>1.0644769251417774E-2</v>
      </c>
      <c r="R554">
        <v>158.3000031</v>
      </c>
      <c r="S554">
        <f t="shared" si="96"/>
        <v>-2.8346261417322438E-3</v>
      </c>
      <c r="T554">
        <v>1342</v>
      </c>
      <c r="U554">
        <f t="shared" si="97"/>
        <v>3.4296724470134876E-2</v>
      </c>
      <c r="W554">
        <f t="shared" si="98"/>
        <v>4.4913870806271294E-3</v>
      </c>
      <c r="X554">
        <v>-3.1552374227563403E-3</v>
      </c>
    </row>
    <row r="555" spans="1:24" x14ac:dyDescent="0.35">
      <c r="A555" s="1">
        <v>43635</v>
      </c>
      <c r="B555">
        <v>1167.9228519999999</v>
      </c>
      <c r="C555">
        <f t="shared" si="88"/>
        <v>-2.8494111266923472E-3</v>
      </c>
      <c r="D555">
        <v>2259.8999020000001</v>
      </c>
      <c r="E555">
        <f t="shared" si="89"/>
        <v>4.0206160365994226E-3</v>
      </c>
      <c r="F555">
        <v>1214.1750489999999</v>
      </c>
      <c r="G555">
        <f t="shared" si="90"/>
        <v>4.5920355776192245E-3</v>
      </c>
      <c r="H555">
        <v>334.81387330000001</v>
      </c>
      <c r="I555">
        <f t="shared" si="91"/>
        <v>-1.1734056944338822E-2</v>
      </c>
      <c r="J555">
        <v>751.90002440000001</v>
      </c>
      <c r="K555">
        <f t="shared" si="92"/>
        <v>2.3328666841004875E-3</v>
      </c>
      <c r="L555">
        <v>277.2000122</v>
      </c>
      <c r="M555">
        <f t="shared" si="93"/>
        <v>7.6336097907487854E-3</v>
      </c>
      <c r="N555">
        <v>375.2000122</v>
      </c>
      <c r="O555">
        <f t="shared" si="94"/>
        <v>-8.5876599160538136E-3</v>
      </c>
      <c r="P555">
        <v>167.3500061</v>
      </c>
      <c r="Q555">
        <f t="shared" si="95"/>
        <v>7.2224630999520034E-3</v>
      </c>
      <c r="R555">
        <v>154.6499939</v>
      </c>
      <c r="S555">
        <f t="shared" si="96"/>
        <v>-2.3057543452442264E-2</v>
      </c>
      <c r="T555">
        <v>1335.6999510000001</v>
      </c>
      <c r="U555">
        <f t="shared" si="97"/>
        <v>-4.6945223546944748E-3</v>
      </c>
      <c r="W555">
        <f t="shared" si="98"/>
        <v>-2.5121602605201803E-3</v>
      </c>
      <c r="X555">
        <v>-3.1545146645179491E-3</v>
      </c>
    </row>
    <row r="556" spans="1:24" x14ac:dyDescent="0.35">
      <c r="A556" s="1">
        <v>43636</v>
      </c>
      <c r="B556">
        <v>1185.660889</v>
      </c>
      <c r="C556">
        <f t="shared" si="88"/>
        <v>1.5187678680680605E-2</v>
      </c>
      <c r="D556">
        <v>2277.9499510000001</v>
      </c>
      <c r="E556">
        <f t="shared" si="89"/>
        <v>7.9871011030292483E-3</v>
      </c>
      <c r="F556">
        <v>1213.1750489999999</v>
      </c>
      <c r="G556">
        <f t="shared" si="90"/>
        <v>-8.236044718787916E-4</v>
      </c>
      <c r="H556">
        <v>342.12658690000001</v>
      </c>
      <c r="I556">
        <f t="shared" si="91"/>
        <v>2.1841130798805564E-2</v>
      </c>
      <c r="J556">
        <v>754.90002440000001</v>
      </c>
      <c r="K556">
        <f t="shared" si="92"/>
        <v>3.9898921434320389E-3</v>
      </c>
      <c r="L556">
        <v>277</v>
      </c>
      <c r="M556">
        <f t="shared" si="93"/>
        <v>-7.2154470128849013E-4</v>
      </c>
      <c r="N556">
        <v>390.5</v>
      </c>
      <c r="O556">
        <f t="shared" si="94"/>
        <v>4.0778217757211355E-2</v>
      </c>
      <c r="P556">
        <v>172</v>
      </c>
      <c r="Q556">
        <f t="shared" si="95"/>
        <v>2.7786039620586456E-2</v>
      </c>
      <c r="R556">
        <v>159.25</v>
      </c>
      <c r="S556">
        <f t="shared" si="96"/>
        <v>2.974462516289833E-2</v>
      </c>
      <c r="T556">
        <v>1336.150024</v>
      </c>
      <c r="U556">
        <f t="shared" si="97"/>
        <v>3.3695666430388904E-4</v>
      </c>
      <c r="W556">
        <f t="shared" si="98"/>
        <v>1.461064927577802E-2</v>
      </c>
      <c r="X556">
        <v>-3.1386843654543474E-3</v>
      </c>
    </row>
    <row r="557" spans="1:24" x14ac:dyDescent="0.35">
      <c r="A557" s="1">
        <v>43637</v>
      </c>
      <c r="B557">
        <v>1169.888672</v>
      </c>
      <c r="C557">
        <f t="shared" si="88"/>
        <v>-1.3302468814082591E-2</v>
      </c>
      <c r="D557">
        <v>2249.8500979999999</v>
      </c>
      <c r="E557">
        <f t="shared" si="89"/>
        <v>-1.2335588403803444E-2</v>
      </c>
      <c r="F557">
        <v>1207.099976</v>
      </c>
      <c r="G557">
        <f t="shared" si="90"/>
        <v>-5.0075815563529469E-3</v>
      </c>
      <c r="H557">
        <v>337.46411130000001</v>
      </c>
      <c r="I557">
        <f t="shared" si="91"/>
        <v>-1.3627925389390394E-2</v>
      </c>
      <c r="J557">
        <v>750.20001219999995</v>
      </c>
      <c r="K557">
        <f t="shared" si="92"/>
        <v>-6.226006157220132E-3</v>
      </c>
      <c r="L557">
        <v>274.25</v>
      </c>
      <c r="M557">
        <f t="shared" si="93"/>
        <v>-9.9277978339350481E-3</v>
      </c>
      <c r="N557">
        <v>382.7999878</v>
      </c>
      <c r="O557">
        <f t="shared" si="94"/>
        <v>-1.9718341101152337E-2</v>
      </c>
      <c r="P557">
        <v>170.9499969</v>
      </c>
      <c r="Q557">
        <f t="shared" si="95"/>
        <v>-6.104669186046463E-3</v>
      </c>
      <c r="R557">
        <v>158.8999939</v>
      </c>
      <c r="S557">
        <f t="shared" si="96"/>
        <v>-2.1978405023548309E-3</v>
      </c>
      <c r="T557">
        <v>1320.4499510000001</v>
      </c>
      <c r="U557">
        <f t="shared" si="97"/>
        <v>-1.1750232173030284E-2</v>
      </c>
      <c r="W557">
        <f t="shared" si="98"/>
        <v>-1.0019845111736847E-2</v>
      </c>
      <c r="X557">
        <v>-3.1289056859720946E-3</v>
      </c>
    </row>
    <row r="558" spans="1:24" x14ac:dyDescent="0.35">
      <c r="A558" s="1">
        <v>43640</v>
      </c>
      <c r="B558">
        <v>1154.2536620000001</v>
      </c>
      <c r="C558">
        <f t="shared" si="88"/>
        <v>-1.3364528073659288E-2</v>
      </c>
      <c r="D558">
        <v>2275.5</v>
      </c>
      <c r="E558">
        <f t="shared" si="89"/>
        <v>1.1400715995613098E-2</v>
      </c>
      <c r="F558">
        <v>1208.974976</v>
      </c>
      <c r="G558">
        <f t="shared" si="90"/>
        <v>1.5533096158391047E-3</v>
      </c>
      <c r="H558">
        <v>338.7401428</v>
      </c>
      <c r="I558">
        <f t="shared" si="91"/>
        <v>3.7812361589633081E-3</v>
      </c>
      <c r="J558">
        <v>745.5</v>
      </c>
      <c r="K558">
        <f t="shared" si="92"/>
        <v>-6.2650121615126508E-3</v>
      </c>
      <c r="L558">
        <v>276.25</v>
      </c>
      <c r="M558">
        <f t="shared" si="93"/>
        <v>7.2926162260711358E-3</v>
      </c>
      <c r="N558">
        <v>383.4500122</v>
      </c>
      <c r="O558">
        <f t="shared" si="94"/>
        <v>1.6980784240243629E-3</v>
      </c>
      <c r="P558">
        <v>165.1999969</v>
      </c>
      <c r="Q558">
        <f t="shared" si="95"/>
        <v>-3.3635566564903518E-2</v>
      </c>
      <c r="R558">
        <v>159.3000031</v>
      </c>
      <c r="S558">
        <f t="shared" si="96"/>
        <v>2.5173644767522152E-3</v>
      </c>
      <c r="T558">
        <v>1329.1999510000001</v>
      </c>
      <c r="U558">
        <f t="shared" si="97"/>
        <v>6.6265290807678845E-3</v>
      </c>
      <c r="W558">
        <f t="shared" si="98"/>
        <v>-1.8395256822044351E-3</v>
      </c>
      <c r="X558">
        <v>-3.1164259105086467E-3</v>
      </c>
    </row>
    <row r="559" spans="1:24" x14ac:dyDescent="0.35">
      <c r="A559" s="1">
        <v>43641</v>
      </c>
      <c r="B559">
        <v>1184.838013</v>
      </c>
      <c r="C559">
        <f t="shared" si="88"/>
        <v>2.6497079460857664E-2</v>
      </c>
      <c r="D559">
        <v>2267.8000489999999</v>
      </c>
      <c r="E559">
        <f t="shared" si="89"/>
        <v>-3.3838501428258283E-3</v>
      </c>
      <c r="F559">
        <v>1214.349976</v>
      </c>
      <c r="G559">
        <f t="shared" si="90"/>
        <v>4.4459150161930694E-3</v>
      </c>
      <c r="H559">
        <v>342.17565919999998</v>
      </c>
      <c r="I559">
        <f t="shared" si="91"/>
        <v>1.0142040950925635E-2</v>
      </c>
      <c r="J559">
        <v>748.09997559999999</v>
      </c>
      <c r="K559">
        <f t="shared" si="92"/>
        <v>3.4875594902750162E-3</v>
      </c>
      <c r="L559">
        <v>278.5</v>
      </c>
      <c r="M559">
        <f t="shared" si="93"/>
        <v>8.1447963800904688E-3</v>
      </c>
      <c r="N559">
        <v>385.75</v>
      </c>
      <c r="O559">
        <f t="shared" si="94"/>
        <v>5.9981424613968493E-3</v>
      </c>
      <c r="P559">
        <v>166.1999969</v>
      </c>
      <c r="Q559">
        <f t="shared" si="95"/>
        <v>6.0532688787235944E-3</v>
      </c>
      <c r="R559">
        <v>160.4499969</v>
      </c>
      <c r="S559">
        <f t="shared" si="96"/>
        <v>7.2190444295101575E-3</v>
      </c>
      <c r="T559">
        <v>1330.650024</v>
      </c>
      <c r="U559">
        <f t="shared" si="97"/>
        <v>1.0909366938427478E-3</v>
      </c>
      <c r="W559">
        <f t="shared" si="98"/>
        <v>6.9694933618989372E-3</v>
      </c>
      <c r="X559">
        <v>-3.1004112836087059E-3</v>
      </c>
    </row>
    <row r="560" spans="1:24" x14ac:dyDescent="0.35">
      <c r="A560" s="1">
        <v>43642</v>
      </c>
      <c r="B560">
        <v>1183.2836910000001</v>
      </c>
      <c r="C560">
        <f t="shared" si="88"/>
        <v>-1.3118434612545693E-3</v>
      </c>
      <c r="D560">
        <v>2254.1999510000001</v>
      </c>
      <c r="E560">
        <f t="shared" si="89"/>
        <v>-5.9970445833603669E-3</v>
      </c>
      <c r="F560">
        <v>1233.9499510000001</v>
      </c>
      <c r="G560">
        <f t="shared" si="90"/>
        <v>1.6140301714799854E-2</v>
      </c>
      <c r="H560">
        <v>339.18185419999998</v>
      </c>
      <c r="I560">
        <f t="shared" si="91"/>
        <v>-8.749321933066434E-3</v>
      </c>
      <c r="J560">
        <v>739.20001219999995</v>
      </c>
      <c r="K560">
        <f t="shared" si="92"/>
        <v>-1.1896756704024791E-2</v>
      </c>
      <c r="L560">
        <v>277.39999390000003</v>
      </c>
      <c r="M560">
        <f t="shared" si="93"/>
        <v>-3.9497526032314934E-3</v>
      </c>
      <c r="N560">
        <v>399.4500122</v>
      </c>
      <c r="O560">
        <f t="shared" si="94"/>
        <v>3.5515261697991019E-2</v>
      </c>
      <c r="P560">
        <v>167.5500031</v>
      </c>
      <c r="Q560">
        <f t="shared" si="95"/>
        <v>8.1227811382709181E-3</v>
      </c>
      <c r="R560">
        <v>161.1000061</v>
      </c>
      <c r="S560">
        <f t="shared" si="96"/>
        <v>4.0511636806395135E-3</v>
      </c>
      <c r="T560">
        <v>1387.4499510000001</v>
      </c>
      <c r="U560">
        <f t="shared" si="97"/>
        <v>4.2685849754285243E-2</v>
      </c>
      <c r="W560">
        <f t="shared" si="98"/>
        <v>7.4610638701048896E-3</v>
      </c>
      <c r="X560">
        <v>-3.0682379718614873E-3</v>
      </c>
    </row>
    <row r="561" spans="1:24" x14ac:dyDescent="0.35">
      <c r="A561" s="1">
        <v>43643</v>
      </c>
      <c r="B561">
        <v>1164.9970699999999</v>
      </c>
      <c r="C561">
        <f t="shared" si="88"/>
        <v>-1.5454130855590553E-2</v>
      </c>
      <c r="D561">
        <v>2252.5500489999999</v>
      </c>
      <c r="E561">
        <f t="shared" si="89"/>
        <v>-7.3192353644946362E-4</v>
      </c>
      <c r="F561">
        <v>1231.150024</v>
      </c>
      <c r="G561">
        <f t="shared" si="90"/>
        <v>-2.2690766329144241E-3</v>
      </c>
      <c r="H561">
        <v>342.2247314</v>
      </c>
      <c r="I561">
        <f t="shared" si="91"/>
        <v>8.9712263858483521E-3</v>
      </c>
      <c r="J561">
        <v>730.54998780000005</v>
      </c>
      <c r="K561">
        <f t="shared" si="92"/>
        <v>-1.1701872642366107E-2</v>
      </c>
      <c r="L561">
        <v>273.5</v>
      </c>
      <c r="M561">
        <f t="shared" si="93"/>
        <v>-1.4059098723001151E-2</v>
      </c>
      <c r="N561">
        <v>402.7999878</v>
      </c>
      <c r="O561">
        <f t="shared" si="94"/>
        <v>8.3864701406559661E-3</v>
      </c>
      <c r="P561">
        <v>170.6000061</v>
      </c>
      <c r="Q561">
        <f t="shared" si="95"/>
        <v>1.8203538905216643E-2</v>
      </c>
      <c r="R561">
        <v>165.8500061</v>
      </c>
      <c r="S561">
        <f t="shared" si="96"/>
        <v>2.948479093819234E-2</v>
      </c>
      <c r="T561">
        <v>1390.5500489999999</v>
      </c>
      <c r="U561">
        <f t="shared" si="97"/>
        <v>2.2343854621678094E-3</v>
      </c>
      <c r="W561">
        <f t="shared" si="98"/>
        <v>2.3064309441759409E-3</v>
      </c>
      <c r="X561">
        <v>-3.0479976870219083E-3</v>
      </c>
    </row>
    <row r="562" spans="1:24" x14ac:dyDescent="0.35">
      <c r="A562" s="1">
        <v>43644</v>
      </c>
      <c r="B562">
        <v>1145.750366</v>
      </c>
      <c r="C562">
        <f t="shared" si="88"/>
        <v>-1.6520817515875752E-2</v>
      </c>
      <c r="D562">
        <v>2227.1999510000001</v>
      </c>
      <c r="E562">
        <f t="shared" si="89"/>
        <v>-1.1253955494242573E-2</v>
      </c>
      <c r="F562">
        <v>1221.875</v>
      </c>
      <c r="G562">
        <f t="shared" si="90"/>
        <v>-7.533626137508076E-3</v>
      </c>
      <c r="H562">
        <v>340.26159669999998</v>
      </c>
      <c r="I562">
        <f t="shared" si="91"/>
        <v>-5.7363905056454501E-3</v>
      </c>
      <c r="J562">
        <v>732</v>
      </c>
      <c r="K562">
        <f t="shared" si="92"/>
        <v>1.9848227009988673E-3</v>
      </c>
      <c r="L562">
        <v>273.85000609999997</v>
      </c>
      <c r="M562">
        <f t="shared" si="93"/>
        <v>1.2797297989031176E-3</v>
      </c>
      <c r="N562">
        <v>400.9500122</v>
      </c>
      <c r="O562">
        <f t="shared" si="94"/>
        <v>-4.5927896127905266E-3</v>
      </c>
      <c r="P562">
        <v>167.75</v>
      </c>
      <c r="Q562">
        <f t="shared" si="95"/>
        <v>-1.6705779590238889E-2</v>
      </c>
      <c r="R562">
        <v>162.5500031</v>
      </c>
      <c r="S562">
        <f t="shared" si="96"/>
        <v>-1.989751509572002E-2</v>
      </c>
      <c r="T562">
        <v>1397.900024</v>
      </c>
      <c r="U562">
        <f t="shared" si="97"/>
        <v>5.2856601639659218E-3</v>
      </c>
      <c r="W562">
        <f t="shared" si="98"/>
        <v>-7.3690661288153391E-3</v>
      </c>
      <c r="X562">
        <v>-3.0463549960649157E-3</v>
      </c>
    </row>
    <row r="563" spans="1:24" x14ac:dyDescent="0.35">
      <c r="A563" s="1">
        <v>43647</v>
      </c>
      <c r="B563">
        <v>1160.1511230000001</v>
      </c>
      <c r="C563">
        <f t="shared" si="88"/>
        <v>1.2568843464807689E-2</v>
      </c>
      <c r="D563">
        <v>2239.5500489999999</v>
      </c>
      <c r="E563">
        <f t="shared" si="89"/>
        <v>5.5451231464218598E-3</v>
      </c>
      <c r="F563">
        <v>1242.775024</v>
      </c>
      <c r="G563">
        <f t="shared" si="90"/>
        <v>1.7104878976982096E-2</v>
      </c>
      <c r="H563">
        <v>342.07748409999999</v>
      </c>
      <c r="I563">
        <f t="shared" si="91"/>
        <v>5.3367391959928678E-3</v>
      </c>
      <c r="J563">
        <v>731.29998780000005</v>
      </c>
      <c r="K563">
        <f t="shared" si="92"/>
        <v>-9.5630081967201797E-4</v>
      </c>
      <c r="L563">
        <v>274.9500122</v>
      </c>
      <c r="M563">
        <f t="shared" si="93"/>
        <v>4.0168197023824348E-3</v>
      </c>
      <c r="N563">
        <v>405.35000609999997</v>
      </c>
      <c r="O563">
        <f t="shared" si="94"/>
        <v>1.0973921352084082E-2</v>
      </c>
      <c r="P563">
        <v>161</v>
      </c>
      <c r="Q563">
        <f t="shared" si="95"/>
        <v>-4.0238450074515653E-2</v>
      </c>
      <c r="R563">
        <v>168</v>
      </c>
      <c r="S563">
        <f t="shared" si="96"/>
        <v>3.3528125475624782E-2</v>
      </c>
      <c r="T563">
        <v>1426.0500489999999</v>
      </c>
      <c r="U563">
        <f t="shared" si="97"/>
        <v>2.0137366418701674E-2</v>
      </c>
      <c r="W563">
        <f t="shared" si="98"/>
        <v>6.8017066838809816E-3</v>
      </c>
      <c r="X563">
        <v>-3.0461529209736432E-3</v>
      </c>
    </row>
    <row r="564" spans="1:24" x14ac:dyDescent="0.35">
      <c r="A564" s="1">
        <v>43648</v>
      </c>
      <c r="B564">
        <v>1168.974365</v>
      </c>
      <c r="C564">
        <f t="shared" si="88"/>
        <v>7.6052523029794816E-3</v>
      </c>
      <c r="D564">
        <v>2252.1000979999999</v>
      </c>
      <c r="E564">
        <f t="shared" si="89"/>
        <v>5.603826092479558E-3</v>
      </c>
      <c r="F564">
        <v>1247.5</v>
      </c>
      <c r="G564">
        <f t="shared" si="90"/>
        <v>3.8019560328723667E-3</v>
      </c>
      <c r="H564">
        <v>347.08349609999999</v>
      </c>
      <c r="I564">
        <f t="shared" si="91"/>
        <v>1.4634146451266039E-2</v>
      </c>
      <c r="J564">
        <v>740</v>
      </c>
      <c r="K564">
        <f t="shared" si="92"/>
        <v>1.1896639334252557E-2</v>
      </c>
      <c r="L564">
        <v>273.85000609999997</v>
      </c>
      <c r="M564">
        <f t="shared" si="93"/>
        <v>-4.0007494133147414E-3</v>
      </c>
      <c r="N564">
        <v>395.5499878</v>
      </c>
      <c r="O564">
        <f t="shared" si="94"/>
        <v>-2.4176682256129789E-2</v>
      </c>
      <c r="P564">
        <v>165.6499939</v>
      </c>
      <c r="Q564">
        <f t="shared" si="95"/>
        <v>2.8881949689441022E-2</v>
      </c>
      <c r="R564">
        <v>163.75</v>
      </c>
      <c r="S564">
        <f t="shared" si="96"/>
        <v>-2.5297619047619069E-2</v>
      </c>
      <c r="T564">
        <v>1446.599976</v>
      </c>
      <c r="U564">
        <f t="shared" si="97"/>
        <v>1.4410382731244509E-2</v>
      </c>
      <c r="W564">
        <f t="shared" si="98"/>
        <v>3.3359101917471933E-3</v>
      </c>
      <c r="X564">
        <v>-3.0277432432112457E-3</v>
      </c>
    </row>
    <row r="565" spans="1:24" x14ac:dyDescent="0.35">
      <c r="A565" s="1">
        <v>43649</v>
      </c>
      <c r="B565">
        <v>1172.6773679999999</v>
      </c>
      <c r="C565">
        <f t="shared" si="88"/>
        <v>3.1677367022500125E-3</v>
      </c>
      <c r="D565">
        <v>2237.6499020000001</v>
      </c>
      <c r="E565">
        <f t="shared" si="89"/>
        <v>-6.4163204880779423E-3</v>
      </c>
      <c r="F565">
        <v>1244.8249510000001</v>
      </c>
      <c r="G565">
        <f t="shared" si="90"/>
        <v>-2.1443278557113921E-3</v>
      </c>
      <c r="H565">
        <v>346.69088749999997</v>
      </c>
      <c r="I565">
        <f t="shared" si="91"/>
        <v>-1.1311647036277295E-3</v>
      </c>
      <c r="J565">
        <v>731.29998780000005</v>
      </c>
      <c r="K565">
        <f t="shared" si="92"/>
        <v>-1.1756773243243201E-2</v>
      </c>
      <c r="L565">
        <v>276.7000122</v>
      </c>
      <c r="M565">
        <f t="shared" si="93"/>
        <v>1.0407179245996767E-2</v>
      </c>
      <c r="N565">
        <v>395.7000122</v>
      </c>
      <c r="O565">
        <f t="shared" si="94"/>
        <v>3.7928050721069972E-4</v>
      </c>
      <c r="P565">
        <v>166.3000031</v>
      </c>
      <c r="Q565">
        <f t="shared" si="95"/>
        <v>3.9239916929449947E-3</v>
      </c>
      <c r="R565">
        <v>162.3000031</v>
      </c>
      <c r="S565">
        <f t="shared" si="96"/>
        <v>-8.8549429007633851E-3</v>
      </c>
      <c r="T565">
        <v>1460.099976</v>
      </c>
      <c r="U565">
        <f t="shared" si="97"/>
        <v>9.3322274464078259E-3</v>
      </c>
      <c r="W565">
        <f t="shared" si="98"/>
        <v>-3.0931135966133505E-4</v>
      </c>
      <c r="X565">
        <v>-3.0256220242643296E-3</v>
      </c>
    </row>
    <row r="566" spans="1:24" x14ac:dyDescent="0.35">
      <c r="A566" s="1">
        <v>43650</v>
      </c>
      <c r="B566">
        <v>1174.0031739999999</v>
      </c>
      <c r="C566">
        <f t="shared" si="88"/>
        <v>1.1305803592518426E-3</v>
      </c>
      <c r="D566">
        <v>2242.6499020000001</v>
      </c>
      <c r="E566">
        <f t="shared" si="89"/>
        <v>2.2344871713537717E-3</v>
      </c>
      <c r="F566">
        <v>1241.900024</v>
      </c>
      <c r="G566">
        <f t="shared" si="90"/>
        <v>-2.3496693231047638E-3</v>
      </c>
      <c r="H566">
        <v>356.06488039999999</v>
      </c>
      <c r="I566">
        <f t="shared" si="91"/>
        <v>2.7038475016162744E-2</v>
      </c>
      <c r="J566">
        <v>733.79998780000005</v>
      </c>
      <c r="K566">
        <f t="shared" si="92"/>
        <v>3.4185697274806692E-3</v>
      </c>
      <c r="L566">
        <v>277.64999390000003</v>
      </c>
      <c r="M566">
        <f t="shared" si="93"/>
        <v>3.4332549986060279E-3</v>
      </c>
      <c r="N566">
        <v>392.10000609999997</v>
      </c>
      <c r="O566">
        <f t="shared" si="94"/>
        <v>-9.0978164998904987E-3</v>
      </c>
      <c r="P566">
        <v>167.1000061</v>
      </c>
      <c r="Q566">
        <f t="shared" si="95"/>
        <v>4.810601233236067E-3</v>
      </c>
      <c r="R566">
        <v>165.1999969</v>
      </c>
      <c r="S566">
        <f t="shared" si="96"/>
        <v>1.7868106867583888E-2</v>
      </c>
      <c r="T566">
        <v>1433</v>
      </c>
      <c r="U566">
        <f t="shared" si="97"/>
        <v>-1.8560356445071258E-2</v>
      </c>
      <c r="W566">
        <f t="shared" si="98"/>
        <v>2.992623310560849E-3</v>
      </c>
      <c r="X566">
        <v>-3.0237634696392082E-3</v>
      </c>
    </row>
    <row r="567" spans="1:24" x14ac:dyDescent="0.35">
      <c r="A567" s="1">
        <v>43651</v>
      </c>
      <c r="B567">
        <v>1155.122192</v>
      </c>
      <c r="C567">
        <f t="shared" si="88"/>
        <v>-1.6082564696711765E-2</v>
      </c>
      <c r="D567">
        <v>2163.1000979999999</v>
      </c>
      <c r="E567">
        <f t="shared" si="89"/>
        <v>-3.5471343043360193E-2</v>
      </c>
      <c r="F567">
        <v>1236.1999510000001</v>
      </c>
      <c r="G567">
        <f t="shared" si="90"/>
        <v>-4.5898002172838348E-3</v>
      </c>
      <c r="H567">
        <v>358.07708739999998</v>
      </c>
      <c r="I567">
        <f t="shared" si="91"/>
        <v>5.6512369255274919E-3</v>
      </c>
      <c r="J567">
        <v>718</v>
      </c>
      <c r="K567">
        <f t="shared" si="92"/>
        <v>-2.1531736253321387E-2</v>
      </c>
      <c r="L567">
        <v>279.4500122</v>
      </c>
      <c r="M567">
        <f t="shared" si="93"/>
        <v>6.4830482245510357E-3</v>
      </c>
      <c r="N567">
        <v>375.25</v>
      </c>
      <c r="O567">
        <f t="shared" si="94"/>
        <v>-4.2973746079724928E-2</v>
      </c>
      <c r="P567">
        <v>161.5</v>
      </c>
      <c r="Q567">
        <f t="shared" si="95"/>
        <v>-3.351290182867328E-2</v>
      </c>
      <c r="R567">
        <v>160.1999969</v>
      </c>
      <c r="S567">
        <f t="shared" si="96"/>
        <v>-3.0266344393617861E-2</v>
      </c>
      <c r="T567">
        <v>1356.150024</v>
      </c>
      <c r="U567">
        <f t="shared" si="97"/>
        <v>-5.3628734124214872E-2</v>
      </c>
      <c r="W567">
        <f t="shared" si="98"/>
        <v>-2.2592288548682959E-2</v>
      </c>
      <c r="X567">
        <v>-2.9840201549829249E-3</v>
      </c>
    </row>
    <row r="568" spans="1:24" x14ac:dyDescent="0.35">
      <c r="A568" s="1">
        <v>43654</v>
      </c>
      <c r="B568">
        <v>1144.790283</v>
      </c>
      <c r="C568">
        <f t="shared" si="88"/>
        <v>-8.9444294911442679E-3</v>
      </c>
      <c r="D568">
        <v>2175.3999020000001</v>
      </c>
      <c r="E568">
        <f t="shared" si="89"/>
        <v>5.6861927061870876E-3</v>
      </c>
      <c r="F568">
        <v>1204.8000489999999</v>
      </c>
      <c r="G568">
        <f t="shared" si="90"/>
        <v>-2.5400342375519247E-2</v>
      </c>
      <c r="H568">
        <v>349.83190919999998</v>
      </c>
      <c r="I568">
        <f t="shared" si="91"/>
        <v>-2.3026265824122594E-2</v>
      </c>
      <c r="J568">
        <v>717.59997559999999</v>
      </c>
      <c r="K568">
        <f t="shared" si="92"/>
        <v>-5.5713704735371739E-4</v>
      </c>
      <c r="L568">
        <v>277.4500122</v>
      </c>
      <c r="M568">
        <f t="shared" si="93"/>
        <v>-7.1569150570249818E-3</v>
      </c>
      <c r="N568">
        <v>366.7999878</v>
      </c>
      <c r="O568">
        <f t="shared" si="94"/>
        <v>-2.2518353630912702E-2</v>
      </c>
      <c r="P568">
        <v>152.3999939</v>
      </c>
      <c r="Q568">
        <f t="shared" si="95"/>
        <v>-5.6346786996903986E-2</v>
      </c>
      <c r="R568">
        <v>154.5500031</v>
      </c>
      <c r="S568">
        <f t="shared" si="96"/>
        <v>-3.5268376462746387E-2</v>
      </c>
      <c r="T568">
        <v>1393</v>
      </c>
      <c r="U568">
        <f t="shared" si="97"/>
        <v>2.7172492237481194E-2</v>
      </c>
      <c r="W568">
        <f t="shared" si="98"/>
        <v>-1.4635992194205964E-2</v>
      </c>
      <c r="X568">
        <v>-2.9647804853972781E-3</v>
      </c>
    </row>
    <row r="569" spans="1:24" x14ac:dyDescent="0.35">
      <c r="A569" s="1">
        <v>43655</v>
      </c>
      <c r="B569">
        <v>1170.4372559999999</v>
      </c>
      <c r="C569">
        <f t="shared" si="88"/>
        <v>2.2403206404574272E-2</v>
      </c>
      <c r="D569">
        <v>2133.3500979999999</v>
      </c>
      <c r="E569">
        <f t="shared" si="89"/>
        <v>-1.9329689203966938E-2</v>
      </c>
      <c r="F569">
        <v>1189.5749510000001</v>
      </c>
      <c r="G569">
        <f t="shared" si="90"/>
        <v>-1.2637033018580102E-2</v>
      </c>
      <c r="H569">
        <v>355.6231689</v>
      </c>
      <c r="I569">
        <f t="shared" si="91"/>
        <v>1.6554406695614254E-2</v>
      </c>
      <c r="J569">
        <v>715.5</v>
      </c>
      <c r="K569">
        <f t="shared" si="92"/>
        <v>-2.9263875019562846E-3</v>
      </c>
      <c r="L569">
        <v>273.10000609999997</v>
      </c>
      <c r="M569">
        <f t="shared" si="93"/>
        <v>-1.5678521927273592E-2</v>
      </c>
      <c r="N569">
        <v>386.39999390000003</v>
      </c>
      <c r="O569">
        <f t="shared" si="94"/>
        <v>5.3435132911419547E-2</v>
      </c>
      <c r="P569">
        <v>153.3999939</v>
      </c>
      <c r="Q569">
        <f t="shared" si="95"/>
        <v>6.5616800526657748E-3</v>
      </c>
      <c r="R569">
        <v>155.8000031</v>
      </c>
      <c r="S569">
        <f t="shared" si="96"/>
        <v>8.0879972496099573E-3</v>
      </c>
      <c r="T569">
        <v>1374.9499510000001</v>
      </c>
      <c r="U569">
        <f t="shared" si="97"/>
        <v>-1.2957680545584993E-2</v>
      </c>
      <c r="W569">
        <f t="shared" si="98"/>
        <v>4.3513111116521902E-3</v>
      </c>
      <c r="X569">
        <v>-2.9448300655682937E-3</v>
      </c>
    </row>
    <row r="570" spans="1:24" x14ac:dyDescent="0.35">
      <c r="A570" s="1">
        <v>43656</v>
      </c>
      <c r="B570">
        <v>1169.2944339999999</v>
      </c>
      <c r="C570">
        <f t="shared" si="88"/>
        <v>-9.7640603470339205E-4</v>
      </c>
      <c r="D570">
        <v>2108.1999510000001</v>
      </c>
      <c r="E570">
        <f t="shared" si="89"/>
        <v>-1.1789038762825665E-2</v>
      </c>
      <c r="F570">
        <v>1194.375</v>
      </c>
      <c r="G570">
        <f t="shared" si="90"/>
        <v>4.0350958936761216E-3</v>
      </c>
      <c r="H570">
        <v>351.94229130000002</v>
      </c>
      <c r="I570">
        <f t="shared" si="91"/>
        <v>-1.0350499972725413E-2</v>
      </c>
      <c r="J570">
        <v>717.25</v>
      </c>
      <c r="K570">
        <f t="shared" si="92"/>
        <v>2.4458420684836391E-3</v>
      </c>
      <c r="L570">
        <v>273.14999390000003</v>
      </c>
      <c r="M570">
        <f t="shared" si="93"/>
        <v>1.830384433669785E-4</v>
      </c>
      <c r="N570">
        <v>392.2000122</v>
      </c>
      <c r="O570">
        <f t="shared" si="94"/>
        <v>1.5010399564087562E-2</v>
      </c>
      <c r="P570">
        <v>151.6499939</v>
      </c>
      <c r="Q570">
        <f t="shared" si="95"/>
        <v>-1.1408083895627863E-2</v>
      </c>
      <c r="R570">
        <v>151.6499939</v>
      </c>
      <c r="S570">
        <f t="shared" si="96"/>
        <v>-2.6636772255622665E-2</v>
      </c>
      <c r="T570">
        <v>1350.8000489999999</v>
      </c>
      <c r="U570">
        <f t="shared" si="97"/>
        <v>-1.7564204415175921E-2</v>
      </c>
      <c r="W570">
        <f t="shared" si="98"/>
        <v>-5.7050629367066622E-3</v>
      </c>
      <c r="X570">
        <v>-2.9268261777182897E-3</v>
      </c>
    </row>
    <row r="571" spans="1:24" x14ac:dyDescent="0.35">
      <c r="A571" s="1">
        <v>43657</v>
      </c>
      <c r="B571">
        <v>1171.763062</v>
      </c>
      <c r="C571">
        <f t="shared" si="88"/>
        <v>2.1112116231967182E-3</v>
      </c>
      <c r="D571">
        <v>2102.5500489999999</v>
      </c>
      <c r="E571">
        <f t="shared" si="89"/>
        <v>-2.6799649612553322E-3</v>
      </c>
      <c r="F571">
        <v>1203.5749510000001</v>
      </c>
      <c r="G571">
        <f t="shared" si="90"/>
        <v>7.7027323914180545E-3</v>
      </c>
      <c r="H571">
        <v>354.10174560000002</v>
      </c>
      <c r="I571">
        <f t="shared" si="91"/>
        <v>6.1358192902121189E-3</v>
      </c>
      <c r="J571">
        <v>721.5</v>
      </c>
      <c r="K571">
        <f t="shared" si="92"/>
        <v>5.9254095503660231E-3</v>
      </c>
      <c r="L571">
        <v>275.64999390000003</v>
      </c>
      <c r="M571">
        <f t="shared" si="93"/>
        <v>9.1524805265610354E-3</v>
      </c>
      <c r="N571">
        <v>398.14999390000003</v>
      </c>
      <c r="O571">
        <f t="shared" si="94"/>
        <v>1.5170784076788513E-2</v>
      </c>
      <c r="P571">
        <v>153.1000061</v>
      </c>
      <c r="Q571">
        <f t="shared" si="95"/>
        <v>9.5615711066638909E-3</v>
      </c>
      <c r="R571">
        <v>156.8000031</v>
      </c>
      <c r="S571">
        <f t="shared" si="96"/>
        <v>3.3959837831553097E-2</v>
      </c>
      <c r="T571">
        <v>1373</v>
      </c>
      <c r="U571">
        <f t="shared" si="97"/>
        <v>1.6434668488822357E-2</v>
      </c>
      <c r="W571">
        <f t="shared" si="98"/>
        <v>1.0347454992432649E-2</v>
      </c>
      <c r="X571">
        <v>-2.9266065083229601E-3</v>
      </c>
    </row>
    <row r="572" spans="1:24" x14ac:dyDescent="0.35">
      <c r="A572" s="1">
        <v>43658</v>
      </c>
      <c r="B572">
        <v>1170.803101</v>
      </c>
      <c r="C572">
        <f t="shared" si="88"/>
        <v>-8.1924497462948498E-4</v>
      </c>
      <c r="D572">
        <v>2107.6000979999999</v>
      </c>
      <c r="E572">
        <f t="shared" si="89"/>
        <v>2.4018686272899714E-3</v>
      </c>
      <c r="F572">
        <v>1196.9499510000001</v>
      </c>
      <c r="G572">
        <f t="shared" si="90"/>
        <v>-5.5044349290382932E-3</v>
      </c>
      <c r="H572">
        <v>349.53744510000001</v>
      </c>
      <c r="I572">
        <f t="shared" si="91"/>
        <v>-1.2889799490443443E-2</v>
      </c>
      <c r="J572">
        <v>726.75</v>
      </c>
      <c r="K572">
        <f t="shared" si="92"/>
        <v>7.2765072765073047E-3</v>
      </c>
      <c r="L572">
        <v>275.0499878</v>
      </c>
      <c r="M572">
        <f t="shared" si="93"/>
        <v>-2.1766954952943118E-3</v>
      </c>
      <c r="N572">
        <v>407.7000122</v>
      </c>
      <c r="O572">
        <f t="shared" si="94"/>
        <v>2.3985981279202484E-2</v>
      </c>
      <c r="P572">
        <v>149.6999969</v>
      </c>
      <c r="Q572">
        <f t="shared" si="95"/>
        <v>-2.2207766587410971E-2</v>
      </c>
      <c r="R572">
        <v>159.3000031</v>
      </c>
      <c r="S572">
        <f t="shared" si="96"/>
        <v>1.5943877235803372E-2</v>
      </c>
      <c r="T572">
        <v>1359.400024</v>
      </c>
      <c r="U572">
        <f t="shared" si="97"/>
        <v>-9.9052993445010173E-3</v>
      </c>
      <c r="W572">
        <f t="shared" si="98"/>
        <v>-3.8950064025143876E-4</v>
      </c>
      <c r="X572">
        <v>-2.9161050302103481E-3</v>
      </c>
    </row>
    <row r="573" spans="1:24" x14ac:dyDescent="0.35">
      <c r="A573" s="1">
        <v>43661</v>
      </c>
      <c r="B573">
        <v>1166.780029</v>
      </c>
      <c r="C573">
        <f t="shared" si="88"/>
        <v>-3.4361644554612436E-3</v>
      </c>
      <c r="D573">
        <v>2145.6999510000001</v>
      </c>
      <c r="E573">
        <f t="shared" si="89"/>
        <v>1.8077363460058171E-2</v>
      </c>
      <c r="F573">
        <v>1197.375</v>
      </c>
      <c r="G573">
        <f t="shared" si="90"/>
        <v>3.5511008596889049E-4</v>
      </c>
      <c r="H573">
        <v>344.1387939</v>
      </c>
      <c r="I573">
        <f t="shared" si="91"/>
        <v>-1.5445129772735822E-2</v>
      </c>
      <c r="J573">
        <v>779.34997559999999</v>
      </c>
      <c r="K573">
        <f t="shared" si="92"/>
        <v>7.2376987409700666E-2</v>
      </c>
      <c r="L573">
        <v>270.9500122</v>
      </c>
      <c r="M573">
        <f t="shared" si="93"/>
        <v>-1.4906292608095839E-2</v>
      </c>
      <c r="N573">
        <v>422.9500122</v>
      </c>
      <c r="O573">
        <f t="shared" si="94"/>
        <v>3.740495350419315E-2</v>
      </c>
      <c r="P573">
        <v>150.6999969</v>
      </c>
      <c r="Q573">
        <f t="shared" si="95"/>
        <v>6.6800268584374933E-3</v>
      </c>
      <c r="R573">
        <v>160.9499969</v>
      </c>
      <c r="S573">
        <f t="shared" si="96"/>
        <v>1.0357776320721213E-2</v>
      </c>
      <c r="T573">
        <v>1425.25</v>
      </c>
      <c r="U573">
        <f t="shared" si="97"/>
        <v>4.8440469940730146E-2</v>
      </c>
      <c r="W573">
        <f t="shared" si="98"/>
        <v>1.5990510074351684E-2</v>
      </c>
      <c r="X573">
        <v>-2.9132097839007936E-3</v>
      </c>
    </row>
    <row r="574" spans="1:24" x14ac:dyDescent="0.35">
      <c r="A574" s="1">
        <v>43662</v>
      </c>
      <c r="B574">
        <v>1182.232178</v>
      </c>
      <c r="C574">
        <f t="shared" si="88"/>
        <v>1.3243412310753433E-2</v>
      </c>
      <c r="D574">
        <v>2106</v>
      </c>
      <c r="E574">
        <f t="shared" si="89"/>
        <v>-1.8502098106260356E-2</v>
      </c>
      <c r="F574">
        <v>1195.599976</v>
      </c>
      <c r="G574">
        <f t="shared" si="90"/>
        <v>-1.4824294811567329E-3</v>
      </c>
      <c r="H574">
        <v>344.28604130000002</v>
      </c>
      <c r="I574">
        <f t="shared" si="91"/>
        <v>4.2787213359862797E-4</v>
      </c>
      <c r="J574">
        <v>784.84997559999999</v>
      </c>
      <c r="K574">
        <f t="shared" si="92"/>
        <v>7.0571632414124785E-3</v>
      </c>
      <c r="L574">
        <v>271.9500122</v>
      </c>
      <c r="M574">
        <f t="shared" si="93"/>
        <v>3.6907176784397588E-3</v>
      </c>
      <c r="N574">
        <v>433.2999878</v>
      </c>
      <c r="O574">
        <f t="shared" si="94"/>
        <v>2.4470919261035062E-2</v>
      </c>
      <c r="P574">
        <v>152.25</v>
      </c>
      <c r="Q574">
        <f t="shared" si="95"/>
        <v>1.0285355885100156E-2</v>
      </c>
      <c r="R574">
        <v>170</v>
      </c>
      <c r="S574">
        <f t="shared" si="96"/>
        <v>5.6228662779179039E-2</v>
      </c>
      <c r="T574">
        <v>1463.599976</v>
      </c>
      <c r="U574">
        <f t="shared" si="97"/>
        <v>2.6907543238028353E-2</v>
      </c>
      <c r="W574">
        <f t="shared" si="98"/>
        <v>1.2232711894012984E-2</v>
      </c>
      <c r="X574">
        <v>-2.8483305240749501E-3</v>
      </c>
    </row>
    <row r="575" spans="1:24" x14ac:dyDescent="0.35">
      <c r="A575" s="1">
        <v>43663</v>
      </c>
      <c r="B575">
        <v>1172.0373540000001</v>
      </c>
      <c r="C575">
        <f t="shared" si="88"/>
        <v>-8.6233687339204446E-3</v>
      </c>
      <c r="D575">
        <v>2117.25</v>
      </c>
      <c r="E575">
        <f t="shared" si="89"/>
        <v>5.3418803418803229E-3</v>
      </c>
      <c r="F575">
        <v>1198.724976</v>
      </c>
      <c r="G575">
        <f t="shared" si="90"/>
        <v>2.6137504706673642E-3</v>
      </c>
      <c r="H575">
        <v>339.86895750000002</v>
      </c>
      <c r="I575">
        <f t="shared" si="91"/>
        <v>-1.2829691797324738E-2</v>
      </c>
      <c r="J575">
        <v>794.15002440000001</v>
      </c>
      <c r="K575">
        <f t="shared" si="92"/>
        <v>1.1849460520006128E-2</v>
      </c>
      <c r="L575">
        <v>272.89999390000003</v>
      </c>
      <c r="M575">
        <f t="shared" si="93"/>
        <v>3.493221759083287E-3</v>
      </c>
      <c r="N575">
        <v>430.0499878</v>
      </c>
      <c r="O575">
        <f t="shared" si="94"/>
        <v>-7.5005771786453845E-3</v>
      </c>
      <c r="P575">
        <v>149.8999939</v>
      </c>
      <c r="Q575">
        <f t="shared" si="95"/>
        <v>-1.5435179638752072E-2</v>
      </c>
      <c r="R575">
        <v>167.8999939</v>
      </c>
      <c r="S575">
        <f t="shared" si="96"/>
        <v>-1.2352977058823544E-2</v>
      </c>
      <c r="T575">
        <v>1463.8000489999999</v>
      </c>
      <c r="U575">
        <f t="shared" si="97"/>
        <v>1.3669923700510012E-4</v>
      </c>
      <c r="W575">
        <f t="shared" si="98"/>
        <v>-3.330678207882398E-3</v>
      </c>
      <c r="X575">
        <v>-2.8464057641393267E-3</v>
      </c>
    </row>
    <row r="576" spans="1:24" x14ac:dyDescent="0.35">
      <c r="A576" s="1">
        <v>43664</v>
      </c>
      <c r="B576">
        <v>1153.750732</v>
      </c>
      <c r="C576">
        <f t="shared" si="88"/>
        <v>-1.5602422514598535E-2</v>
      </c>
      <c r="D576">
        <v>2065.9499510000001</v>
      </c>
      <c r="E576">
        <f t="shared" si="89"/>
        <v>-2.4229566182548123E-2</v>
      </c>
      <c r="F576">
        <v>1205.9499510000001</v>
      </c>
      <c r="G576">
        <f t="shared" si="90"/>
        <v>6.0272165381161091E-3</v>
      </c>
      <c r="H576">
        <v>336.18807980000003</v>
      </c>
      <c r="I576">
        <f t="shared" si="91"/>
        <v>-1.0830285081272817E-2</v>
      </c>
      <c r="J576">
        <v>792.70001219999995</v>
      </c>
      <c r="K576">
        <f t="shared" si="92"/>
        <v>-1.8258668456196947E-3</v>
      </c>
      <c r="L576">
        <v>273</v>
      </c>
      <c r="M576">
        <f t="shared" si="93"/>
        <v>3.6645695212667029E-4</v>
      </c>
      <c r="N576">
        <v>426.2000122</v>
      </c>
      <c r="O576">
        <f t="shared" si="94"/>
        <v>-8.9523909062182438E-3</v>
      </c>
      <c r="P576">
        <v>143.3999939</v>
      </c>
      <c r="Q576">
        <f t="shared" si="95"/>
        <v>-4.336224325890381E-2</v>
      </c>
      <c r="R576">
        <v>160.75</v>
      </c>
      <c r="S576">
        <f t="shared" si="96"/>
        <v>-4.2584837163594402E-2</v>
      </c>
      <c r="T576">
        <v>1439.400024</v>
      </c>
      <c r="U576">
        <f t="shared" si="97"/>
        <v>-1.6668960365637919E-2</v>
      </c>
      <c r="W576">
        <f t="shared" si="98"/>
        <v>-1.5766289882815077E-2</v>
      </c>
      <c r="X576">
        <v>-2.8277217314139234E-3</v>
      </c>
    </row>
    <row r="577" spans="1:24" x14ac:dyDescent="0.35">
      <c r="A577" s="1">
        <v>43665</v>
      </c>
      <c r="B577">
        <v>1142.001587</v>
      </c>
      <c r="C577">
        <f t="shared" si="88"/>
        <v>-1.0183434492503585E-2</v>
      </c>
      <c r="D577">
        <v>2076.9499510000001</v>
      </c>
      <c r="E577">
        <f t="shared" si="89"/>
        <v>5.324427145331212E-3</v>
      </c>
      <c r="F577">
        <v>1187.8249510000001</v>
      </c>
      <c r="G577">
        <f t="shared" si="90"/>
        <v>-1.5029645289151849E-2</v>
      </c>
      <c r="H577">
        <v>333.68505859999999</v>
      </c>
      <c r="I577">
        <f t="shared" si="91"/>
        <v>-7.4453002661162282E-3</v>
      </c>
      <c r="J577">
        <v>785.40002440000001</v>
      </c>
      <c r="K577">
        <f t="shared" si="92"/>
        <v>-9.2090168886715951E-3</v>
      </c>
      <c r="L577">
        <v>268.2999878</v>
      </c>
      <c r="M577">
        <f t="shared" si="93"/>
        <v>-1.721616190476194E-2</v>
      </c>
      <c r="N577">
        <v>421.35000609999997</v>
      </c>
      <c r="O577">
        <f t="shared" si="94"/>
        <v>-1.1379647961446082E-2</v>
      </c>
      <c r="P577">
        <v>143.8999939</v>
      </c>
      <c r="Q577">
        <f t="shared" si="95"/>
        <v>3.4867504969957608E-3</v>
      </c>
      <c r="R577">
        <v>154.8500061</v>
      </c>
      <c r="S577">
        <f t="shared" si="96"/>
        <v>-3.6702916951788511E-2</v>
      </c>
      <c r="T577">
        <v>1402.0500489999999</v>
      </c>
      <c r="U577">
        <f t="shared" si="97"/>
        <v>-2.5948293995582183E-2</v>
      </c>
      <c r="W577">
        <f t="shared" si="98"/>
        <v>-1.2430324010769501E-2</v>
      </c>
      <c r="X577">
        <v>-2.826075928335892E-3</v>
      </c>
    </row>
    <row r="578" spans="1:24" x14ac:dyDescent="0.35">
      <c r="A578" s="1">
        <v>43668</v>
      </c>
      <c r="B578">
        <v>1170.803101</v>
      </c>
      <c r="C578">
        <f t="shared" si="88"/>
        <v>2.5220204882254738E-2</v>
      </c>
      <c r="D578">
        <v>2109.8999020000001</v>
      </c>
      <c r="E578">
        <f t="shared" si="89"/>
        <v>1.5864585944469045E-2</v>
      </c>
      <c r="F578">
        <v>1148.625</v>
      </c>
      <c r="G578">
        <f t="shared" si="90"/>
        <v>-3.3001454437371902E-2</v>
      </c>
      <c r="H578">
        <v>336.2371521</v>
      </c>
      <c r="I578">
        <f t="shared" si="91"/>
        <v>7.6482102935848673E-3</v>
      </c>
      <c r="J578">
        <v>784.40002440000001</v>
      </c>
      <c r="K578">
        <f t="shared" si="92"/>
        <v>-1.273236527798649E-3</v>
      </c>
      <c r="L578">
        <v>264.39999390000003</v>
      </c>
      <c r="M578">
        <f t="shared" si="93"/>
        <v>-1.4535945126121885E-2</v>
      </c>
      <c r="N578">
        <v>430.25</v>
      </c>
      <c r="O578">
        <f t="shared" si="94"/>
        <v>2.1122567393265346E-2</v>
      </c>
      <c r="P578">
        <v>146.6499939</v>
      </c>
      <c r="Q578">
        <f t="shared" si="95"/>
        <v>1.9110494208297579E-2</v>
      </c>
      <c r="R578">
        <v>156.75</v>
      </c>
      <c r="S578">
        <f t="shared" si="96"/>
        <v>1.22698987739982E-2</v>
      </c>
      <c r="T578">
        <v>1417.5500489999999</v>
      </c>
      <c r="U578">
        <f t="shared" si="97"/>
        <v>1.1055240154269175E-2</v>
      </c>
      <c r="W578">
        <f t="shared" si="98"/>
        <v>6.348056555884652E-3</v>
      </c>
      <c r="X578">
        <v>-2.8168746780233519E-3</v>
      </c>
    </row>
    <row r="579" spans="1:24" x14ac:dyDescent="0.35">
      <c r="A579" s="1">
        <v>43669</v>
      </c>
      <c r="B579">
        <v>1164.448486</v>
      </c>
      <c r="C579">
        <f t="shared" si="88"/>
        <v>-5.4275693279018933E-3</v>
      </c>
      <c r="D579">
        <v>2112.4499510000001</v>
      </c>
      <c r="E579">
        <f t="shared" si="89"/>
        <v>1.20861136473005E-3</v>
      </c>
      <c r="F579">
        <v>1131.75</v>
      </c>
      <c r="G579">
        <f t="shared" si="90"/>
        <v>-1.4691478942213565E-2</v>
      </c>
      <c r="H579">
        <v>337.26779169999998</v>
      </c>
      <c r="I579">
        <f t="shared" si="91"/>
        <v>3.0652163021338552E-3</v>
      </c>
      <c r="J579">
        <v>790.04998780000005</v>
      </c>
      <c r="K579">
        <f t="shared" si="92"/>
        <v>7.2029107907305434E-3</v>
      </c>
      <c r="L579">
        <v>270.64999390000003</v>
      </c>
      <c r="M579">
        <f t="shared" si="93"/>
        <v>2.3638427171688292E-2</v>
      </c>
      <c r="N579">
        <v>430.25</v>
      </c>
      <c r="O579">
        <f t="shared" si="94"/>
        <v>0</v>
      </c>
      <c r="P579">
        <v>144.6000061</v>
      </c>
      <c r="Q579">
        <f t="shared" si="95"/>
        <v>-1.3978778624415544E-2</v>
      </c>
      <c r="R579">
        <v>156.1999969</v>
      </c>
      <c r="S579">
        <f t="shared" si="96"/>
        <v>-3.5087917065390606E-3</v>
      </c>
      <c r="T579">
        <v>1402.349976</v>
      </c>
      <c r="U579">
        <f t="shared" si="97"/>
        <v>-1.0722776956427538E-2</v>
      </c>
      <c r="W579">
        <f t="shared" si="98"/>
        <v>-1.3214229928214861E-3</v>
      </c>
      <c r="X579">
        <v>-2.8010961173686737E-3</v>
      </c>
    </row>
    <row r="580" spans="1:24" x14ac:dyDescent="0.35">
      <c r="A580" s="1">
        <v>43670</v>
      </c>
      <c r="B580">
        <v>1151.236328</v>
      </c>
      <c r="C580">
        <f t="shared" ref="C580:C643" si="99">B580/B579 - 1</f>
        <v>-1.1346279512445601E-2</v>
      </c>
      <c r="D580">
        <v>2096.8000489999999</v>
      </c>
      <c r="E580">
        <f t="shared" ref="E580:E643" si="100">D580/D579 - 1</f>
        <v>-7.4084131520331109E-3</v>
      </c>
      <c r="F580">
        <v>1140.4499510000001</v>
      </c>
      <c r="G580">
        <f t="shared" ref="G580:G643" si="101">F580/F579 - 1</f>
        <v>7.6871667771152286E-3</v>
      </c>
      <c r="H580">
        <v>332.6544189</v>
      </c>
      <c r="I580">
        <f t="shared" ref="I580:I643" si="102">H580/H579 - 1</f>
        <v>-1.3678663997965135E-2</v>
      </c>
      <c r="J580">
        <v>786.29998780000005</v>
      </c>
      <c r="K580">
        <f t="shared" ref="K580:K643" si="103">J580/J579 -1</f>
        <v>-4.7465351027248248E-3</v>
      </c>
      <c r="L580">
        <v>270.85000609999997</v>
      </c>
      <c r="M580">
        <f t="shared" ref="M580:M643" si="104">L580/L579 -1</f>
        <v>7.3900685205208205E-4</v>
      </c>
      <c r="N580">
        <v>425.5499878</v>
      </c>
      <c r="O580">
        <f t="shared" ref="O580:O643" si="105">N580/N579-1</f>
        <v>-1.0923909819872124E-2</v>
      </c>
      <c r="P580">
        <v>143.6000061</v>
      </c>
      <c r="Q580">
        <f t="shared" ref="Q580:Q643" si="106">P580/P579 -1</f>
        <v>-6.9156290305302237E-3</v>
      </c>
      <c r="R580">
        <v>151.25</v>
      </c>
      <c r="S580">
        <f t="shared" ref="S580:S643" si="107">R580/R579 - 1</f>
        <v>-3.1690121627652834E-2</v>
      </c>
      <c r="T580">
        <v>1423.900024</v>
      </c>
      <c r="U580">
        <f t="shared" ref="U580:U643" si="108">T580/T579 - 1</f>
        <v>1.5367096922173751E-2</v>
      </c>
      <c r="W580">
        <f t="shared" ref="W580:W643" si="109">0.1*C580+0.1*E580+0.1*G580+0.1*I580+0.1*K580+0.1*M580+0.1*O580+0.1*Q580+0.1*S580+0.1*U580</f>
        <v>-6.2916281691882811E-3</v>
      </c>
      <c r="X580">
        <v>-2.7903237367243429E-3</v>
      </c>
    </row>
    <row r="581" spans="1:24" x14ac:dyDescent="0.35">
      <c r="A581" s="1">
        <v>43671</v>
      </c>
      <c r="B581">
        <v>1126.000732</v>
      </c>
      <c r="C581">
        <f t="shared" si="99"/>
        <v>-2.1920430572097138E-2</v>
      </c>
      <c r="D581">
        <v>2127.8999020000001</v>
      </c>
      <c r="E581">
        <f t="shared" si="100"/>
        <v>1.4832054689636331E-2</v>
      </c>
      <c r="F581">
        <v>1143.025024</v>
      </c>
      <c r="G581">
        <f t="shared" si="101"/>
        <v>2.257944767976916E-3</v>
      </c>
      <c r="H581">
        <v>332.75256350000001</v>
      </c>
      <c r="I581">
        <f t="shared" si="102"/>
        <v>2.950347099688333E-4</v>
      </c>
      <c r="J581">
        <v>794.5</v>
      </c>
      <c r="K581">
        <f t="shared" si="103"/>
        <v>1.0428605274359626E-2</v>
      </c>
      <c r="L581">
        <v>267.85000609999997</v>
      </c>
      <c r="M581">
        <f t="shared" si="104"/>
        <v>-1.1076241212608195E-2</v>
      </c>
      <c r="N581">
        <v>437.14999390000003</v>
      </c>
      <c r="O581">
        <f t="shared" si="105"/>
        <v>2.7258856615105298E-2</v>
      </c>
      <c r="P581">
        <v>143.8500061</v>
      </c>
      <c r="Q581">
        <f t="shared" si="106"/>
        <v>1.7409470012550443E-3</v>
      </c>
      <c r="R581">
        <v>144.3000031</v>
      </c>
      <c r="S581">
        <f t="shared" si="107"/>
        <v>-4.5950392727272749E-2</v>
      </c>
      <c r="T581">
        <v>1420.150024</v>
      </c>
      <c r="U581">
        <f t="shared" si="108"/>
        <v>-2.6336118665589714E-3</v>
      </c>
      <c r="W581">
        <f t="shared" si="109"/>
        <v>-2.4767233320235008E-3</v>
      </c>
      <c r="X581">
        <v>-2.784758365445783E-3</v>
      </c>
    </row>
    <row r="582" spans="1:24" x14ac:dyDescent="0.35">
      <c r="A582" s="1">
        <v>43672</v>
      </c>
      <c r="B582">
        <v>1109.8170170000001</v>
      </c>
      <c r="C582">
        <f t="shared" si="99"/>
        <v>-1.4372739324293726E-2</v>
      </c>
      <c r="D582">
        <v>2109.0500489999999</v>
      </c>
      <c r="E582">
        <f t="shared" si="100"/>
        <v>-8.8584303153936839E-3</v>
      </c>
      <c r="F582">
        <v>1138.650024</v>
      </c>
      <c r="G582">
        <f t="shared" si="101"/>
        <v>-3.8275627463427719E-3</v>
      </c>
      <c r="H582">
        <v>328.72811890000003</v>
      </c>
      <c r="I582">
        <f t="shared" si="102"/>
        <v>-1.2094405998467894E-2</v>
      </c>
      <c r="J582">
        <v>787</v>
      </c>
      <c r="K582">
        <f t="shared" si="103"/>
        <v>-9.4398993077406956E-3</v>
      </c>
      <c r="L582">
        <v>270.39999390000003</v>
      </c>
      <c r="M582">
        <f t="shared" si="104"/>
        <v>9.520208108742878E-3</v>
      </c>
      <c r="N582">
        <v>439.9500122</v>
      </c>
      <c r="O582">
        <f t="shared" si="105"/>
        <v>6.4051660507182806E-3</v>
      </c>
      <c r="P582">
        <v>141.8999939</v>
      </c>
      <c r="Q582">
        <f t="shared" si="106"/>
        <v>-1.355587151414106E-2</v>
      </c>
      <c r="R582">
        <v>147.1499939</v>
      </c>
      <c r="S582">
        <f t="shared" si="107"/>
        <v>1.9750455570156644E-2</v>
      </c>
      <c r="T582">
        <v>1425.0500489999999</v>
      </c>
      <c r="U582">
        <f t="shared" si="108"/>
        <v>3.4503572983075603E-3</v>
      </c>
      <c r="W582">
        <f t="shared" si="109"/>
        <v>-2.3022722178454485E-3</v>
      </c>
      <c r="X582">
        <v>-2.7772104956932503E-3</v>
      </c>
    </row>
    <row r="583" spans="1:24" x14ac:dyDescent="0.35">
      <c r="A583" s="1">
        <v>43675</v>
      </c>
      <c r="B583">
        <v>1107.211182</v>
      </c>
      <c r="C583">
        <f t="shared" si="99"/>
        <v>-2.3479861635605781E-3</v>
      </c>
      <c r="D583">
        <v>2130</v>
      </c>
      <c r="E583">
        <f t="shared" si="100"/>
        <v>9.9333588645436066E-3</v>
      </c>
      <c r="F583">
        <v>1122.150024</v>
      </c>
      <c r="G583">
        <f t="shared" si="101"/>
        <v>-1.449084411559276E-2</v>
      </c>
      <c r="H583">
        <v>328.38458250000002</v>
      </c>
      <c r="I583">
        <f t="shared" si="102"/>
        <v>-1.0450471993377342E-3</v>
      </c>
      <c r="J583">
        <v>791.45001219999995</v>
      </c>
      <c r="K583">
        <f t="shared" si="103"/>
        <v>5.6543992376110186E-3</v>
      </c>
      <c r="L583">
        <v>267.75</v>
      </c>
      <c r="M583">
        <f t="shared" si="104"/>
        <v>-9.800273519902758E-3</v>
      </c>
      <c r="N583">
        <v>431.0499878</v>
      </c>
      <c r="O583">
        <f t="shared" si="105"/>
        <v>-2.0229626442092474E-2</v>
      </c>
      <c r="P583">
        <v>140.3500061</v>
      </c>
      <c r="Q583">
        <f t="shared" si="106"/>
        <v>-1.0923099835312922E-2</v>
      </c>
      <c r="R583">
        <v>137.5500031</v>
      </c>
      <c r="S583">
        <f t="shared" si="107"/>
        <v>-6.5239491661304161E-2</v>
      </c>
      <c r="T583">
        <v>1449.900024</v>
      </c>
      <c r="U583">
        <f t="shared" si="108"/>
        <v>1.7437966489273871E-2</v>
      </c>
      <c r="W583">
        <f t="shared" si="109"/>
        <v>-9.1050644345674892E-3</v>
      </c>
      <c r="X583">
        <v>-2.7750941182421163E-3</v>
      </c>
    </row>
    <row r="584" spans="1:24" x14ac:dyDescent="0.35">
      <c r="A584" s="1">
        <v>43676</v>
      </c>
      <c r="B584">
        <v>1079.7354740000001</v>
      </c>
      <c r="C584">
        <f t="shared" si="99"/>
        <v>-2.4815237099005349E-2</v>
      </c>
      <c r="D584">
        <v>2179.1499020000001</v>
      </c>
      <c r="E584">
        <f t="shared" si="100"/>
        <v>2.3075071361502442E-2</v>
      </c>
      <c r="F584">
        <v>1126.125</v>
      </c>
      <c r="G584">
        <f t="shared" si="101"/>
        <v>3.5422857149089992E-3</v>
      </c>
      <c r="H584">
        <v>339.37817380000001</v>
      </c>
      <c r="I584">
        <f t="shared" si="102"/>
        <v>3.3477793678087675E-2</v>
      </c>
      <c r="J584">
        <v>792.70001219999995</v>
      </c>
      <c r="K584">
        <f t="shared" si="103"/>
        <v>1.5793795953396028E-3</v>
      </c>
      <c r="L584">
        <v>268.89999390000003</v>
      </c>
      <c r="M584">
        <f t="shared" si="104"/>
        <v>4.2950285714287162E-3</v>
      </c>
      <c r="N584">
        <v>410.35000609999997</v>
      </c>
      <c r="O584">
        <f t="shared" si="105"/>
        <v>-4.8022230102937602E-2</v>
      </c>
      <c r="P584">
        <v>138.75</v>
      </c>
      <c r="Q584">
        <f t="shared" si="106"/>
        <v>-1.1400114217736457E-2</v>
      </c>
      <c r="R584">
        <v>133.4499969</v>
      </c>
      <c r="S584">
        <f t="shared" si="107"/>
        <v>-2.9807387187183565E-2</v>
      </c>
      <c r="T584">
        <v>1459.6999510000001</v>
      </c>
      <c r="U584">
        <f t="shared" si="108"/>
        <v>6.7590363733933678E-3</v>
      </c>
      <c r="W584">
        <f t="shared" si="109"/>
        <v>-4.1316373312202176E-3</v>
      </c>
      <c r="X584">
        <v>-2.7722566287090356E-3</v>
      </c>
    </row>
    <row r="585" spans="1:24" x14ac:dyDescent="0.35">
      <c r="A585" s="1">
        <v>43677</v>
      </c>
      <c r="B585">
        <v>1066.3405760000001</v>
      </c>
      <c r="C585">
        <f t="shared" si="99"/>
        <v>-1.2405721885173526E-2</v>
      </c>
      <c r="D585">
        <v>2205.6999510000001</v>
      </c>
      <c r="E585">
        <f t="shared" si="100"/>
        <v>1.2183672621893793E-2</v>
      </c>
      <c r="F585">
        <v>1125.8249510000001</v>
      </c>
      <c r="G585">
        <f t="shared" si="101"/>
        <v>-2.6644377844375899E-4</v>
      </c>
      <c r="H585">
        <v>331.37835689999997</v>
      </c>
      <c r="I585">
        <f t="shared" si="102"/>
        <v>-2.357198405079064E-2</v>
      </c>
      <c r="J585">
        <v>793.65002440000001</v>
      </c>
      <c r="K585">
        <f t="shared" si="103"/>
        <v>1.1984510979929919E-3</v>
      </c>
      <c r="L585">
        <v>270.2000122</v>
      </c>
      <c r="M585">
        <f t="shared" si="104"/>
        <v>4.834579135332584E-3</v>
      </c>
      <c r="N585">
        <v>426.75</v>
      </c>
      <c r="O585">
        <f t="shared" si="105"/>
        <v>3.9965867323524362E-2</v>
      </c>
      <c r="P585">
        <v>138.8500061</v>
      </c>
      <c r="Q585">
        <f t="shared" si="106"/>
        <v>7.207646846847382E-4</v>
      </c>
      <c r="R585">
        <v>135.6000061</v>
      </c>
      <c r="S585">
        <f t="shared" si="107"/>
        <v>1.6110972273840396E-2</v>
      </c>
      <c r="T585">
        <v>1482.6999510000001</v>
      </c>
      <c r="U585">
        <f t="shared" si="108"/>
        <v>1.5756662856803771E-2</v>
      </c>
      <c r="W585">
        <f t="shared" si="109"/>
        <v>5.4526820279664715E-3</v>
      </c>
      <c r="X585">
        <v>-2.7679684301116893E-3</v>
      </c>
    </row>
    <row r="586" spans="1:24" x14ac:dyDescent="0.35">
      <c r="A586" s="1">
        <v>43678</v>
      </c>
      <c r="B586">
        <v>1079.1412350000001</v>
      </c>
      <c r="C586">
        <f t="shared" si="99"/>
        <v>1.2004287643275324E-2</v>
      </c>
      <c r="D586">
        <v>2180.0500489999999</v>
      </c>
      <c r="E586">
        <f t="shared" si="100"/>
        <v>-1.1628917155468543E-2</v>
      </c>
      <c r="F586">
        <v>1110.900024</v>
      </c>
      <c r="G586">
        <f t="shared" si="101"/>
        <v>-1.3256880642717239E-2</v>
      </c>
      <c r="H586">
        <v>317.93084720000002</v>
      </c>
      <c r="I586">
        <f t="shared" si="102"/>
        <v>-4.0580531045538382E-2</v>
      </c>
      <c r="J586">
        <v>768.84997559999999</v>
      </c>
      <c r="K586">
        <f t="shared" si="103"/>
        <v>-3.1248091775400444E-2</v>
      </c>
      <c r="L586">
        <v>267.5499878</v>
      </c>
      <c r="M586">
        <f t="shared" si="104"/>
        <v>-9.8076398236373041E-3</v>
      </c>
      <c r="N586">
        <v>425.10000609999997</v>
      </c>
      <c r="O586">
        <f t="shared" si="105"/>
        <v>-3.8664180433509721E-3</v>
      </c>
      <c r="P586">
        <v>136.8999939</v>
      </c>
      <c r="Q586">
        <f t="shared" si="106"/>
        <v>-1.4044019548660303E-2</v>
      </c>
      <c r="R586">
        <v>129.5500031</v>
      </c>
      <c r="S586">
        <f t="shared" si="107"/>
        <v>-4.4616539290848967E-2</v>
      </c>
      <c r="T586">
        <v>1483.599976</v>
      </c>
      <c r="U586">
        <f t="shared" si="108"/>
        <v>6.0701762308212892E-4</v>
      </c>
      <c r="W586">
        <f t="shared" si="109"/>
        <v>-1.564377320592647E-2</v>
      </c>
      <c r="X586">
        <v>-2.7554206462316877E-3</v>
      </c>
    </row>
    <row r="587" spans="1:24" x14ac:dyDescent="0.35">
      <c r="A587" s="1">
        <v>43679</v>
      </c>
      <c r="B587">
        <v>1082.889893</v>
      </c>
      <c r="C587">
        <f t="shared" si="99"/>
        <v>3.4737417850592145E-3</v>
      </c>
      <c r="D587">
        <v>2205.3000489999999</v>
      </c>
      <c r="E587">
        <f t="shared" si="100"/>
        <v>1.1582302897854335E-2</v>
      </c>
      <c r="F587">
        <v>1107.1750489999999</v>
      </c>
      <c r="G587">
        <f t="shared" si="101"/>
        <v>-3.3531145193315126E-3</v>
      </c>
      <c r="H587">
        <v>337.21871950000002</v>
      </c>
      <c r="I587">
        <f t="shared" si="102"/>
        <v>6.0666879196741297E-2</v>
      </c>
      <c r="J587">
        <v>775.59997559999999</v>
      </c>
      <c r="K587">
        <f t="shared" si="103"/>
        <v>8.7793460547780366E-3</v>
      </c>
      <c r="L587">
        <v>264.5</v>
      </c>
      <c r="M587">
        <f t="shared" si="104"/>
        <v>-1.1399693287520996E-2</v>
      </c>
      <c r="N587">
        <v>420.64999390000003</v>
      </c>
      <c r="O587">
        <f t="shared" si="105"/>
        <v>-1.046815369594023E-2</v>
      </c>
      <c r="P587">
        <v>134.3500061</v>
      </c>
      <c r="Q587">
        <f t="shared" si="106"/>
        <v>-1.8626646556775261E-2</v>
      </c>
      <c r="R587">
        <v>130.6999969</v>
      </c>
      <c r="S587">
        <f t="shared" si="107"/>
        <v>8.8768334425459727E-3</v>
      </c>
      <c r="T587">
        <v>1514.1999510000001</v>
      </c>
      <c r="U587">
        <f t="shared" si="108"/>
        <v>2.0625489009848952E-2</v>
      </c>
      <c r="W587">
        <f t="shared" si="109"/>
        <v>7.0156984327259808E-3</v>
      </c>
      <c r="X587">
        <v>-2.7286012835764598E-3</v>
      </c>
    </row>
    <row r="588" spans="1:24" x14ac:dyDescent="0.35">
      <c r="A588" s="1">
        <v>43682</v>
      </c>
      <c r="B588">
        <v>1045.4023440000001</v>
      </c>
      <c r="C588">
        <f t="shared" si="99"/>
        <v>-3.4618061579784198E-2</v>
      </c>
      <c r="D588">
        <v>2248.6000979999999</v>
      </c>
      <c r="E588">
        <f t="shared" si="100"/>
        <v>1.9634538628716003E-2</v>
      </c>
      <c r="F588">
        <v>1089.625</v>
      </c>
      <c r="G588">
        <f t="shared" si="101"/>
        <v>-1.5851196263726441E-2</v>
      </c>
      <c r="H588">
        <v>351.10794069999997</v>
      </c>
      <c r="I588">
        <f t="shared" si="102"/>
        <v>4.118757470105372E-2</v>
      </c>
      <c r="J588">
        <v>776.70001219999995</v>
      </c>
      <c r="K588">
        <f t="shared" si="103"/>
        <v>1.418304067311249E-3</v>
      </c>
      <c r="L588">
        <v>259.7999878</v>
      </c>
      <c r="M588">
        <f t="shared" si="104"/>
        <v>-1.7769422306238236E-2</v>
      </c>
      <c r="N588">
        <v>417.14999390000003</v>
      </c>
      <c r="O588">
        <f t="shared" si="105"/>
        <v>-8.320456557125322E-3</v>
      </c>
      <c r="P588">
        <v>131.3000031</v>
      </c>
      <c r="Q588">
        <f t="shared" si="106"/>
        <v>-2.2701919326522435E-2</v>
      </c>
      <c r="R588">
        <v>123.75</v>
      </c>
      <c r="S588">
        <f t="shared" si="107"/>
        <v>-5.3175187948302116E-2</v>
      </c>
      <c r="T588">
        <v>1490.0500489999999</v>
      </c>
      <c r="U588">
        <f t="shared" si="108"/>
        <v>-1.5948951777505438E-2</v>
      </c>
      <c r="W588">
        <f t="shared" si="109"/>
        <v>-1.0614477836212322E-2</v>
      </c>
      <c r="X588">
        <v>-2.7138775888705616E-3</v>
      </c>
    </row>
    <row r="589" spans="1:24" x14ac:dyDescent="0.35">
      <c r="A589" s="1">
        <v>43683</v>
      </c>
      <c r="B589">
        <v>1031.6416019999999</v>
      </c>
      <c r="C589">
        <f t="shared" si="99"/>
        <v>-1.3163106127491275E-2</v>
      </c>
      <c r="D589">
        <v>2214.8999020000001</v>
      </c>
      <c r="E589">
        <f t="shared" si="100"/>
        <v>-1.4987189598530293E-2</v>
      </c>
      <c r="F589">
        <v>1094.5500489999999</v>
      </c>
      <c r="G589">
        <f t="shared" si="101"/>
        <v>4.5199486061717753E-3</v>
      </c>
      <c r="H589">
        <v>361.65985110000003</v>
      </c>
      <c r="I589">
        <f t="shared" si="102"/>
        <v>3.0053180736849372E-2</v>
      </c>
      <c r="J589">
        <v>774.45001219999995</v>
      </c>
      <c r="K589">
        <f t="shared" si="103"/>
        <v>-2.896871333408213E-3</v>
      </c>
      <c r="L589">
        <v>258.89999390000003</v>
      </c>
      <c r="M589">
        <f t="shared" si="104"/>
        <v>-3.4641799163316334E-3</v>
      </c>
      <c r="N589">
        <v>418.2000122</v>
      </c>
      <c r="O589">
        <f t="shared" si="105"/>
        <v>2.5171240929029448E-3</v>
      </c>
      <c r="P589">
        <v>131.4499969</v>
      </c>
      <c r="Q589">
        <f t="shared" si="106"/>
        <v>1.1423746874230645E-3</v>
      </c>
      <c r="R589">
        <v>122.5</v>
      </c>
      <c r="S589">
        <f t="shared" si="107"/>
        <v>-1.0101010101010055E-2</v>
      </c>
      <c r="T589">
        <v>1490.4499510000001</v>
      </c>
      <c r="U589">
        <f t="shared" si="108"/>
        <v>2.6838158910735821E-4</v>
      </c>
      <c r="W589">
        <f t="shared" si="109"/>
        <v>-6.1113473643169519E-4</v>
      </c>
      <c r="X589">
        <v>-2.7119243967811853E-3</v>
      </c>
    </row>
    <row r="590" spans="1:24" x14ac:dyDescent="0.35">
      <c r="A590" s="1">
        <v>43684</v>
      </c>
      <c r="B590">
        <v>1014.360718</v>
      </c>
      <c r="C590">
        <f t="shared" si="99"/>
        <v>-1.6750859956110919E-2</v>
      </c>
      <c r="D590">
        <v>2213.4499510000001</v>
      </c>
      <c r="E590">
        <f t="shared" si="100"/>
        <v>-6.5463500119833373E-4</v>
      </c>
      <c r="F590">
        <v>1092</v>
      </c>
      <c r="G590">
        <f t="shared" si="101"/>
        <v>-2.3297692072917764E-3</v>
      </c>
      <c r="H590">
        <v>359.35314940000001</v>
      </c>
      <c r="I590">
        <f t="shared" si="102"/>
        <v>-6.3780972451991103E-3</v>
      </c>
      <c r="J590">
        <v>776.09997559999999</v>
      </c>
      <c r="K590">
        <f t="shared" si="103"/>
        <v>2.1304969643074489E-3</v>
      </c>
      <c r="L590">
        <v>253.6499939</v>
      </c>
      <c r="M590">
        <f t="shared" si="104"/>
        <v>-2.0278100130152299E-2</v>
      </c>
      <c r="N590">
        <v>421.0499878</v>
      </c>
      <c r="O590">
        <f t="shared" si="105"/>
        <v>6.8148625462904899E-3</v>
      </c>
      <c r="P590">
        <v>130.5</v>
      </c>
      <c r="Q590">
        <f t="shared" si="106"/>
        <v>-7.2270591282151964E-3</v>
      </c>
      <c r="R590">
        <v>117.4000015</v>
      </c>
      <c r="S590">
        <f t="shared" si="107"/>
        <v>-4.163264081632656E-2</v>
      </c>
      <c r="T590">
        <v>1434.3000489999999</v>
      </c>
      <c r="U590">
        <f t="shared" si="108"/>
        <v>-3.7673121437138524E-2</v>
      </c>
      <c r="W590">
        <f t="shared" si="109"/>
        <v>-1.2397892341103479E-2</v>
      </c>
      <c r="X590">
        <v>-2.6881788404475859E-3</v>
      </c>
    </row>
    <row r="591" spans="1:24" x14ac:dyDescent="0.35">
      <c r="A591" s="1">
        <v>43685</v>
      </c>
      <c r="B591">
        <v>1053.6313479999999</v>
      </c>
      <c r="C591">
        <f t="shared" si="99"/>
        <v>3.8714659689729647E-2</v>
      </c>
      <c r="D591">
        <v>2258.1000979999999</v>
      </c>
      <c r="E591">
        <f t="shared" si="100"/>
        <v>2.0172196339848458E-2</v>
      </c>
      <c r="F591">
        <v>1116.5749510000001</v>
      </c>
      <c r="G591">
        <f t="shared" si="101"/>
        <v>2.2504533882783839E-2</v>
      </c>
      <c r="H591">
        <v>365.29165649999999</v>
      </c>
      <c r="I591">
        <f t="shared" si="102"/>
        <v>1.6525546276456193E-2</v>
      </c>
      <c r="J591">
        <v>788.75</v>
      </c>
      <c r="K591">
        <f t="shared" si="103"/>
        <v>1.6299477899377912E-2</v>
      </c>
      <c r="L591">
        <v>257.75</v>
      </c>
      <c r="M591">
        <f t="shared" si="104"/>
        <v>1.6164029957029813E-2</v>
      </c>
      <c r="N591">
        <v>426.4500122</v>
      </c>
      <c r="O591">
        <f t="shared" si="105"/>
        <v>1.2825138478723908E-2</v>
      </c>
      <c r="P591">
        <v>130.8500061</v>
      </c>
      <c r="Q591">
        <f t="shared" si="106"/>
        <v>2.6820390804598304E-3</v>
      </c>
      <c r="R591">
        <v>124.0500031</v>
      </c>
      <c r="S591">
        <f t="shared" si="107"/>
        <v>5.664396520471926E-2</v>
      </c>
      <c r="T591">
        <v>1429.75</v>
      </c>
      <c r="U591">
        <f t="shared" si="108"/>
        <v>-3.1723132151967315E-3</v>
      </c>
      <c r="W591">
        <f t="shared" si="109"/>
        <v>1.9935927359393216E-2</v>
      </c>
      <c r="X591">
        <v>-2.6708232652681513E-3</v>
      </c>
    </row>
    <row r="592" spans="1:24" x14ac:dyDescent="0.35">
      <c r="A592" s="1">
        <v>43686</v>
      </c>
      <c r="B592">
        <v>1062.5460210000001</v>
      </c>
      <c r="C592">
        <f t="shared" si="99"/>
        <v>8.4609033481417573E-3</v>
      </c>
      <c r="D592">
        <v>2246.25</v>
      </c>
      <c r="E592">
        <f t="shared" si="100"/>
        <v>-5.2478178493927663E-3</v>
      </c>
      <c r="F592">
        <v>1141</v>
      </c>
      <c r="G592">
        <f t="shared" si="101"/>
        <v>2.1874974875734976E-2</v>
      </c>
      <c r="H592">
        <v>364.31008910000003</v>
      </c>
      <c r="I592">
        <f t="shared" si="102"/>
        <v>-2.6870786193277096E-3</v>
      </c>
      <c r="J592">
        <v>789.84997559999999</v>
      </c>
      <c r="K592">
        <f t="shared" si="103"/>
        <v>1.3945807923929632E-3</v>
      </c>
      <c r="L592">
        <v>254.1999969</v>
      </c>
      <c r="M592">
        <f t="shared" si="104"/>
        <v>-1.3773047914645953E-2</v>
      </c>
      <c r="N592">
        <v>422</v>
      </c>
      <c r="O592">
        <f t="shared" si="105"/>
        <v>-1.043501482634035E-2</v>
      </c>
      <c r="P592">
        <v>130.9499969</v>
      </c>
      <c r="Q592">
        <f t="shared" si="106"/>
        <v>7.6416351042118968E-4</v>
      </c>
      <c r="R592">
        <v>122.0500031</v>
      </c>
      <c r="S592">
        <f t="shared" si="107"/>
        <v>-1.6122530834503435E-2</v>
      </c>
      <c r="T592">
        <v>1450.8000489999999</v>
      </c>
      <c r="U592">
        <f t="shared" si="108"/>
        <v>1.4722887917468119E-2</v>
      </c>
      <c r="W592">
        <f t="shared" si="109"/>
        <v>-1.0479796000512054E-4</v>
      </c>
      <c r="X592">
        <v>-2.6667612863105041E-3</v>
      </c>
    </row>
    <row r="593" spans="1:24" x14ac:dyDescent="0.35">
      <c r="A593" s="1">
        <v>43690</v>
      </c>
      <c r="B593">
        <v>1165.545654</v>
      </c>
      <c r="C593">
        <f t="shared" si="99"/>
        <v>9.6936632356933838E-2</v>
      </c>
      <c r="D593">
        <v>2199.4499510000001</v>
      </c>
      <c r="E593">
        <f t="shared" si="100"/>
        <v>-2.0834746355036127E-2</v>
      </c>
      <c r="F593">
        <v>1110.1750489999999</v>
      </c>
      <c r="G593">
        <f t="shared" si="101"/>
        <v>-2.7015732690622296E-2</v>
      </c>
      <c r="H593">
        <v>345.16943359999999</v>
      </c>
      <c r="I593">
        <f t="shared" si="102"/>
        <v>-5.2539460401125782E-2</v>
      </c>
      <c r="J593">
        <v>764.75</v>
      </c>
      <c r="K593">
        <f t="shared" si="103"/>
        <v>-3.1778155821215459E-2</v>
      </c>
      <c r="L593">
        <v>246.3000031</v>
      </c>
      <c r="M593">
        <f t="shared" si="104"/>
        <v>-3.1077867412830029E-2</v>
      </c>
      <c r="N593">
        <v>439.25</v>
      </c>
      <c r="O593">
        <f t="shared" si="105"/>
        <v>4.0876777251184881E-2</v>
      </c>
      <c r="P593">
        <v>127.75</v>
      </c>
      <c r="Q593">
        <f t="shared" si="106"/>
        <v>-2.4436784847300719E-2</v>
      </c>
      <c r="R593">
        <v>121.9499969</v>
      </c>
      <c r="S593">
        <f t="shared" si="107"/>
        <v>-8.1938711560747279E-4</v>
      </c>
      <c r="T593">
        <v>1460.900024</v>
      </c>
      <c r="U593">
        <f t="shared" si="108"/>
        <v>6.9616588495167164E-3</v>
      </c>
      <c r="W593">
        <f t="shared" si="109"/>
        <v>-4.3727066186102451E-3</v>
      </c>
      <c r="X593">
        <v>-2.6632786341392219E-3</v>
      </c>
    </row>
    <row r="594" spans="1:24" x14ac:dyDescent="0.35">
      <c r="A594" s="1">
        <v>43691</v>
      </c>
      <c r="B594">
        <v>1177.8891599999999</v>
      </c>
      <c r="C594">
        <f t="shared" si="99"/>
        <v>1.0590323903348242E-2</v>
      </c>
      <c r="D594">
        <v>2204.3999020000001</v>
      </c>
      <c r="E594">
        <f t="shared" si="100"/>
        <v>2.2505404125015005E-3</v>
      </c>
      <c r="F594">
        <v>1114.724976</v>
      </c>
      <c r="G594">
        <f t="shared" si="101"/>
        <v>4.0983870103172837E-3</v>
      </c>
      <c r="H594">
        <v>354.54345699999999</v>
      </c>
      <c r="I594">
        <f t="shared" si="102"/>
        <v>2.7157744827611463E-2</v>
      </c>
      <c r="J594">
        <v>774.79998780000005</v>
      </c>
      <c r="K594">
        <f t="shared" si="103"/>
        <v>1.3141533573063136E-2</v>
      </c>
      <c r="L594">
        <v>248.75</v>
      </c>
      <c r="M594">
        <f t="shared" si="104"/>
        <v>9.9472061273393475E-3</v>
      </c>
      <c r="N594">
        <v>417.14999390000003</v>
      </c>
      <c r="O594">
        <f t="shared" si="105"/>
        <v>-5.0313047467273719E-2</v>
      </c>
      <c r="P594">
        <v>126.8499985</v>
      </c>
      <c r="Q594">
        <f t="shared" si="106"/>
        <v>-7.0450215264188376E-3</v>
      </c>
      <c r="R594">
        <v>120.9000015</v>
      </c>
      <c r="S594">
        <f t="shared" si="107"/>
        <v>-8.610048599353437E-3</v>
      </c>
      <c r="T594">
        <v>1490.599976</v>
      </c>
      <c r="U594">
        <f t="shared" si="108"/>
        <v>2.0329900412131119E-2</v>
      </c>
      <c r="W594">
        <f t="shared" si="109"/>
        <v>2.1547518673266097E-3</v>
      </c>
      <c r="X594">
        <v>-2.6597596179779421E-3</v>
      </c>
    </row>
    <row r="595" spans="1:24" x14ac:dyDescent="0.35">
      <c r="A595" s="1">
        <v>43693</v>
      </c>
      <c r="B595">
        <v>1168.517212</v>
      </c>
      <c r="C595">
        <f t="shared" si="99"/>
        <v>-7.9565618890660161E-3</v>
      </c>
      <c r="D595">
        <v>2165.1000979999999</v>
      </c>
      <c r="E595">
        <f t="shared" si="100"/>
        <v>-1.7827892282314295E-2</v>
      </c>
      <c r="F595">
        <v>1113.849976</v>
      </c>
      <c r="G595">
        <f t="shared" si="101"/>
        <v>-7.8494697691244841E-4</v>
      </c>
      <c r="H595">
        <v>354.88699339999999</v>
      </c>
      <c r="I595">
        <f t="shared" si="102"/>
        <v>9.6895427970067338E-4</v>
      </c>
      <c r="J595">
        <v>774.54998780000005</v>
      </c>
      <c r="K595">
        <f t="shared" si="103"/>
        <v>-3.2266391834856467E-4</v>
      </c>
      <c r="L595">
        <v>253</v>
      </c>
      <c r="M595">
        <f t="shared" si="104"/>
        <v>1.7085427135678399E-2</v>
      </c>
      <c r="N595">
        <v>414.7000122</v>
      </c>
      <c r="O595">
        <f t="shared" si="105"/>
        <v>-5.8731433197319882E-3</v>
      </c>
      <c r="P595">
        <v>127.9000015</v>
      </c>
      <c r="Q595">
        <f t="shared" si="106"/>
        <v>8.2775168499509277E-3</v>
      </c>
      <c r="R595">
        <v>121.3499985</v>
      </c>
      <c r="S595">
        <f t="shared" si="107"/>
        <v>3.7220595071705276E-3</v>
      </c>
      <c r="T595">
        <v>1492.6999510000001</v>
      </c>
      <c r="U595">
        <f t="shared" si="108"/>
        <v>1.4088119105135632E-3</v>
      </c>
      <c r="W595">
        <f t="shared" si="109"/>
        <v>-1.3024387033592211E-4</v>
      </c>
      <c r="X595">
        <v>-2.6579472966249849E-3</v>
      </c>
    </row>
    <row r="596" spans="1:24" x14ac:dyDescent="0.35">
      <c r="A596" s="1">
        <v>43696</v>
      </c>
      <c r="B596">
        <v>1181.8664550000001</v>
      </c>
      <c r="C596">
        <f t="shared" si="99"/>
        <v>1.1424087606850097E-2</v>
      </c>
      <c r="D596">
        <v>2163</v>
      </c>
      <c r="E596">
        <f t="shared" si="100"/>
        <v>-9.699773243462273E-4</v>
      </c>
      <c r="F596">
        <v>1103.4250489999999</v>
      </c>
      <c r="G596">
        <f t="shared" si="101"/>
        <v>-9.3593636707139938E-3</v>
      </c>
      <c r="H596">
        <v>354.34713749999997</v>
      </c>
      <c r="I596">
        <f t="shared" si="102"/>
        <v>-1.5212050879293004E-3</v>
      </c>
      <c r="J596">
        <v>777.65002440000001</v>
      </c>
      <c r="K596">
        <f t="shared" si="103"/>
        <v>4.0023712463093108E-3</v>
      </c>
      <c r="L596">
        <v>251.5500031</v>
      </c>
      <c r="M596">
        <f t="shared" si="104"/>
        <v>-5.7312130434782338E-3</v>
      </c>
      <c r="N596">
        <v>426</v>
      </c>
      <c r="O596">
        <f t="shared" si="105"/>
        <v>2.7248583235030877E-2</v>
      </c>
      <c r="P596">
        <v>126.3000031</v>
      </c>
      <c r="Q596">
        <f t="shared" si="106"/>
        <v>-1.2509760603873099E-2</v>
      </c>
      <c r="R596">
        <v>120.8000031</v>
      </c>
      <c r="S596">
        <f t="shared" si="107"/>
        <v>-4.5323066073215124E-3</v>
      </c>
      <c r="T596">
        <v>1504.6999510000001</v>
      </c>
      <c r="U596">
        <f t="shared" si="108"/>
        <v>8.0391239994084263E-3</v>
      </c>
      <c r="W596">
        <f t="shared" si="109"/>
        <v>1.6090339749936346E-3</v>
      </c>
      <c r="X596">
        <v>-2.5694342401013201E-3</v>
      </c>
    </row>
    <row r="597" spans="1:24" x14ac:dyDescent="0.35">
      <c r="A597" s="1">
        <v>43697</v>
      </c>
      <c r="B597">
        <v>1166.642822</v>
      </c>
      <c r="C597">
        <f t="shared" si="99"/>
        <v>-1.2881009470735894E-2</v>
      </c>
      <c r="D597">
        <v>2186.75</v>
      </c>
      <c r="E597">
        <f t="shared" si="100"/>
        <v>1.0980120203421206E-2</v>
      </c>
      <c r="F597">
        <v>1110.3000489999999</v>
      </c>
      <c r="G597">
        <f t="shared" si="101"/>
        <v>6.2305999000391576E-3</v>
      </c>
      <c r="H597">
        <v>351.45150760000001</v>
      </c>
      <c r="I597">
        <f t="shared" si="102"/>
        <v>-8.17173216193956E-3</v>
      </c>
      <c r="J597">
        <v>792.75</v>
      </c>
      <c r="K597">
        <f t="shared" si="103"/>
        <v>1.9417443742318907E-2</v>
      </c>
      <c r="L597">
        <v>246.5</v>
      </c>
      <c r="M597">
        <f t="shared" si="104"/>
        <v>-2.0075543779629501E-2</v>
      </c>
      <c r="N597">
        <v>420.89999390000003</v>
      </c>
      <c r="O597">
        <f t="shared" si="105"/>
        <v>-1.1971845305164264E-2</v>
      </c>
      <c r="P597">
        <v>125.0500031</v>
      </c>
      <c r="Q597">
        <f t="shared" si="106"/>
        <v>-9.8970702242208164E-3</v>
      </c>
      <c r="R597">
        <v>123.8499985</v>
      </c>
      <c r="S597">
        <f t="shared" si="107"/>
        <v>2.5248305643462254E-2</v>
      </c>
      <c r="T597">
        <v>1475</v>
      </c>
      <c r="U597">
        <f t="shared" si="108"/>
        <v>-1.9738121862941438E-2</v>
      </c>
      <c r="W597">
        <f t="shared" si="109"/>
        <v>-2.0858853315389946E-3</v>
      </c>
      <c r="X597">
        <v>-2.5552605800829068E-3</v>
      </c>
    </row>
    <row r="598" spans="1:24" x14ac:dyDescent="0.35">
      <c r="A598" s="1">
        <v>43698</v>
      </c>
      <c r="B598">
        <v>1162.0711670000001</v>
      </c>
      <c r="C598">
        <f t="shared" si="99"/>
        <v>-3.9186415188863233E-3</v>
      </c>
      <c r="D598">
        <v>2186.1999510000001</v>
      </c>
      <c r="E598">
        <f t="shared" si="100"/>
        <v>-2.5153721275861241E-4</v>
      </c>
      <c r="F598">
        <v>1112.9250489999999</v>
      </c>
      <c r="G598">
        <f t="shared" si="101"/>
        <v>2.3642257805573941E-3</v>
      </c>
      <c r="H598">
        <v>348.35955810000002</v>
      </c>
      <c r="I598">
        <f t="shared" si="102"/>
        <v>-8.7976561008782372E-3</v>
      </c>
      <c r="J598">
        <v>799.45001219999995</v>
      </c>
      <c r="K598">
        <f t="shared" si="103"/>
        <v>8.4516079470198235E-3</v>
      </c>
      <c r="L598">
        <v>241.4499969</v>
      </c>
      <c r="M598">
        <f t="shared" si="104"/>
        <v>-2.0486827991886392E-2</v>
      </c>
      <c r="N598">
        <v>417</v>
      </c>
      <c r="O598">
        <f t="shared" si="105"/>
        <v>-9.2658445153758207E-3</v>
      </c>
      <c r="P598">
        <v>121.1999969</v>
      </c>
      <c r="Q598">
        <f t="shared" si="106"/>
        <v>-3.078773374296695E-2</v>
      </c>
      <c r="R598">
        <v>112.4000015</v>
      </c>
      <c r="S598">
        <f t="shared" si="107"/>
        <v>-9.2450521910987349E-2</v>
      </c>
      <c r="T598">
        <v>1481.75</v>
      </c>
      <c r="U598">
        <f t="shared" si="108"/>
        <v>4.5762711864407724E-3</v>
      </c>
      <c r="W598">
        <f t="shared" si="109"/>
        <v>-1.505666580797217E-2</v>
      </c>
      <c r="X598">
        <v>-2.5419402287486736E-3</v>
      </c>
    </row>
    <row r="599" spans="1:24" x14ac:dyDescent="0.35">
      <c r="A599" s="1">
        <v>43699</v>
      </c>
      <c r="B599">
        <v>1139.944336</v>
      </c>
      <c r="C599">
        <f t="shared" si="99"/>
        <v>-1.9040857073429174E-2</v>
      </c>
      <c r="D599">
        <v>2216</v>
      </c>
      <c r="E599">
        <f t="shared" si="100"/>
        <v>1.3630980545200844E-2</v>
      </c>
      <c r="F599">
        <v>1087.0500489999999</v>
      </c>
      <c r="G599">
        <f t="shared" si="101"/>
        <v>-2.3249544093961738E-2</v>
      </c>
      <c r="H599">
        <v>346.24917599999998</v>
      </c>
      <c r="I599">
        <f t="shared" si="102"/>
        <v>-6.058057116360871E-3</v>
      </c>
      <c r="J599">
        <v>795.70001219999995</v>
      </c>
      <c r="K599">
        <f t="shared" si="103"/>
        <v>-4.6907248017676872E-3</v>
      </c>
      <c r="L599">
        <v>240.0500031</v>
      </c>
      <c r="M599">
        <f t="shared" si="104"/>
        <v>-5.7982763221149369E-3</v>
      </c>
      <c r="N599">
        <v>414.5499878</v>
      </c>
      <c r="O599">
        <f t="shared" si="105"/>
        <v>-5.8753290167865568E-3</v>
      </c>
      <c r="P599">
        <v>116.9499969</v>
      </c>
      <c r="Q599">
        <f t="shared" si="106"/>
        <v>-3.5066007497562945E-2</v>
      </c>
      <c r="R599">
        <v>107.6999969</v>
      </c>
      <c r="S599">
        <f t="shared" si="107"/>
        <v>-4.1814986986454805E-2</v>
      </c>
      <c r="T599">
        <v>1485.75</v>
      </c>
      <c r="U599">
        <f t="shared" si="108"/>
        <v>2.6995107136831287E-3</v>
      </c>
      <c r="W599">
        <f t="shared" si="109"/>
        <v>-1.2526329164955474E-2</v>
      </c>
      <c r="X599">
        <v>-2.5338993851563795E-3</v>
      </c>
    </row>
    <row r="600" spans="1:24" x14ac:dyDescent="0.35">
      <c r="A600" s="1">
        <v>43700</v>
      </c>
      <c r="B600">
        <v>1166.5513920000001</v>
      </c>
      <c r="C600">
        <f t="shared" si="99"/>
        <v>2.3340662486523334E-2</v>
      </c>
      <c r="D600">
        <v>2247.6999510000001</v>
      </c>
      <c r="E600">
        <f t="shared" si="100"/>
        <v>1.4305032039711119E-2</v>
      </c>
      <c r="F600">
        <v>1081.349976</v>
      </c>
      <c r="G600">
        <f t="shared" si="101"/>
        <v>-5.2436159726441112E-3</v>
      </c>
      <c r="H600">
        <v>349.83190919999998</v>
      </c>
      <c r="I600">
        <f t="shared" si="102"/>
        <v>1.0347268523174691E-2</v>
      </c>
      <c r="J600">
        <v>802.20001219999995</v>
      </c>
      <c r="K600">
        <f t="shared" si="103"/>
        <v>8.1689077546052147E-3</v>
      </c>
      <c r="L600">
        <v>236.1000061</v>
      </c>
      <c r="M600">
        <f t="shared" si="104"/>
        <v>-1.6454892518182995E-2</v>
      </c>
      <c r="N600">
        <v>427.7999878</v>
      </c>
      <c r="O600">
        <f t="shared" si="105"/>
        <v>3.1962369774311661E-2</v>
      </c>
      <c r="P600">
        <v>122.25</v>
      </c>
      <c r="Q600">
        <f t="shared" si="106"/>
        <v>4.5318539893009602E-2</v>
      </c>
      <c r="R600">
        <v>111.0500031</v>
      </c>
      <c r="S600">
        <f t="shared" si="107"/>
        <v>3.1104979539697597E-2</v>
      </c>
      <c r="T600">
        <v>1470.1999510000001</v>
      </c>
      <c r="U600">
        <f t="shared" si="108"/>
        <v>-1.0466127545010862E-2</v>
      </c>
      <c r="W600">
        <f t="shared" si="109"/>
        <v>1.3238312397519525E-2</v>
      </c>
      <c r="X600">
        <v>-2.5121602605201803E-3</v>
      </c>
    </row>
    <row r="601" spans="1:24" x14ac:dyDescent="0.35">
      <c r="A601" s="1">
        <v>43703</v>
      </c>
      <c r="B601">
        <v>1158.2767329999999</v>
      </c>
      <c r="C601">
        <f t="shared" si="99"/>
        <v>-7.0932657204356708E-3</v>
      </c>
      <c r="D601">
        <v>2276.3000489999999</v>
      </c>
      <c r="E601">
        <f t="shared" si="100"/>
        <v>1.2724161864787975E-2</v>
      </c>
      <c r="F601">
        <v>1128.0749510000001</v>
      </c>
      <c r="G601">
        <f t="shared" si="101"/>
        <v>4.3209854382981083E-2</v>
      </c>
      <c r="H601">
        <v>354.00357059999999</v>
      </c>
      <c r="I601">
        <f t="shared" si="102"/>
        <v>1.1924759549635677E-2</v>
      </c>
      <c r="J601">
        <v>802.54998780000005</v>
      </c>
      <c r="K601">
        <f t="shared" si="103"/>
        <v>4.362697515303271E-4</v>
      </c>
      <c r="L601">
        <v>242.5</v>
      </c>
      <c r="M601">
        <f t="shared" si="104"/>
        <v>2.7107131447041466E-2</v>
      </c>
      <c r="N601">
        <v>419.35000609999997</v>
      </c>
      <c r="O601">
        <f t="shared" si="105"/>
        <v>-1.9752178450155644E-2</v>
      </c>
      <c r="P601">
        <v>123.75</v>
      </c>
      <c r="Q601">
        <f t="shared" si="106"/>
        <v>1.2269938650306678E-2</v>
      </c>
      <c r="R601">
        <v>110.5500031</v>
      </c>
      <c r="S601">
        <f t="shared" si="107"/>
        <v>-4.5024762363108373E-3</v>
      </c>
      <c r="T601">
        <v>1531.0500489999999</v>
      </c>
      <c r="U601">
        <f t="shared" si="108"/>
        <v>4.1388994713685623E-2</v>
      </c>
      <c r="W601">
        <f t="shared" si="109"/>
        <v>1.177131899530667E-2</v>
      </c>
      <c r="X601">
        <v>-2.5078133679815816E-3</v>
      </c>
    </row>
    <row r="602" spans="1:24" x14ac:dyDescent="0.35">
      <c r="A602" s="1">
        <v>43704</v>
      </c>
      <c r="B602">
        <v>1165.6370850000001</v>
      </c>
      <c r="C602">
        <f t="shared" si="99"/>
        <v>6.3545712266328547E-3</v>
      </c>
      <c r="D602">
        <v>2236.5</v>
      </c>
      <c r="E602">
        <f t="shared" si="100"/>
        <v>-1.7484535493238029E-2</v>
      </c>
      <c r="F602">
        <v>1129.974976</v>
      </c>
      <c r="G602">
        <f t="shared" si="101"/>
        <v>1.6843074108823242E-3</v>
      </c>
      <c r="H602">
        <v>341.88119510000001</v>
      </c>
      <c r="I602">
        <f t="shared" si="102"/>
        <v>-3.4243653190994094E-2</v>
      </c>
      <c r="J602">
        <v>784.65002440000001</v>
      </c>
      <c r="K602">
        <f t="shared" si="103"/>
        <v>-2.230386103309101E-2</v>
      </c>
      <c r="L602">
        <v>245.5</v>
      </c>
      <c r="M602">
        <f t="shared" si="104"/>
        <v>1.2371134020618513E-2</v>
      </c>
      <c r="N602">
        <v>416.75</v>
      </c>
      <c r="O602">
        <f t="shared" si="105"/>
        <v>-6.2000859954202125E-3</v>
      </c>
      <c r="P602">
        <v>125.5999985</v>
      </c>
      <c r="Q602">
        <f t="shared" si="106"/>
        <v>1.494948282828279E-2</v>
      </c>
      <c r="R602">
        <v>120.3499985</v>
      </c>
      <c r="S602">
        <f t="shared" si="107"/>
        <v>8.8647626641269683E-2</v>
      </c>
      <c r="T602">
        <v>1534.099976</v>
      </c>
      <c r="U602">
        <f t="shared" si="108"/>
        <v>1.9920491834948262E-3</v>
      </c>
      <c r="W602">
        <f t="shared" si="109"/>
        <v>4.5767035598437648E-3</v>
      </c>
      <c r="X602">
        <v>-2.4978983585347003E-3</v>
      </c>
    </row>
    <row r="603" spans="1:24" x14ac:dyDescent="0.35">
      <c r="A603" s="1">
        <v>43705</v>
      </c>
      <c r="B603">
        <v>1155.076538</v>
      </c>
      <c r="C603">
        <f t="shared" si="99"/>
        <v>-9.0598927709991672E-3</v>
      </c>
      <c r="D603">
        <v>2239.25</v>
      </c>
      <c r="E603">
        <f t="shared" si="100"/>
        <v>1.2295998211491188E-3</v>
      </c>
      <c r="F603">
        <v>1123.75</v>
      </c>
      <c r="G603">
        <f t="shared" si="101"/>
        <v>-5.508950315020078E-3</v>
      </c>
      <c r="H603">
        <v>339.42724609999999</v>
      </c>
      <c r="I603">
        <f t="shared" si="102"/>
        <v>-7.1777829116405067E-3</v>
      </c>
      <c r="J603">
        <v>802.5</v>
      </c>
      <c r="K603">
        <f t="shared" si="103"/>
        <v>2.2748964563723106E-2</v>
      </c>
      <c r="L603">
        <v>245.9499969</v>
      </c>
      <c r="M603">
        <f t="shared" si="104"/>
        <v>1.8329812627291275E-3</v>
      </c>
      <c r="N603">
        <v>413.10000609999997</v>
      </c>
      <c r="O603">
        <f t="shared" si="105"/>
        <v>-8.7582337132574573E-3</v>
      </c>
      <c r="P603">
        <v>121.1999969</v>
      </c>
      <c r="Q603">
        <f t="shared" si="106"/>
        <v>-3.5031860290985595E-2</v>
      </c>
      <c r="R603">
        <v>116.3499985</v>
      </c>
      <c r="S603">
        <f t="shared" si="107"/>
        <v>-3.3236394265513836E-2</v>
      </c>
      <c r="T603">
        <v>1553.3000489999999</v>
      </c>
      <c r="U603">
        <f t="shared" si="108"/>
        <v>1.2515529170440409E-2</v>
      </c>
      <c r="W603">
        <f t="shared" si="109"/>
        <v>-6.0446039449374885E-3</v>
      </c>
      <c r="X603">
        <v>-2.4819373337095722E-3</v>
      </c>
    </row>
    <row r="604" spans="1:24" x14ac:dyDescent="0.35">
      <c r="A604" s="1">
        <v>43706</v>
      </c>
      <c r="B604">
        <v>1135.3726810000001</v>
      </c>
      <c r="C604">
        <f t="shared" si="99"/>
        <v>-1.7058486041208076E-2</v>
      </c>
      <c r="D604">
        <v>2233.4499510000001</v>
      </c>
      <c r="E604">
        <f t="shared" si="100"/>
        <v>-2.5901748353243104E-3</v>
      </c>
      <c r="F604">
        <v>1113.474976</v>
      </c>
      <c r="G604">
        <f t="shared" si="101"/>
        <v>-9.1435141268075837E-3</v>
      </c>
      <c r="H604">
        <v>337.16964719999999</v>
      </c>
      <c r="I604">
        <f t="shared" si="102"/>
        <v>-6.6512011806350024E-3</v>
      </c>
      <c r="J604">
        <v>806.95001219999995</v>
      </c>
      <c r="K604">
        <f t="shared" si="103"/>
        <v>5.5451865420559354E-3</v>
      </c>
      <c r="L604">
        <v>241.1999969</v>
      </c>
      <c r="M604">
        <f t="shared" si="104"/>
        <v>-1.9312868712624054E-2</v>
      </c>
      <c r="N604">
        <v>434.64999390000003</v>
      </c>
      <c r="O604">
        <f t="shared" si="105"/>
        <v>5.216651532748573E-2</v>
      </c>
      <c r="P604">
        <v>123.25</v>
      </c>
      <c r="Q604">
        <f t="shared" si="106"/>
        <v>1.6914217429323974E-2</v>
      </c>
      <c r="R604">
        <v>114.3000031</v>
      </c>
      <c r="S604">
        <f t="shared" si="107"/>
        <v>-1.7619212947389995E-2</v>
      </c>
      <c r="T604">
        <v>1547.0500489999999</v>
      </c>
      <c r="U604">
        <f t="shared" si="108"/>
        <v>-4.0236913685953724E-3</v>
      </c>
      <c r="W604">
        <f t="shared" si="109"/>
        <v>-1.7732299137187516E-4</v>
      </c>
      <c r="X604">
        <v>-2.4767233320235008E-3</v>
      </c>
    </row>
    <row r="605" spans="1:24" x14ac:dyDescent="0.35">
      <c r="A605" s="1">
        <v>43707</v>
      </c>
      <c r="B605">
        <v>1141.5900879999999</v>
      </c>
      <c r="C605">
        <f t="shared" si="99"/>
        <v>5.4760935365503194E-3</v>
      </c>
      <c r="D605">
        <v>2259.6000979999999</v>
      </c>
      <c r="E605">
        <f t="shared" si="100"/>
        <v>1.1708409668321096E-2</v>
      </c>
      <c r="F605">
        <v>1113.974976</v>
      </c>
      <c r="G605">
        <f t="shared" si="101"/>
        <v>4.4904466716988445E-4</v>
      </c>
      <c r="H605">
        <v>340.40881350000001</v>
      </c>
      <c r="I605">
        <f t="shared" si="102"/>
        <v>9.6069332660855267E-3</v>
      </c>
      <c r="J605">
        <v>814.90002440000001</v>
      </c>
      <c r="K605">
        <f t="shared" si="103"/>
        <v>9.8519264883902835E-3</v>
      </c>
      <c r="L605">
        <v>245.6499939</v>
      </c>
      <c r="M605">
        <f t="shared" si="104"/>
        <v>1.8449407368130943E-2</v>
      </c>
      <c r="N605">
        <v>450.39999390000003</v>
      </c>
      <c r="O605">
        <f t="shared" si="105"/>
        <v>3.6236052504405647E-2</v>
      </c>
      <c r="P605">
        <v>121.1999969</v>
      </c>
      <c r="Q605">
        <f t="shared" si="106"/>
        <v>-1.6632885192697788E-2</v>
      </c>
      <c r="R605">
        <v>116.6999969</v>
      </c>
      <c r="S605">
        <f t="shared" si="107"/>
        <v>2.0997320515383278E-2</v>
      </c>
      <c r="T605">
        <v>1571.150024</v>
      </c>
      <c r="U605">
        <f t="shared" si="108"/>
        <v>1.5578018962979279E-2</v>
      </c>
      <c r="W605">
        <f t="shared" si="109"/>
        <v>1.1172032178471847E-2</v>
      </c>
      <c r="X605">
        <v>-2.4733061004714842E-3</v>
      </c>
    </row>
    <row r="606" spans="1:24" x14ac:dyDescent="0.35">
      <c r="A606" s="1">
        <v>43711</v>
      </c>
      <c r="B606">
        <v>1103.051025</v>
      </c>
      <c r="C606">
        <f t="shared" si="99"/>
        <v>-3.3759107936473187E-2</v>
      </c>
      <c r="D606">
        <v>2251.6000979999999</v>
      </c>
      <c r="E606">
        <f t="shared" si="100"/>
        <v>-3.54044948355281E-3</v>
      </c>
      <c r="F606">
        <v>1105.474976</v>
      </c>
      <c r="G606">
        <f t="shared" si="101"/>
        <v>-7.6303329815552434E-3</v>
      </c>
      <c r="H606">
        <v>330.64218140000003</v>
      </c>
      <c r="I606">
        <f t="shared" si="102"/>
        <v>-2.8690890813260261E-2</v>
      </c>
      <c r="J606">
        <v>814.25</v>
      </c>
      <c r="K606">
        <f t="shared" si="103"/>
        <v>-7.9767380112505393E-4</v>
      </c>
      <c r="L606">
        <v>241.5500031</v>
      </c>
      <c r="M606">
        <f t="shared" si="104"/>
        <v>-1.6690376152295072E-2</v>
      </c>
      <c r="N606">
        <v>439.35000609999997</v>
      </c>
      <c r="O606">
        <f t="shared" si="105"/>
        <v>-2.4533721024990518E-2</v>
      </c>
      <c r="P606">
        <v>117.1500015</v>
      </c>
      <c r="Q606">
        <f t="shared" si="106"/>
        <v>-3.3415804485057654E-2</v>
      </c>
      <c r="R606">
        <v>112.6500015</v>
      </c>
      <c r="S606">
        <f t="shared" si="107"/>
        <v>-3.4704331684519474E-2</v>
      </c>
      <c r="T606">
        <v>1508</v>
      </c>
      <c r="U606">
        <f t="shared" si="108"/>
        <v>-4.0193503507211847E-2</v>
      </c>
      <c r="W606">
        <f t="shared" si="109"/>
        <v>-2.2395619187004116E-2</v>
      </c>
      <c r="X606">
        <v>-2.4562414564804347E-3</v>
      </c>
    </row>
    <row r="607" spans="1:24" x14ac:dyDescent="0.35">
      <c r="A607" s="1">
        <v>43712</v>
      </c>
      <c r="B607">
        <v>1098.250732</v>
      </c>
      <c r="C607">
        <f t="shared" si="99"/>
        <v>-4.3518322282507516E-3</v>
      </c>
      <c r="D607">
        <v>2245.3999020000001</v>
      </c>
      <c r="E607">
        <f t="shared" si="100"/>
        <v>-2.7536843711755132E-3</v>
      </c>
      <c r="F607">
        <v>1123.875</v>
      </c>
      <c r="G607">
        <f t="shared" si="101"/>
        <v>1.6644450936897481E-2</v>
      </c>
      <c r="H607">
        <v>339.3291016</v>
      </c>
      <c r="I607">
        <f t="shared" si="102"/>
        <v>2.6272873482802384E-2</v>
      </c>
      <c r="J607">
        <v>821.29998780000005</v>
      </c>
      <c r="K607">
        <f t="shared" si="103"/>
        <v>8.6582595026098996E-3</v>
      </c>
      <c r="L607">
        <v>243.25</v>
      </c>
      <c r="M607">
        <f t="shared" si="104"/>
        <v>7.0378674319295786E-3</v>
      </c>
      <c r="N607">
        <v>426.4500122</v>
      </c>
      <c r="O607">
        <f t="shared" si="105"/>
        <v>-2.9361542553532627E-2</v>
      </c>
      <c r="P607">
        <v>119</v>
      </c>
      <c r="Q607">
        <f t="shared" si="106"/>
        <v>1.5791707010776257E-2</v>
      </c>
      <c r="R607">
        <v>109.5</v>
      </c>
      <c r="S607">
        <f t="shared" si="107"/>
        <v>-2.7962729321401758E-2</v>
      </c>
      <c r="T607">
        <v>1524.849976</v>
      </c>
      <c r="U607">
        <f t="shared" si="108"/>
        <v>1.1173724137931051E-2</v>
      </c>
      <c r="W607">
        <f t="shared" si="109"/>
        <v>2.1149094028586014E-3</v>
      </c>
      <c r="X607">
        <v>-2.4234853226621556E-3</v>
      </c>
    </row>
    <row r="608" spans="1:24" x14ac:dyDescent="0.35">
      <c r="A608" s="1">
        <v>43713</v>
      </c>
      <c r="B608">
        <v>1095.919189</v>
      </c>
      <c r="C608">
        <f t="shared" si="99"/>
        <v>-2.1229605699912835E-3</v>
      </c>
      <c r="D608">
        <v>2215.3000489999999</v>
      </c>
      <c r="E608">
        <f t="shared" si="100"/>
        <v>-1.3405119049479719E-2</v>
      </c>
      <c r="F608">
        <v>1117.5749510000001</v>
      </c>
      <c r="G608">
        <f t="shared" si="101"/>
        <v>-5.6056492047602546E-3</v>
      </c>
      <c r="H608">
        <v>341.29223630000001</v>
      </c>
      <c r="I608">
        <f t="shared" si="102"/>
        <v>5.7853414008508519E-3</v>
      </c>
      <c r="J608">
        <v>834.04998780000005</v>
      </c>
      <c r="K608">
        <f t="shared" si="103"/>
        <v>1.5524169230969109E-2</v>
      </c>
      <c r="L608">
        <v>244.25</v>
      </c>
      <c r="M608">
        <f t="shared" si="104"/>
        <v>4.1109969167523186E-3</v>
      </c>
      <c r="N608">
        <v>431.7999878</v>
      </c>
      <c r="O608">
        <f t="shared" si="105"/>
        <v>1.254537565235414E-2</v>
      </c>
      <c r="P608">
        <v>125.1500015</v>
      </c>
      <c r="Q608">
        <f t="shared" si="106"/>
        <v>5.1680684873949501E-2</v>
      </c>
      <c r="R608">
        <v>118.0500031</v>
      </c>
      <c r="S608">
        <f t="shared" si="107"/>
        <v>7.8082220091324261E-2</v>
      </c>
      <c r="T608">
        <v>1521.75</v>
      </c>
      <c r="U608">
        <f t="shared" si="108"/>
        <v>-2.0329711439101006E-3</v>
      </c>
      <c r="W608">
        <f t="shared" si="109"/>
        <v>1.4456208819805883E-2</v>
      </c>
      <c r="X608">
        <v>-2.4212510994735988E-3</v>
      </c>
    </row>
    <row r="609" spans="1:24" x14ac:dyDescent="0.35">
      <c r="A609" s="1">
        <v>43714</v>
      </c>
      <c r="B609">
        <v>1117.7717290000001</v>
      </c>
      <c r="C609">
        <f t="shared" si="99"/>
        <v>1.9939919128471484E-2</v>
      </c>
      <c r="D609">
        <v>2197.5</v>
      </c>
      <c r="E609">
        <f t="shared" si="100"/>
        <v>-8.0350510568693023E-3</v>
      </c>
      <c r="F609">
        <v>1122.9499510000001</v>
      </c>
      <c r="G609">
        <f t="shared" si="101"/>
        <v>4.809520824702096E-3</v>
      </c>
      <c r="H609">
        <v>342.81365970000002</v>
      </c>
      <c r="I609">
        <f t="shared" si="102"/>
        <v>4.4578318466719224E-3</v>
      </c>
      <c r="J609">
        <v>840.15002440000001</v>
      </c>
      <c r="K609">
        <f t="shared" si="103"/>
        <v>7.3137541984626964E-3</v>
      </c>
      <c r="L609">
        <v>243.8999939</v>
      </c>
      <c r="M609">
        <f t="shared" si="104"/>
        <v>-1.4329830092119078E-3</v>
      </c>
      <c r="N609">
        <v>425.10000609999997</v>
      </c>
      <c r="O609">
        <f t="shared" si="105"/>
        <v>-1.5516400855257295E-2</v>
      </c>
      <c r="P609">
        <v>127.9499969</v>
      </c>
      <c r="Q609">
        <f t="shared" si="106"/>
        <v>2.237311519329066E-2</v>
      </c>
      <c r="R609">
        <v>121.25</v>
      </c>
      <c r="S609">
        <f t="shared" si="107"/>
        <v>2.710713101201101E-2</v>
      </c>
      <c r="T609">
        <v>1529.6999510000001</v>
      </c>
      <c r="U609">
        <f t="shared" si="108"/>
        <v>5.2242161984557001E-3</v>
      </c>
      <c r="W609">
        <f t="shared" si="109"/>
        <v>6.6241053480727069E-3</v>
      </c>
      <c r="X609">
        <v>-2.4165621595461208E-3</v>
      </c>
    </row>
    <row r="610" spans="1:24" x14ac:dyDescent="0.35">
      <c r="A610" s="1">
        <v>43717</v>
      </c>
      <c r="B610">
        <v>1117.497437</v>
      </c>
      <c r="C610">
        <f t="shared" si="99"/>
        <v>-2.4539178517735127E-4</v>
      </c>
      <c r="D610">
        <v>2182.8500979999999</v>
      </c>
      <c r="E610">
        <f t="shared" si="100"/>
        <v>-6.6666220705347001E-3</v>
      </c>
      <c r="F610">
        <v>1124.8000489999999</v>
      </c>
      <c r="G610">
        <f t="shared" si="101"/>
        <v>1.6475338000170314E-3</v>
      </c>
      <c r="H610">
        <v>349.8809814</v>
      </c>
      <c r="I610">
        <f t="shared" si="102"/>
        <v>2.0615636221102296E-2</v>
      </c>
      <c r="J610">
        <v>829.09997559999999</v>
      </c>
      <c r="K610">
        <f t="shared" si="103"/>
        <v>-1.3152470962423002E-2</v>
      </c>
      <c r="L610">
        <v>245.5</v>
      </c>
      <c r="M610">
        <f t="shared" si="104"/>
        <v>6.5600907749756576E-3</v>
      </c>
      <c r="N610">
        <v>428.7999878</v>
      </c>
      <c r="O610">
        <f t="shared" si="105"/>
        <v>8.7037912183178801E-3</v>
      </c>
      <c r="P610">
        <v>129.3999939</v>
      </c>
      <c r="Q610">
        <f t="shared" si="106"/>
        <v>1.1332528605946246E-2</v>
      </c>
      <c r="R610">
        <v>121.9000015</v>
      </c>
      <c r="S610">
        <f t="shared" si="107"/>
        <v>5.3608371134021837E-3</v>
      </c>
      <c r="T610">
        <v>1568.8000489999999</v>
      </c>
      <c r="U610">
        <f t="shared" si="108"/>
        <v>2.5560632315140719E-2</v>
      </c>
      <c r="W610">
        <f t="shared" si="109"/>
        <v>5.9716565230766971E-3</v>
      </c>
      <c r="X610">
        <v>-2.4158341613810036E-3</v>
      </c>
    </row>
    <row r="611" spans="1:24" x14ac:dyDescent="0.35">
      <c r="A611" s="1">
        <v>43719</v>
      </c>
      <c r="B611">
        <v>1128.6523440000001</v>
      </c>
      <c r="C611">
        <f t="shared" si="99"/>
        <v>9.9820425807384261E-3</v>
      </c>
      <c r="D611">
        <v>2154</v>
      </c>
      <c r="E611">
        <f t="shared" si="100"/>
        <v>-1.3216710586967606E-2</v>
      </c>
      <c r="F611">
        <v>1125.650024</v>
      </c>
      <c r="G611">
        <f t="shared" si="101"/>
        <v>7.5566764133383479E-4</v>
      </c>
      <c r="H611">
        <v>348.5558777</v>
      </c>
      <c r="I611">
        <f t="shared" si="102"/>
        <v>-3.7872984541708066E-3</v>
      </c>
      <c r="J611">
        <v>820.09997559999999</v>
      </c>
      <c r="K611">
        <f t="shared" si="103"/>
        <v>-1.0855144451653032E-2</v>
      </c>
      <c r="L611">
        <v>243.75</v>
      </c>
      <c r="M611">
        <f t="shared" si="104"/>
        <v>-7.1283095723013723E-3</v>
      </c>
      <c r="N611">
        <v>422.2000122</v>
      </c>
      <c r="O611">
        <f t="shared" si="105"/>
        <v>-1.5391734579708882E-2</v>
      </c>
      <c r="P611">
        <v>125.75</v>
      </c>
      <c r="Q611">
        <f t="shared" si="106"/>
        <v>-2.8207063926299014E-2</v>
      </c>
      <c r="R611">
        <v>134.3500061</v>
      </c>
      <c r="S611">
        <f t="shared" si="107"/>
        <v>0.10213293229532905</v>
      </c>
      <c r="T611">
        <v>1571.0500489999999</v>
      </c>
      <c r="U611">
        <f t="shared" si="108"/>
        <v>1.4342171913075408E-3</v>
      </c>
      <c r="W611">
        <f t="shared" si="109"/>
        <v>3.5718598137608137E-3</v>
      </c>
      <c r="X611">
        <v>-2.387298069156496E-3</v>
      </c>
    </row>
    <row r="612" spans="1:24" x14ac:dyDescent="0.35">
      <c r="A612" s="1">
        <v>43720</v>
      </c>
      <c r="B612">
        <v>1106.6625979999999</v>
      </c>
      <c r="C612">
        <f t="shared" si="99"/>
        <v>-1.9483188172956245E-2</v>
      </c>
      <c r="D612">
        <v>2133.6000979999999</v>
      </c>
      <c r="E612">
        <f t="shared" si="100"/>
        <v>-9.4707065923863576E-3</v>
      </c>
      <c r="F612">
        <v>1135.4250489999999</v>
      </c>
      <c r="G612">
        <f t="shared" si="101"/>
        <v>8.6838935651281091E-3</v>
      </c>
      <c r="H612">
        <v>341.14498900000001</v>
      </c>
      <c r="I612">
        <f t="shared" si="102"/>
        <v>-2.1261694821794075E-2</v>
      </c>
      <c r="J612">
        <v>816.40002440000001</v>
      </c>
      <c r="K612">
        <f t="shared" si="103"/>
        <v>-4.5115855506434599E-3</v>
      </c>
      <c r="L612">
        <v>240.75</v>
      </c>
      <c r="M612">
        <f t="shared" si="104"/>
        <v>-1.2307692307692353E-2</v>
      </c>
      <c r="N612">
        <v>427.7999878</v>
      </c>
      <c r="O612">
        <f t="shared" si="105"/>
        <v>1.3263797816631229E-2</v>
      </c>
      <c r="P612">
        <v>125.9000015</v>
      </c>
      <c r="Q612">
        <f t="shared" si="106"/>
        <v>1.1928548707753617E-3</v>
      </c>
      <c r="R612">
        <v>127.9499969</v>
      </c>
      <c r="S612">
        <f t="shared" si="107"/>
        <v>-4.7636835946522571E-2</v>
      </c>
      <c r="T612">
        <v>1568.25</v>
      </c>
      <c r="U612">
        <f t="shared" si="108"/>
        <v>-1.7822786751969799E-3</v>
      </c>
      <c r="W612">
        <f t="shared" si="109"/>
        <v>-9.3313435814657356E-3</v>
      </c>
      <c r="X612">
        <v>-2.3809579616401507E-3</v>
      </c>
    </row>
    <row r="613" spans="1:24" x14ac:dyDescent="0.35">
      <c r="A613" s="1">
        <v>43721</v>
      </c>
      <c r="B613">
        <v>1120.6062010000001</v>
      </c>
      <c r="C613">
        <f t="shared" si="99"/>
        <v>1.2599687587887765E-2</v>
      </c>
      <c r="D613">
        <v>2141.9499510000001</v>
      </c>
      <c r="E613">
        <f t="shared" si="100"/>
        <v>3.9135042259452746E-3</v>
      </c>
      <c r="F613">
        <v>1128.724976</v>
      </c>
      <c r="G613">
        <f t="shared" si="101"/>
        <v>-5.9009381604721023E-3</v>
      </c>
      <c r="H613">
        <v>336.72793580000001</v>
      </c>
      <c r="I613">
        <f t="shared" si="102"/>
        <v>-1.2947729975303801E-2</v>
      </c>
      <c r="J613">
        <v>829.29998780000005</v>
      </c>
      <c r="K613">
        <f t="shared" si="103"/>
        <v>1.5801032599773279E-2</v>
      </c>
      <c r="L613">
        <v>239.8999939</v>
      </c>
      <c r="M613">
        <f t="shared" si="104"/>
        <v>-3.5306587746625206E-3</v>
      </c>
      <c r="N613">
        <v>422.85000609999997</v>
      </c>
      <c r="O613">
        <f t="shared" si="105"/>
        <v>-1.157078504245812E-2</v>
      </c>
      <c r="P613">
        <v>128.8500061</v>
      </c>
      <c r="Q613">
        <f t="shared" si="106"/>
        <v>2.3431330936084294E-2</v>
      </c>
      <c r="R613">
        <v>129.5500031</v>
      </c>
      <c r="S613">
        <f t="shared" si="107"/>
        <v>1.2504933479994484E-2</v>
      </c>
      <c r="T613">
        <v>1569.5500489999999</v>
      </c>
      <c r="U613">
        <f t="shared" si="108"/>
        <v>8.289807109835845E-4</v>
      </c>
      <c r="W613">
        <f t="shared" si="109"/>
        <v>3.5129357587772138E-3</v>
      </c>
      <c r="X613">
        <v>-2.3714483049699147E-3</v>
      </c>
    </row>
    <row r="614" spans="1:24" x14ac:dyDescent="0.35">
      <c r="A614" s="1">
        <v>43724</v>
      </c>
      <c r="B614">
        <v>1107.0283199999999</v>
      </c>
      <c r="C614">
        <f t="shared" si="99"/>
        <v>-1.2116549942239874E-2</v>
      </c>
      <c r="D614">
        <v>2150</v>
      </c>
      <c r="E614">
        <f t="shared" si="100"/>
        <v>3.7582806247371536E-3</v>
      </c>
      <c r="F614">
        <v>1122.0749510000001</v>
      </c>
      <c r="G614">
        <f t="shared" si="101"/>
        <v>-5.8916256319289095E-3</v>
      </c>
      <c r="H614">
        <v>337.66043089999999</v>
      </c>
      <c r="I614">
        <f t="shared" si="102"/>
        <v>2.7692834507020425E-3</v>
      </c>
      <c r="J614">
        <v>827.70001219999995</v>
      </c>
      <c r="K614">
        <f t="shared" si="103"/>
        <v>-1.9293086018783434E-3</v>
      </c>
      <c r="L614">
        <v>239.3999939</v>
      </c>
      <c r="M614">
        <f t="shared" si="104"/>
        <v>-2.0842018037250387E-3</v>
      </c>
      <c r="N614">
        <v>426.7999878</v>
      </c>
      <c r="O614">
        <f t="shared" si="105"/>
        <v>9.3413305971807858E-3</v>
      </c>
      <c r="P614">
        <v>130.6999969</v>
      </c>
      <c r="Q614">
        <f t="shared" si="106"/>
        <v>1.4357708284190807E-2</v>
      </c>
      <c r="R614">
        <v>128.6000061</v>
      </c>
      <c r="S614">
        <f t="shared" si="107"/>
        <v>-7.3330526998651724E-3</v>
      </c>
      <c r="T614">
        <v>1596.25</v>
      </c>
      <c r="U614">
        <f t="shared" si="108"/>
        <v>1.7011213511165968E-2</v>
      </c>
      <c r="W614">
        <f t="shared" si="109"/>
        <v>1.7883077788339418E-3</v>
      </c>
      <c r="X614">
        <v>-2.3614660476746867E-3</v>
      </c>
    </row>
    <row r="615" spans="1:24" x14ac:dyDescent="0.35">
      <c r="A615" s="1">
        <v>43725</v>
      </c>
      <c r="B615">
        <v>1094.8676760000001</v>
      </c>
      <c r="C615">
        <f t="shared" si="99"/>
        <v>-1.0984943908209921E-2</v>
      </c>
      <c r="D615">
        <v>2122.6499020000001</v>
      </c>
      <c r="E615">
        <f t="shared" si="100"/>
        <v>-1.2720975813953483E-2</v>
      </c>
      <c r="F615">
        <v>1105.6750489999999</v>
      </c>
      <c r="G615">
        <f t="shared" si="101"/>
        <v>-1.4615692102728395E-2</v>
      </c>
      <c r="H615">
        <v>333.5869141</v>
      </c>
      <c r="I615">
        <f t="shared" si="102"/>
        <v>-1.2063944801416149E-2</v>
      </c>
      <c r="J615">
        <v>831.25</v>
      </c>
      <c r="K615">
        <f t="shared" si="103"/>
        <v>4.2889787938558133E-3</v>
      </c>
      <c r="L615">
        <v>237.1999969</v>
      </c>
      <c r="M615">
        <f t="shared" si="104"/>
        <v>-9.1896284714149123E-3</v>
      </c>
      <c r="N615">
        <v>420.64999390000003</v>
      </c>
      <c r="O615">
        <f t="shared" si="105"/>
        <v>-1.440954563213781E-2</v>
      </c>
      <c r="P615">
        <v>129.6999969</v>
      </c>
      <c r="Q615">
        <f t="shared" si="106"/>
        <v>-7.6511095923369465E-3</v>
      </c>
      <c r="R615">
        <v>122</v>
      </c>
      <c r="S615">
        <f t="shared" si="107"/>
        <v>-5.1321973459844239E-2</v>
      </c>
      <c r="T615">
        <v>1603.0500489999999</v>
      </c>
      <c r="U615">
        <f t="shared" si="108"/>
        <v>4.2600150352387622E-3</v>
      </c>
      <c r="W615">
        <f t="shared" si="109"/>
        <v>-1.2440881995294729E-2</v>
      </c>
      <c r="X615">
        <v>-2.3434579644812108E-3</v>
      </c>
    </row>
    <row r="616" spans="1:24" x14ac:dyDescent="0.35">
      <c r="A616" s="1">
        <v>43726</v>
      </c>
      <c r="B616">
        <v>1102.4110109999999</v>
      </c>
      <c r="C616">
        <f t="shared" si="99"/>
        <v>6.8897229915114711E-3</v>
      </c>
      <c r="D616">
        <v>2138.5500489999999</v>
      </c>
      <c r="E616">
        <f t="shared" si="100"/>
        <v>7.4907063030122956E-3</v>
      </c>
      <c r="F616">
        <v>1093.875</v>
      </c>
      <c r="G616">
        <f t="shared" si="101"/>
        <v>-1.0672257649905537E-2</v>
      </c>
      <c r="H616">
        <v>329.41522220000002</v>
      </c>
      <c r="I616">
        <f t="shared" si="102"/>
        <v>-1.2505562189856878E-2</v>
      </c>
      <c r="J616">
        <v>829.84997559999999</v>
      </c>
      <c r="K616">
        <f t="shared" si="103"/>
        <v>-1.6842398796992342E-3</v>
      </c>
      <c r="L616">
        <v>239.25</v>
      </c>
      <c r="M616">
        <f t="shared" si="104"/>
        <v>8.6425089662385268E-3</v>
      </c>
      <c r="N616">
        <v>416.7999878</v>
      </c>
      <c r="O616">
        <f t="shared" si="105"/>
        <v>-9.1525167142051389E-3</v>
      </c>
      <c r="P616">
        <v>127</v>
      </c>
      <c r="Q616">
        <f t="shared" si="106"/>
        <v>-2.0817247220766943E-2</v>
      </c>
      <c r="R616">
        <v>121.75</v>
      </c>
      <c r="S616">
        <f t="shared" si="107"/>
        <v>-2.049180327868827E-3</v>
      </c>
      <c r="T616">
        <v>1646.900024</v>
      </c>
      <c r="U616">
        <f t="shared" si="108"/>
        <v>2.7354089803592885E-2</v>
      </c>
      <c r="W616">
        <f t="shared" si="109"/>
        <v>-6.5039759179473825E-4</v>
      </c>
      <c r="X616">
        <v>-2.3022722178454485E-3</v>
      </c>
    </row>
    <row r="617" spans="1:24" x14ac:dyDescent="0.35">
      <c r="A617" s="1">
        <v>43727</v>
      </c>
      <c r="B617">
        <v>1078.0439449999999</v>
      </c>
      <c r="C617">
        <f t="shared" si="99"/>
        <v>-2.2103431258271411E-2</v>
      </c>
      <c r="D617">
        <v>2101.9499510000001</v>
      </c>
      <c r="E617">
        <f t="shared" si="100"/>
        <v>-1.711444537719109E-2</v>
      </c>
      <c r="F617">
        <v>1101.0500489999999</v>
      </c>
      <c r="G617">
        <f t="shared" si="101"/>
        <v>6.5592951662667431E-3</v>
      </c>
      <c r="H617">
        <v>331.37835689999997</v>
      </c>
      <c r="I617">
        <f t="shared" si="102"/>
        <v>5.9594535033602458E-3</v>
      </c>
      <c r="J617">
        <v>820.70001219999995</v>
      </c>
      <c r="K617">
        <f t="shared" si="103"/>
        <v>-1.1026045272079954E-2</v>
      </c>
      <c r="L617">
        <v>236.6999969</v>
      </c>
      <c r="M617">
        <f t="shared" si="104"/>
        <v>-1.065832016718915E-2</v>
      </c>
      <c r="N617">
        <v>411.14999390000003</v>
      </c>
      <c r="O617">
        <f t="shared" si="105"/>
        <v>-1.355564794956543E-2</v>
      </c>
      <c r="P617">
        <v>124.3000031</v>
      </c>
      <c r="Q617">
        <f t="shared" si="106"/>
        <v>-2.125981811023625E-2</v>
      </c>
      <c r="R617">
        <v>124.1999969</v>
      </c>
      <c r="S617">
        <f t="shared" si="107"/>
        <v>2.0123177823408556E-2</v>
      </c>
      <c r="T617">
        <v>1619.349976</v>
      </c>
      <c r="U617">
        <f t="shared" si="108"/>
        <v>-1.6728427711772298E-2</v>
      </c>
      <c r="W617">
        <f t="shared" si="109"/>
        <v>-7.9804209353270053E-3</v>
      </c>
      <c r="X617">
        <v>-2.2965143897635152E-3</v>
      </c>
    </row>
    <row r="618" spans="1:24" x14ac:dyDescent="0.35">
      <c r="A618" s="1">
        <v>43728</v>
      </c>
      <c r="B618">
        <v>1146.893188</v>
      </c>
      <c r="C618">
        <f t="shared" si="99"/>
        <v>6.3864968881208295E-2</v>
      </c>
      <c r="D618">
        <v>2065.4499510000001</v>
      </c>
      <c r="E618">
        <f t="shared" si="100"/>
        <v>-1.7364828302707802E-2</v>
      </c>
      <c r="F618">
        <v>1199.599976</v>
      </c>
      <c r="G618">
        <f t="shared" si="101"/>
        <v>8.950540176580124E-2</v>
      </c>
      <c r="H618">
        <v>349.83190919999998</v>
      </c>
      <c r="I618">
        <f t="shared" si="102"/>
        <v>5.5687258735394041E-2</v>
      </c>
      <c r="J618">
        <v>805</v>
      </c>
      <c r="K618">
        <f t="shared" si="103"/>
        <v>-1.9130025547232421E-2</v>
      </c>
      <c r="L618">
        <v>238.0500031</v>
      </c>
      <c r="M618">
        <f t="shared" si="104"/>
        <v>5.7034483214224441E-3</v>
      </c>
      <c r="N618">
        <v>413.7000122</v>
      </c>
      <c r="O618">
        <f t="shared" si="105"/>
        <v>6.2021606173736643E-3</v>
      </c>
      <c r="P618">
        <v>133.6000061</v>
      </c>
      <c r="Q618">
        <f t="shared" si="106"/>
        <v>7.4819008592607261E-2</v>
      </c>
      <c r="R618">
        <v>133.25</v>
      </c>
      <c r="S618">
        <f t="shared" si="107"/>
        <v>7.2866371383943251E-2</v>
      </c>
      <c r="T618">
        <v>1761.1999510000001</v>
      </c>
      <c r="U618">
        <f t="shared" si="108"/>
        <v>8.7596861149427108E-2</v>
      </c>
      <c r="W618">
        <f t="shared" si="109"/>
        <v>4.1975062559723705E-2</v>
      </c>
      <c r="X618">
        <v>-2.2882289391565449E-3</v>
      </c>
    </row>
    <row r="619" spans="1:24" x14ac:dyDescent="0.35">
      <c r="A619" s="1">
        <v>43731</v>
      </c>
      <c r="B619">
        <v>1133.041138</v>
      </c>
      <c r="C619">
        <f t="shared" si="99"/>
        <v>-1.2077890203669006E-2</v>
      </c>
      <c r="D619">
        <v>2015.8000489999999</v>
      </c>
      <c r="E619">
        <f t="shared" si="100"/>
        <v>-2.4038298277797465E-2</v>
      </c>
      <c r="F619">
        <v>1257.25</v>
      </c>
      <c r="G619">
        <f t="shared" si="101"/>
        <v>4.8057706863442018E-2</v>
      </c>
      <c r="H619">
        <v>341.58670039999998</v>
      </c>
      <c r="I619">
        <f t="shared" si="102"/>
        <v>-2.3569058691230493E-2</v>
      </c>
      <c r="J619">
        <v>764.34997559999999</v>
      </c>
      <c r="K619">
        <f t="shared" si="103"/>
        <v>-5.0496924720496938E-2</v>
      </c>
      <c r="L619">
        <v>254.8500061</v>
      </c>
      <c r="M619">
        <f t="shared" si="104"/>
        <v>7.0573420631053985E-2</v>
      </c>
      <c r="N619">
        <v>409.4500122</v>
      </c>
      <c r="O619">
        <f t="shared" si="105"/>
        <v>-1.0273144487956576E-2</v>
      </c>
      <c r="P619">
        <v>136.3000031</v>
      </c>
      <c r="Q619">
        <f t="shared" si="106"/>
        <v>2.0209557460491689E-2</v>
      </c>
      <c r="R619">
        <v>127.9000015</v>
      </c>
      <c r="S619">
        <f t="shared" si="107"/>
        <v>-4.015008255159469E-2</v>
      </c>
      <c r="T619">
        <v>1917</v>
      </c>
      <c r="U619">
        <f t="shared" si="108"/>
        <v>8.8462442274960029E-2</v>
      </c>
      <c r="W619">
        <f t="shared" si="109"/>
        <v>6.6697728297202543E-3</v>
      </c>
      <c r="X619">
        <v>-2.2620599852348653E-3</v>
      </c>
    </row>
    <row r="620" spans="1:24" x14ac:dyDescent="0.35">
      <c r="A620" s="1">
        <v>43732</v>
      </c>
      <c r="B620">
        <v>1169.1572269999999</v>
      </c>
      <c r="C620">
        <f t="shared" si="99"/>
        <v>3.1875355438329978E-2</v>
      </c>
      <c r="D620">
        <v>2044.6999510000001</v>
      </c>
      <c r="E620">
        <f t="shared" si="100"/>
        <v>1.4336690791498352E-2</v>
      </c>
      <c r="F620">
        <v>1253.8000489999999</v>
      </c>
      <c r="G620">
        <f t="shared" si="101"/>
        <v>-2.7440453370451978E-3</v>
      </c>
      <c r="H620">
        <v>342.2247314</v>
      </c>
      <c r="I620">
        <f t="shared" si="102"/>
        <v>1.8678449695286314E-3</v>
      </c>
      <c r="J620">
        <v>794.04998780000005</v>
      </c>
      <c r="K620">
        <f t="shared" si="103"/>
        <v>3.8856561978282356E-2</v>
      </c>
      <c r="L620">
        <v>256</v>
      </c>
      <c r="M620">
        <f t="shared" si="104"/>
        <v>4.5124342651525762E-3</v>
      </c>
      <c r="N620">
        <v>409.64999390000003</v>
      </c>
      <c r="O620">
        <f t="shared" si="105"/>
        <v>4.8841542078736921E-4</v>
      </c>
      <c r="P620">
        <v>133.5</v>
      </c>
      <c r="Q620">
        <f t="shared" si="106"/>
        <v>-2.0542942306066569E-2</v>
      </c>
      <c r="R620">
        <v>130.8999939</v>
      </c>
      <c r="S620">
        <f t="shared" si="107"/>
        <v>2.3455765166664255E-2</v>
      </c>
      <c r="T620">
        <v>1880.25</v>
      </c>
      <c r="U620">
        <f t="shared" si="108"/>
        <v>-1.9170579029733958E-2</v>
      </c>
      <c r="W620">
        <f t="shared" si="109"/>
        <v>7.2935501357397799E-3</v>
      </c>
      <c r="X620">
        <v>-2.202901660439416E-3</v>
      </c>
    </row>
    <row r="621" spans="1:24" x14ac:dyDescent="0.35">
      <c r="A621" s="1">
        <v>43733</v>
      </c>
      <c r="B621">
        <v>1169.934448</v>
      </c>
      <c r="C621">
        <f t="shared" si="99"/>
        <v>6.6477029953815325E-4</v>
      </c>
      <c r="D621">
        <v>2088.4499510000001</v>
      </c>
      <c r="E621">
        <f t="shared" si="100"/>
        <v>2.1396782436759576E-2</v>
      </c>
      <c r="F621">
        <v>1239.6999510000001</v>
      </c>
      <c r="G621">
        <f t="shared" si="101"/>
        <v>-1.124589045218638E-2</v>
      </c>
      <c r="H621">
        <v>335.35372919999998</v>
      </c>
      <c r="I621">
        <f t="shared" si="102"/>
        <v>-2.0077456622996204E-2</v>
      </c>
      <c r="J621">
        <v>792.65002440000001</v>
      </c>
      <c r="K621">
        <f t="shared" si="103"/>
        <v>-1.7630670883564958E-3</v>
      </c>
      <c r="L621">
        <v>247.5500031</v>
      </c>
      <c r="M621">
        <f t="shared" si="104"/>
        <v>-3.3007800390625008E-2</v>
      </c>
      <c r="N621">
        <v>406.75</v>
      </c>
      <c r="O621">
        <f t="shared" si="105"/>
        <v>-7.0791991777935381E-3</v>
      </c>
      <c r="P621">
        <v>131.4499969</v>
      </c>
      <c r="Q621">
        <f t="shared" si="106"/>
        <v>-1.5355828464419408E-2</v>
      </c>
      <c r="R621">
        <v>123.0500031</v>
      </c>
      <c r="S621">
        <f t="shared" si="107"/>
        <v>-5.9969374834325295E-2</v>
      </c>
      <c r="T621">
        <v>1902.1999510000001</v>
      </c>
      <c r="U621">
        <f t="shared" si="108"/>
        <v>1.16739534636352E-2</v>
      </c>
      <c r="W621">
        <f t="shared" si="109"/>
        <v>-1.1476311083076941E-2</v>
      </c>
      <c r="X621">
        <v>-2.1896648186892744E-3</v>
      </c>
    </row>
    <row r="622" spans="1:24" x14ac:dyDescent="0.35">
      <c r="A622" s="1">
        <v>43734</v>
      </c>
      <c r="B622">
        <v>1185.7066649999999</v>
      </c>
      <c r="C622">
        <f t="shared" si="99"/>
        <v>1.3481282670975814E-2</v>
      </c>
      <c r="D622">
        <v>2087.6000979999999</v>
      </c>
      <c r="E622">
        <f t="shared" si="100"/>
        <v>-4.0693002941882828E-4</v>
      </c>
      <c r="F622">
        <v>1242.5</v>
      </c>
      <c r="G622">
        <f t="shared" si="101"/>
        <v>2.2586505692294701E-3</v>
      </c>
      <c r="H622">
        <v>337.70950319999997</v>
      </c>
      <c r="I622">
        <f t="shared" si="102"/>
        <v>7.0247437105286359E-3</v>
      </c>
      <c r="J622">
        <v>782.54998780000005</v>
      </c>
      <c r="K622">
        <f t="shared" si="103"/>
        <v>-1.274211352941701E-2</v>
      </c>
      <c r="L622">
        <v>250.3999939</v>
      </c>
      <c r="M622">
        <f t="shared" si="104"/>
        <v>1.1512788383398753E-2</v>
      </c>
      <c r="N622">
        <v>411.9500122</v>
      </c>
      <c r="O622">
        <f t="shared" si="105"/>
        <v>1.2784295513214472E-2</v>
      </c>
      <c r="P622">
        <v>137.0500031</v>
      </c>
      <c r="Q622">
        <f t="shared" si="106"/>
        <v>4.2601797885626347E-2</v>
      </c>
      <c r="R622">
        <v>124.5</v>
      </c>
      <c r="S622">
        <f t="shared" si="107"/>
        <v>1.1783802222431694E-2</v>
      </c>
      <c r="T622">
        <v>1878.8000489999999</v>
      </c>
      <c r="U622">
        <f t="shared" si="108"/>
        <v>-1.2301494376392275E-2</v>
      </c>
      <c r="W622">
        <f t="shared" si="109"/>
        <v>7.5996823020177068E-3</v>
      </c>
      <c r="X622">
        <v>-2.1617467000867646E-3</v>
      </c>
    </row>
    <row r="623" spans="1:24" x14ac:dyDescent="0.35">
      <c r="A623" s="1">
        <v>43735</v>
      </c>
      <c r="B623">
        <v>1196.9072269999999</v>
      </c>
      <c r="C623">
        <f t="shared" si="99"/>
        <v>9.4463178209427401E-3</v>
      </c>
      <c r="D623">
        <v>2056.1499020000001</v>
      </c>
      <c r="E623">
        <f t="shared" si="100"/>
        <v>-1.5065239760301941E-2</v>
      </c>
      <c r="F623">
        <v>1244.1999510000001</v>
      </c>
      <c r="G623">
        <f t="shared" si="101"/>
        <v>1.3681698189136338E-3</v>
      </c>
      <c r="H623">
        <v>342.66644289999999</v>
      </c>
      <c r="I623">
        <f t="shared" si="102"/>
        <v>1.4678117296167414E-2</v>
      </c>
      <c r="J623">
        <v>782.20001219999995</v>
      </c>
      <c r="K623">
        <f t="shared" si="103"/>
        <v>-4.4722459326085318E-4</v>
      </c>
      <c r="L623">
        <v>252.9499969</v>
      </c>
      <c r="M623">
        <f t="shared" si="104"/>
        <v>1.0183718299203948E-2</v>
      </c>
      <c r="N623">
        <v>401.7000122</v>
      </c>
      <c r="O623">
        <f t="shared" si="105"/>
        <v>-2.4881659658802624E-2</v>
      </c>
      <c r="P623">
        <v>131.5</v>
      </c>
      <c r="Q623">
        <f t="shared" si="106"/>
        <v>-4.0496190984763314E-2</v>
      </c>
      <c r="R623">
        <v>119.9000015</v>
      </c>
      <c r="S623">
        <f t="shared" si="107"/>
        <v>-3.6947779116465851E-2</v>
      </c>
      <c r="T623">
        <v>1894.5500489999999</v>
      </c>
      <c r="U623">
        <f t="shared" si="108"/>
        <v>8.3830102135578066E-3</v>
      </c>
      <c r="W623">
        <f t="shared" si="109"/>
        <v>-7.3778760664809035E-3</v>
      </c>
      <c r="X623">
        <v>-2.151040702282214E-3</v>
      </c>
    </row>
    <row r="624" spans="1:24" x14ac:dyDescent="0.35">
      <c r="A624" s="1">
        <v>43738</v>
      </c>
      <c r="B624">
        <v>1218.119751</v>
      </c>
      <c r="C624">
        <f t="shared" si="99"/>
        <v>1.7722780447377184E-2</v>
      </c>
      <c r="D624">
        <v>2099.3000489999999</v>
      </c>
      <c r="E624">
        <f t="shared" si="100"/>
        <v>2.0985895511814512E-2</v>
      </c>
      <c r="F624">
        <v>1227.4499510000001</v>
      </c>
      <c r="G624">
        <f t="shared" si="101"/>
        <v>-1.3462466371693349E-2</v>
      </c>
      <c r="H624">
        <v>360.28564449999999</v>
      </c>
      <c r="I624">
        <f t="shared" si="102"/>
        <v>5.1417937078658715E-2</v>
      </c>
      <c r="J624">
        <v>805.65002440000001</v>
      </c>
      <c r="K624">
        <f t="shared" si="103"/>
        <v>2.9979560002875827E-2</v>
      </c>
      <c r="L624">
        <v>259.85000609999997</v>
      </c>
      <c r="M624">
        <f t="shared" si="104"/>
        <v>2.7278154910307384E-2</v>
      </c>
      <c r="N624">
        <v>389.4500122</v>
      </c>
      <c r="O624">
        <f t="shared" si="105"/>
        <v>-3.0495393646891245E-2</v>
      </c>
      <c r="P624">
        <v>131.8000031</v>
      </c>
      <c r="Q624">
        <f t="shared" si="106"/>
        <v>2.2813923954372317E-3</v>
      </c>
      <c r="R624">
        <v>117.4499969</v>
      </c>
      <c r="S624">
        <f t="shared" si="107"/>
        <v>-2.0433732855291042E-2</v>
      </c>
      <c r="T624">
        <v>1860.599976</v>
      </c>
      <c r="U624">
        <f t="shared" si="108"/>
        <v>-1.7919860717282132E-2</v>
      </c>
      <c r="W624">
        <f t="shared" si="109"/>
        <v>6.7354266755313081E-3</v>
      </c>
      <c r="X624">
        <v>-2.1507271804394709E-3</v>
      </c>
    </row>
    <row r="625" spans="1:24" x14ac:dyDescent="0.35">
      <c r="A625" s="1">
        <v>43739</v>
      </c>
      <c r="B625">
        <v>1193.112793</v>
      </c>
      <c r="C625">
        <f t="shared" si="99"/>
        <v>-2.0529145824514261E-2</v>
      </c>
      <c r="D625">
        <v>2059.9499510000001</v>
      </c>
      <c r="E625">
        <f t="shared" si="100"/>
        <v>-1.8744389597258548E-2</v>
      </c>
      <c r="F625">
        <v>1248.8000489999999</v>
      </c>
      <c r="G625">
        <f t="shared" si="101"/>
        <v>1.7393864395534919E-2</v>
      </c>
      <c r="H625">
        <v>344.4823303</v>
      </c>
      <c r="I625">
        <f t="shared" si="102"/>
        <v>-4.3863291366858737E-2</v>
      </c>
      <c r="J625">
        <v>793.54998780000005</v>
      </c>
      <c r="K625">
        <f t="shared" si="103"/>
        <v>-1.5018973789532652E-2</v>
      </c>
      <c r="L625">
        <v>255.8999939</v>
      </c>
      <c r="M625">
        <f t="shared" si="104"/>
        <v>-1.520112413805319E-2</v>
      </c>
      <c r="N625">
        <v>386.5499878</v>
      </c>
      <c r="O625">
        <f t="shared" si="105"/>
        <v>-7.4464611866816854E-3</v>
      </c>
      <c r="P625">
        <v>128.1999969</v>
      </c>
      <c r="Q625">
        <f t="shared" si="106"/>
        <v>-2.7314158689879409E-2</v>
      </c>
      <c r="R625">
        <v>115.3000031</v>
      </c>
      <c r="S625">
        <f t="shared" si="107"/>
        <v>-1.8305609678564427E-2</v>
      </c>
      <c r="T625">
        <v>1896</v>
      </c>
      <c r="U625">
        <f t="shared" si="108"/>
        <v>1.9026133750740248E-2</v>
      </c>
      <c r="W625">
        <f t="shared" si="109"/>
        <v>-1.3000315612506775E-2</v>
      </c>
      <c r="X625">
        <v>-2.1456097403794614E-3</v>
      </c>
    </row>
    <row r="626" spans="1:24" x14ac:dyDescent="0.35">
      <c r="A626" s="1">
        <v>43741</v>
      </c>
      <c r="B626">
        <v>1198.735962</v>
      </c>
      <c r="C626">
        <f t="shared" si="99"/>
        <v>4.713023808806005E-3</v>
      </c>
      <c r="D626">
        <v>2060.25</v>
      </c>
      <c r="E626">
        <f t="shared" si="100"/>
        <v>1.4565839323155139E-4</v>
      </c>
      <c r="F626">
        <v>1223.5500489999999</v>
      </c>
      <c r="G626">
        <f t="shared" si="101"/>
        <v>-2.0219409840846359E-2</v>
      </c>
      <c r="H626">
        <v>338.54385380000002</v>
      </c>
      <c r="I626">
        <f t="shared" si="102"/>
        <v>-1.7238842104987828E-2</v>
      </c>
      <c r="J626">
        <v>785.59997559999999</v>
      </c>
      <c r="K626">
        <f t="shared" si="103"/>
        <v>-1.0018287848557961E-2</v>
      </c>
      <c r="L626">
        <v>261.64999390000003</v>
      </c>
      <c r="M626">
        <f t="shared" si="104"/>
        <v>2.246971526793784E-2</v>
      </c>
      <c r="N626">
        <v>388.14999390000003</v>
      </c>
      <c r="O626">
        <f t="shared" si="105"/>
        <v>4.1391958362391179E-3</v>
      </c>
      <c r="P626">
        <v>128.1000061</v>
      </c>
      <c r="Q626">
        <f t="shared" si="106"/>
        <v>-7.799594572377444E-4</v>
      </c>
      <c r="R626">
        <v>122.4000015</v>
      </c>
      <c r="S626">
        <f t="shared" si="107"/>
        <v>6.1578475360856366E-2</v>
      </c>
      <c r="T626">
        <v>1885.1999510000001</v>
      </c>
      <c r="U626">
        <f t="shared" si="108"/>
        <v>-5.6962283755274123E-3</v>
      </c>
      <c r="W626">
        <f t="shared" si="109"/>
        <v>3.9093341039913576E-3</v>
      </c>
      <c r="X626">
        <v>-2.1444325410331149E-3</v>
      </c>
    </row>
    <row r="627" spans="1:24" x14ac:dyDescent="0.35">
      <c r="A627" s="1">
        <v>43742</v>
      </c>
      <c r="B627">
        <v>1196.0385739999999</v>
      </c>
      <c r="C627">
        <f t="shared" si="99"/>
        <v>-2.2501936085238539E-3</v>
      </c>
      <c r="D627">
        <v>2079.3500979999999</v>
      </c>
      <c r="E627">
        <f t="shared" si="100"/>
        <v>9.2707671399101521E-3</v>
      </c>
      <c r="F627">
        <v>1189.6999510000001</v>
      </c>
      <c r="G627">
        <f t="shared" si="101"/>
        <v>-2.7665478847935465E-2</v>
      </c>
      <c r="H627">
        <v>333.24334720000002</v>
      </c>
      <c r="I627">
        <f t="shared" si="102"/>
        <v>-1.5656779883918226E-2</v>
      </c>
      <c r="J627">
        <v>793.45001219999995</v>
      </c>
      <c r="K627">
        <f t="shared" si="103"/>
        <v>9.9924094244077111E-3</v>
      </c>
      <c r="L627">
        <v>257.25</v>
      </c>
      <c r="M627">
        <f t="shared" si="104"/>
        <v>-1.6816334808254063E-2</v>
      </c>
      <c r="N627">
        <v>386.0499878</v>
      </c>
      <c r="O627">
        <f t="shared" si="105"/>
        <v>-5.410295331709003E-3</v>
      </c>
      <c r="P627">
        <v>129.5500031</v>
      </c>
      <c r="Q627">
        <f t="shared" si="106"/>
        <v>1.1319257852869136E-2</v>
      </c>
      <c r="R627">
        <v>119.6500015</v>
      </c>
      <c r="S627">
        <f t="shared" si="107"/>
        <v>-2.2467319986103074E-2</v>
      </c>
      <c r="T627">
        <v>1894.650024</v>
      </c>
      <c r="U627">
        <f t="shared" si="108"/>
        <v>5.012769597722011E-3</v>
      </c>
      <c r="W627">
        <f t="shared" si="109"/>
        <v>-5.4671198451534675E-3</v>
      </c>
      <c r="X627">
        <v>-2.1052132269302696E-3</v>
      </c>
    </row>
    <row r="628" spans="1:24" x14ac:dyDescent="0.35">
      <c r="A628" s="1">
        <v>43745</v>
      </c>
      <c r="B628">
        <v>1197.8673100000001</v>
      </c>
      <c r="C628">
        <f t="shared" si="99"/>
        <v>1.5289941643639171E-3</v>
      </c>
      <c r="D628">
        <v>2047.6999510000001</v>
      </c>
      <c r="E628">
        <f t="shared" si="100"/>
        <v>-1.5221172726248566E-2</v>
      </c>
      <c r="F628">
        <v>1186.900024</v>
      </c>
      <c r="G628">
        <f t="shared" si="101"/>
        <v>-2.3534732414224324E-3</v>
      </c>
      <c r="H628">
        <v>335.25558469999999</v>
      </c>
      <c r="I628">
        <f t="shared" si="102"/>
        <v>6.0383426013073116E-3</v>
      </c>
      <c r="J628">
        <v>789.54998780000005</v>
      </c>
      <c r="K628">
        <f t="shared" si="103"/>
        <v>-4.9152742328231191E-3</v>
      </c>
      <c r="L628">
        <v>251.8999939</v>
      </c>
      <c r="M628">
        <f t="shared" si="104"/>
        <v>-2.0796913896987346E-2</v>
      </c>
      <c r="N628">
        <v>379.89999390000003</v>
      </c>
      <c r="O628">
        <f t="shared" si="105"/>
        <v>-1.593056364292933E-2</v>
      </c>
      <c r="P628">
        <v>126.5500031</v>
      </c>
      <c r="Q628">
        <f t="shared" si="106"/>
        <v>-2.3157081653516376E-2</v>
      </c>
      <c r="R628">
        <v>117.5</v>
      </c>
      <c r="S628">
        <f t="shared" si="107"/>
        <v>-1.7969088784340781E-2</v>
      </c>
      <c r="T628">
        <v>1847.3000489999999</v>
      </c>
      <c r="U628">
        <f t="shared" si="108"/>
        <v>-2.4991409706387024E-2</v>
      </c>
      <c r="W628">
        <f t="shared" si="109"/>
        <v>-1.1776764111898375E-2</v>
      </c>
      <c r="X628">
        <v>-2.0936943911502252E-3</v>
      </c>
    </row>
    <row r="629" spans="1:24" x14ac:dyDescent="0.35">
      <c r="A629" s="1">
        <v>43747</v>
      </c>
      <c r="B629">
        <v>1211.262207</v>
      </c>
      <c r="C629">
        <f t="shared" si="99"/>
        <v>1.1182287794463619E-2</v>
      </c>
      <c r="D629">
        <v>2020.099976</v>
      </c>
      <c r="E629">
        <f t="shared" si="100"/>
        <v>-1.3478525008764897E-2</v>
      </c>
      <c r="F629">
        <v>1228.150024</v>
      </c>
      <c r="G629">
        <f t="shared" si="101"/>
        <v>3.4754401521521983E-2</v>
      </c>
      <c r="H629">
        <v>352.77661130000001</v>
      </c>
      <c r="I629">
        <f t="shared" si="102"/>
        <v>5.2261699430536046E-2</v>
      </c>
      <c r="J629">
        <v>783.65002440000001</v>
      </c>
      <c r="K629">
        <f t="shared" si="103"/>
        <v>-7.4725647408844242E-3</v>
      </c>
      <c r="L629">
        <v>247.1000061</v>
      </c>
      <c r="M629">
        <f t="shared" si="104"/>
        <v>-1.9055132656753848E-2</v>
      </c>
      <c r="N629">
        <v>383.9500122</v>
      </c>
      <c r="O629">
        <f t="shared" si="105"/>
        <v>1.0660748526008179E-2</v>
      </c>
      <c r="P629">
        <v>125.8499985</v>
      </c>
      <c r="Q629">
        <f t="shared" si="106"/>
        <v>-5.5314467234492959E-3</v>
      </c>
      <c r="R629">
        <v>120.9000015</v>
      </c>
      <c r="S629">
        <f t="shared" si="107"/>
        <v>2.8936182978723357E-2</v>
      </c>
      <c r="T629">
        <v>1820.400024</v>
      </c>
      <c r="U629">
        <f t="shared" si="108"/>
        <v>-1.4561806033925984E-2</v>
      </c>
      <c r="W629">
        <f t="shared" si="109"/>
        <v>7.7695845087474751E-3</v>
      </c>
      <c r="X629">
        <v>-2.0932264065789742E-3</v>
      </c>
    </row>
    <row r="630" spans="1:24" x14ac:dyDescent="0.35">
      <c r="A630" s="1">
        <v>43748</v>
      </c>
      <c r="B630">
        <v>1246.0069579999999</v>
      </c>
      <c r="C630">
        <f t="shared" si="99"/>
        <v>2.868474785988262E-2</v>
      </c>
      <c r="D630">
        <v>2004.4499510000001</v>
      </c>
      <c r="E630">
        <f t="shared" si="100"/>
        <v>-7.7471536982979261E-3</v>
      </c>
      <c r="F630">
        <v>1200.5500489999999</v>
      </c>
      <c r="G630">
        <f t="shared" si="101"/>
        <v>-2.2472804185688089E-2</v>
      </c>
      <c r="H630">
        <v>370.29766849999999</v>
      </c>
      <c r="I630">
        <f t="shared" si="102"/>
        <v>4.9666153137063018E-2</v>
      </c>
      <c r="J630">
        <v>783.04998780000005</v>
      </c>
      <c r="K630">
        <f t="shared" si="103"/>
        <v>-7.6569461024311725E-4</v>
      </c>
      <c r="L630">
        <v>243.1999969</v>
      </c>
      <c r="M630">
        <f t="shared" si="104"/>
        <v>-1.5783120614014434E-2</v>
      </c>
      <c r="N630">
        <v>387.0499878</v>
      </c>
      <c r="O630">
        <f t="shared" si="105"/>
        <v>8.0739041580892845E-3</v>
      </c>
      <c r="P630">
        <v>125.5</v>
      </c>
      <c r="Q630">
        <f t="shared" si="106"/>
        <v>-2.7810767117331103E-3</v>
      </c>
      <c r="R630">
        <v>116.8000031</v>
      </c>
      <c r="S630">
        <f t="shared" si="107"/>
        <v>-3.391231058007893E-2</v>
      </c>
      <c r="T630">
        <v>1821.349976</v>
      </c>
      <c r="U630">
        <f t="shared" si="108"/>
        <v>5.2183695203034119E-4</v>
      </c>
      <c r="W630">
        <f t="shared" si="109"/>
        <v>3.4844817070096514E-4</v>
      </c>
      <c r="X630">
        <v>-2.092730600309789E-3</v>
      </c>
    </row>
    <row r="631" spans="1:24" x14ac:dyDescent="0.35">
      <c r="A631" s="1">
        <v>43749</v>
      </c>
      <c r="B631">
        <v>1236.7264399999999</v>
      </c>
      <c r="C631">
        <f t="shared" si="99"/>
        <v>-7.4482072033501545E-3</v>
      </c>
      <c r="D631">
        <v>1986.849976</v>
      </c>
      <c r="E631">
        <f t="shared" si="100"/>
        <v>-8.7804512111762101E-3</v>
      </c>
      <c r="F631">
        <v>1198.8000489999999</v>
      </c>
      <c r="G631">
        <f t="shared" si="101"/>
        <v>-1.4576651772724158E-3</v>
      </c>
      <c r="H631">
        <v>375.8435364</v>
      </c>
      <c r="I631">
        <f t="shared" si="102"/>
        <v>1.4976783198406896E-2</v>
      </c>
      <c r="J631">
        <v>814.79998780000005</v>
      </c>
      <c r="K631">
        <f t="shared" si="103"/>
        <v>4.054658130983757E-2</v>
      </c>
      <c r="L631">
        <v>243.9499969</v>
      </c>
      <c r="M631">
        <f t="shared" si="104"/>
        <v>3.0838816182567896E-3</v>
      </c>
      <c r="N631">
        <v>386.2999878</v>
      </c>
      <c r="O631">
        <f t="shared" si="105"/>
        <v>-1.9377342039539336E-3</v>
      </c>
      <c r="P631">
        <v>129</v>
      </c>
      <c r="Q631">
        <f t="shared" si="106"/>
        <v>2.7888446215139417E-2</v>
      </c>
      <c r="R631">
        <v>121.3000031</v>
      </c>
      <c r="S631">
        <f t="shared" si="107"/>
        <v>3.8527396237714617E-2</v>
      </c>
      <c r="T631">
        <v>1843.1999510000001</v>
      </c>
      <c r="U631">
        <f t="shared" si="108"/>
        <v>1.1996582363586361E-2</v>
      </c>
      <c r="W631">
        <f t="shared" si="109"/>
        <v>1.1739561314718896E-2</v>
      </c>
      <c r="X631">
        <v>-2.0863678089901539E-3</v>
      </c>
    </row>
    <row r="632" spans="1:24" x14ac:dyDescent="0.35">
      <c r="A632" s="1">
        <v>43752</v>
      </c>
      <c r="B632">
        <v>1241.663818</v>
      </c>
      <c r="C632">
        <f t="shared" si="99"/>
        <v>3.9922959842275674E-3</v>
      </c>
      <c r="D632">
        <v>2021</v>
      </c>
      <c r="E632">
        <f t="shared" si="100"/>
        <v>1.7188023460509072E-2</v>
      </c>
      <c r="F632">
        <v>1204.400024</v>
      </c>
      <c r="G632">
        <f t="shared" si="101"/>
        <v>4.671316959547589E-3</v>
      </c>
      <c r="H632">
        <v>386.29727170000001</v>
      </c>
      <c r="I632">
        <f t="shared" si="102"/>
        <v>2.7814061670796919E-2</v>
      </c>
      <c r="J632">
        <v>786.09997559999999</v>
      </c>
      <c r="K632">
        <f t="shared" si="103"/>
        <v>-3.5223383197993785E-2</v>
      </c>
      <c r="L632">
        <v>244.1000061</v>
      </c>
      <c r="M632">
        <f t="shared" si="104"/>
        <v>6.1491781884082108E-4</v>
      </c>
      <c r="N632">
        <v>394.64999390000003</v>
      </c>
      <c r="O632">
        <f t="shared" si="105"/>
        <v>2.1615341350523343E-2</v>
      </c>
      <c r="P632">
        <v>135.25</v>
      </c>
      <c r="Q632">
        <f t="shared" si="106"/>
        <v>4.8449612403100861E-2</v>
      </c>
      <c r="R632">
        <v>127.8499985</v>
      </c>
      <c r="S632">
        <f t="shared" si="107"/>
        <v>5.3998311892870854E-2</v>
      </c>
      <c r="T632">
        <v>1828.0500489999999</v>
      </c>
      <c r="U632">
        <f t="shared" si="108"/>
        <v>-8.2193480917687189E-3</v>
      </c>
      <c r="W632">
        <f t="shared" si="109"/>
        <v>1.3490115025065454E-2</v>
      </c>
      <c r="X632">
        <v>-2.0858853315389946E-3</v>
      </c>
    </row>
    <row r="633" spans="1:24" x14ac:dyDescent="0.35">
      <c r="A633" s="1">
        <v>43753</v>
      </c>
      <c r="B633">
        <v>1247.286987</v>
      </c>
      <c r="C633">
        <f t="shared" si="99"/>
        <v>4.5287371013655875E-3</v>
      </c>
      <c r="D633">
        <v>2037.3000489999999</v>
      </c>
      <c r="E633">
        <f t="shared" si="100"/>
        <v>8.0653384463136302E-3</v>
      </c>
      <c r="F633">
        <v>1223.0500489999999</v>
      </c>
      <c r="G633">
        <f t="shared" si="101"/>
        <v>1.5484909189938723E-2</v>
      </c>
      <c r="H633">
        <v>376.57971190000001</v>
      </c>
      <c r="I633">
        <f t="shared" si="102"/>
        <v>-2.5155652167138998E-2</v>
      </c>
      <c r="J633">
        <v>768.29998780000005</v>
      </c>
      <c r="K633">
        <f t="shared" si="103"/>
        <v>-2.2643414772292703E-2</v>
      </c>
      <c r="L633">
        <v>247.6000061</v>
      </c>
      <c r="M633">
        <f t="shared" si="104"/>
        <v>1.4338385549102162E-2</v>
      </c>
      <c r="N633">
        <v>396.7999878</v>
      </c>
      <c r="O633">
        <f t="shared" si="105"/>
        <v>5.4478498244820983E-3</v>
      </c>
      <c r="P633">
        <v>138.6499939</v>
      </c>
      <c r="Q633">
        <f t="shared" si="106"/>
        <v>2.5138587060998141E-2</v>
      </c>
      <c r="R633">
        <v>126.9499969</v>
      </c>
      <c r="S633">
        <f t="shared" si="107"/>
        <v>-7.0395120106316877E-3</v>
      </c>
      <c r="T633">
        <v>1838.6999510000001</v>
      </c>
      <c r="U633">
        <f t="shared" si="108"/>
        <v>5.8258262709087738E-3</v>
      </c>
      <c r="W633">
        <f t="shared" si="109"/>
        <v>2.399105449304573E-3</v>
      </c>
      <c r="X633">
        <v>-2.0846786344566048E-3</v>
      </c>
    </row>
    <row r="634" spans="1:24" x14ac:dyDescent="0.35">
      <c r="A634" s="1">
        <v>43754</v>
      </c>
      <c r="B634">
        <v>1254.7845460000001</v>
      </c>
      <c r="C634">
        <f t="shared" si="99"/>
        <v>6.0110937403696774E-3</v>
      </c>
      <c r="D634">
        <v>2046.400024</v>
      </c>
      <c r="E634">
        <f t="shared" si="100"/>
        <v>4.4666837388369629E-3</v>
      </c>
      <c r="F634">
        <v>1221.099976</v>
      </c>
      <c r="G634">
        <f t="shared" si="101"/>
        <v>-1.5944343419097562E-3</v>
      </c>
      <c r="H634">
        <v>378.150238</v>
      </c>
      <c r="I634">
        <f t="shared" si="102"/>
        <v>4.1705010927859387E-3</v>
      </c>
      <c r="J634">
        <v>771.45001219999995</v>
      </c>
      <c r="K634">
        <f t="shared" si="103"/>
        <v>4.099992776285033E-3</v>
      </c>
      <c r="L634">
        <v>243.6499939</v>
      </c>
      <c r="M634">
        <f t="shared" si="104"/>
        <v>-1.5953199122316186E-2</v>
      </c>
      <c r="N634">
        <v>399.7000122</v>
      </c>
      <c r="O634">
        <f t="shared" si="105"/>
        <v>7.3085294585788496E-3</v>
      </c>
      <c r="P634">
        <v>141.6499939</v>
      </c>
      <c r="Q634">
        <f t="shared" si="106"/>
        <v>2.1637216963483752E-2</v>
      </c>
      <c r="R634">
        <v>125.8499985</v>
      </c>
      <c r="S634">
        <f t="shared" si="107"/>
        <v>-8.6648162809053186E-3</v>
      </c>
      <c r="T634">
        <v>1870.5</v>
      </c>
      <c r="U634">
        <f t="shared" si="108"/>
        <v>1.7294854977673246E-2</v>
      </c>
      <c r="W634">
        <f t="shared" si="109"/>
        <v>3.8776423002882202E-3</v>
      </c>
      <c r="X634">
        <v>-2.0790977946005818E-3</v>
      </c>
    </row>
    <row r="635" spans="1:24" x14ac:dyDescent="0.35">
      <c r="A635" s="1">
        <v>43755</v>
      </c>
      <c r="B635">
        <v>1276.865601</v>
      </c>
      <c r="C635">
        <f t="shared" si="99"/>
        <v>1.7597487210365914E-2</v>
      </c>
      <c r="D635">
        <v>2030.9499510000001</v>
      </c>
      <c r="E635">
        <f t="shared" si="100"/>
        <v>-7.549879211690258E-3</v>
      </c>
      <c r="F635">
        <v>1220</v>
      </c>
      <c r="G635">
        <f t="shared" si="101"/>
        <v>-9.0080748638055042E-4</v>
      </c>
      <c r="H635">
        <v>378.73916630000002</v>
      </c>
      <c r="I635">
        <f t="shared" si="102"/>
        <v>1.5573923822309599E-3</v>
      </c>
      <c r="J635">
        <v>769.5</v>
      </c>
      <c r="K635">
        <f t="shared" si="103"/>
        <v>-2.5277233380798236E-3</v>
      </c>
      <c r="L635">
        <v>245.8500061</v>
      </c>
      <c r="M635">
        <f t="shared" si="104"/>
        <v>9.0293956703439981E-3</v>
      </c>
      <c r="N635">
        <v>401.5</v>
      </c>
      <c r="O635">
        <f t="shared" si="105"/>
        <v>4.5033468728024051E-3</v>
      </c>
      <c r="P635">
        <v>141.3999939</v>
      </c>
      <c r="Q635">
        <f t="shared" si="106"/>
        <v>-1.7649135952415573E-3</v>
      </c>
      <c r="R635">
        <v>139.5</v>
      </c>
      <c r="S635">
        <f t="shared" si="107"/>
        <v>0.10846246851564323</v>
      </c>
      <c r="T635">
        <v>1925.599976</v>
      </c>
      <c r="U635">
        <f t="shared" si="108"/>
        <v>2.9457351510291385E-2</v>
      </c>
      <c r="W635">
        <f t="shared" si="109"/>
        <v>1.5786411853028572E-2</v>
      </c>
      <c r="X635">
        <v>-2.0758192843887578E-3</v>
      </c>
    </row>
    <row r="636" spans="1:24" x14ac:dyDescent="0.35">
      <c r="A636" s="1">
        <v>43756</v>
      </c>
      <c r="B636">
        <v>1295.0151370000001</v>
      </c>
      <c r="C636">
        <f t="shared" si="99"/>
        <v>1.4214131844249023E-2</v>
      </c>
      <c r="D636">
        <v>2057.3500979999999</v>
      </c>
      <c r="E636">
        <f t="shared" si="100"/>
        <v>1.2998915599570005E-2</v>
      </c>
      <c r="F636">
        <v>1229</v>
      </c>
      <c r="G636">
        <f t="shared" si="101"/>
        <v>7.3770491803277771E-3</v>
      </c>
      <c r="H636">
        <v>376.43249509999998</v>
      </c>
      <c r="I636">
        <f t="shared" si="102"/>
        <v>-6.0903951987181237E-3</v>
      </c>
      <c r="J636">
        <v>767.84997559999999</v>
      </c>
      <c r="K636">
        <f t="shared" si="103"/>
        <v>-2.1442812215725082E-3</v>
      </c>
      <c r="L636">
        <v>246.5</v>
      </c>
      <c r="M636">
        <f t="shared" si="104"/>
        <v>2.6438636724523956E-3</v>
      </c>
      <c r="N636">
        <v>401.64999390000003</v>
      </c>
      <c r="O636">
        <f t="shared" si="105"/>
        <v>3.7358381070995428E-4</v>
      </c>
      <c r="P636">
        <v>143.5</v>
      </c>
      <c r="Q636">
        <f t="shared" si="106"/>
        <v>1.4851528929238578E-2</v>
      </c>
      <c r="R636">
        <v>136.8500061</v>
      </c>
      <c r="S636">
        <f t="shared" si="107"/>
        <v>-1.8996372043010745E-2</v>
      </c>
      <c r="T636">
        <v>1924.849976</v>
      </c>
      <c r="U636">
        <f t="shared" si="108"/>
        <v>-3.8948899529900327E-4</v>
      </c>
      <c r="W636">
        <f t="shared" si="109"/>
        <v>2.4838535577947356E-3</v>
      </c>
      <c r="X636">
        <v>-2.0736282618838194E-3</v>
      </c>
    </row>
    <row r="637" spans="1:24" x14ac:dyDescent="0.35">
      <c r="A637" s="1">
        <v>43760</v>
      </c>
      <c r="B637">
        <v>1293.0036620000001</v>
      </c>
      <c r="C637">
        <f t="shared" si="99"/>
        <v>-1.5532443926946637E-3</v>
      </c>
      <c r="D637">
        <v>2051.3999020000001</v>
      </c>
      <c r="E637">
        <f t="shared" si="100"/>
        <v>-2.8921650261587439E-3</v>
      </c>
      <c r="F637">
        <v>1239.3000489999999</v>
      </c>
      <c r="G637">
        <f t="shared" si="101"/>
        <v>8.3808372660698627E-3</v>
      </c>
      <c r="H637">
        <v>367.20571899999999</v>
      </c>
      <c r="I637">
        <f t="shared" si="102"/>
        <v>-2.4511104169019471E-2</v>
      </c>
      <c r="J637">
        <v>643.54998780000005</v>
      </c>
      <c r="K637">
        <f t="shared" si="103"/>
        <v>-0.16188056488882685</v>
      </c>
      <c r="L637">
        <v>248.8999939</v>
      </c>
      <c r="M637">
        <f t="shared" si="104"/>
        <v>9.7362835699796868E-3</v>
      </c>
      <c r="N637">
        <v>405.4500122</v>
      </c>
      <c r="O637">
        <f t="shared" si="105"/>
        <v>9.4610191901212115E-3</v>
      </c>
      <c r="P637">
        <v>144.25</v>
      </c>
      <c r="Q637">
        <f t="shared" si="106"/>
        <v>5.2264808362370019E-3</v>
      </c>
      <c r="R637">
        <v>131.75</v>
      </c>
      <c r="S637">
        <f t="shared" si="107"/>
        <v>-3.7267123658535239E-2</v>
      </c>
      <c r="T637">
        <v>1913.9499510000001</v>
      </c>
      <c r="U637">
        <f t="shared" si="108"/>
        <v>-5.6627919764692392E-3</v>
      </c>
      <c r="W637">
        <f t="shared" si="109"/>
        <v>-2.0096237324929645E-2</v>
      </c>
      <c r="X637">
        <v>-2.0507238339061316E-3</v>
      </c>
    </row>
    <row r="638" spans="1:24" x14ac:dyDescent="0.35">
      <c r="A638" s="1">
        <v>43761</v>
      </c>
      <c r="B638">
        <v>1273.1168210000001</v>
      </c>
      <c r="C638">
        <f t="shared" si="99"/>
        <v>-1.5380343911199246E-2</v>
      </c>
      <c r="D638">
        <v>2070.1000979999999</v>
      </c>
      <c r="E638">
        <f t="shared" si="100"/>
        <v>9.115821825753212E-3</v>
      </c>
      <c r="F638">
        <v>1241.599976</v>
      </c>
      <c r="G638">
        <f t="shared" si="101"/>
        <v>1.8558274098801064E-3</v>
      </c>
      <c r="H638">
        <v>353.7091064</v>
      </c>
      <c r="I638">
        <f t="shared" si="102"/>
        <v>-3.6754908493132676E-2</v>
      </c>
      <c r="J638">
        <v>650.59997559999999</v>
      </c>
      <c r="K638">
        <f t="shared" si="103"/>
        <v>1.0954841012584815E-2</v>
      </c>
      <c r="L638">
        <v>251.0500031</v>
      </c>
      <c r="M638">
        <f t="shared" si="104"/>
        <v>8.638044406155343E-3</v>
      </c>
      <c r="N638">
        <v>405.2000122</v>
      </c>
      <c r="O638">
        <f t="shared" si="105"/>
        <v>-6.1659882224074369E-4</v>
      </c>
      <c r="P638">
        <v>141.8999939</v>
      </c>
      <c r="Q638">
        <f t="shared" si="106"/>
        <v>-1.6291203466204496E-2</v>
      </c>
      <c r="R638">
        <v>132.6499939</v>
      </c>
      <c r="S638">
        <f t="shared" si="107"/>
        <v>6.8310732447818268E-3</v>
      </c>
      <c r="T638">
        <v>1900.75</v>
      </c>
      <c r="U638">
        <f t="shared" si="108"/>
        <v>-6.8967064646091591E-3</v>
      </c>
      <c r="W638">
        <f t="shared" si="109"/>
        <v>-3.8544153258231024E-3</v>
      </c>
      <c r="X638">
        <v>-2.0468881211821999E-3</v>
      </c>
    </row>
    <row r="639" spans="1:24" x14ac:dyDescent="0.35">
      <c r="A639" s="1">
        <v>43762</v>
      </c>
      <c r="B639">
        <v>1313.393188</v>
      </c>
      <c r="C639">
        <f t="shared" si="99"/>
        <v>3.1636033972407995E-2</v>
      </c>
      <c r="D639">
        <v>2082</v>
      </c>
      <c r="E639">
        <f t="shared" si="100"/>
        <v>5.7484669516691955E-3</v>
      </c>
      <c r="F639">
        <v>1236.099976</v>
      </c>
      <c r="G639">
        <f t="shared" si="101"/>
        <v>-4.4297681268640199E-3</v>
      </c>
      <c r="H639">
        <v>365.48797610000003</v>
      </c>
      <c r="I639">
        <f t="shared" si="102"/>
        <v>3.3301007768455904E-2</v>
      </c>
      <c r="J639">
        <v>635.34997559999999</v>
      </c>
      <c r="K639">
        <f t="shared" si="103"/>
        <v>-2.3439902508351707E-2</v>
      </c>
      <c r="L639">
        <v>249.0500031</v>
      </c>
      <c r="M639">
        <f t="shared" si="104"/>
        <v>-7.9665404314029908E-3</v>
      </c>
      <c r="N639">
        <v>405.9500122</v>
      </c>
      <c r="O639">
        <f t="shared" si="105"/>
        <v>1.850937752760462E-3</v>
      </c>
      <c r="P639">
        <v>140.6999969</v>
      </c>
      <c r="Q639">
        <f t="shared" si="106"/>
        <v>-8.4566388413354066E-3</v>
      </c>
      <c r="R639">
        <v>133.5</v>
      </c>
      <c r="S639">
        <f t="shared" si="107"/>
        <v>6.4078864612748809E-3</v>
      </c>
      <c r="T639">
        <v>1892.3000489999999</v>
      </c>
      <c r="U639">
        <f t="shared" si="108"/>
        <v>-4.4455877942917166E-3</v>
      </c>
      <c r="W639">
        <f t="shared" si="109"/>
        <v>3.02058952043226E-3</v>
      </c>
      <c r="X639">
        <v>-2.0450896935298776E-3</v>
      </c>
    </row>
    <row r="640" spans="1:24" x14ac:dyDescent="0.35">
      <c r="A640" s="1">
        <v>43763</v>
      </c>
      <c r="B640">
        <v>1308.593018</v>
      </c>
      <c r="C640">
        <f t="shared" si="99"/>
        <v>-3.6547852112051027E-3</v>
      </c>
      <c r="D640">
        <v>2124.9499510000001</v>
      </c>
      <c r="E640">
        <f t="shared" si="100"/>
        <v>2.0629179154659116E-2</v>
      </c>
      <c r="F640">
        <v>1229</v>
      </c>
      <c r="G640">
        <f t="shared" si="101"/>
        <v>-5.7438525506451343E-3</v>
      </c>
      <c r="H640">
        <v>368.23635860000002</v>
      </c>
      <c r="I640">
        <f t="shared" si="102"/>
        <v>7.5197617424438423E-3</v>
      </c>
      <c r="J640">
        <v>637.45001219999995</v>
      </c>
      <c r="K640">
        <f t="shared" si="103"/>
        <v>3.305322547650702E-3</v>
      </c>
      <c r="L640">
        <v>247.6999969</v>
      </c>
      <c r="M640">
        <f t="shared" si="104"/>
        <v>-5.4206231005664574E-3</v>
      </c>
      <c r="N640">
        <v>417.5</v>
      </c>
      <c r="O640">
        <f t="shared" si="105"/>
        <v>2.8451748867812876E-2</v>
      </c>
      <c r="P640">
        <v>139.5500031</v>
      </c>
      <c r="Q640">
        <f t="shared" si="106"/>
        <v>-8.1733747358739839E-3</v>
      </c>
      <c r="R640">
        <v>126.8499985</v>
      </c>
      <c r="S640">
        <f t="shared" si="107"/>
        <v>-4.9812745318352114E-2</v>
      </c>
      <c r="T640">
        <v>1883.9499510000001</v>
      </c>
      <c r="U640">
        <f t="shared" si="108"/>
        <v>-4.4126712380589961E-3</v>
      </c>
      <c r="W640">
        <f t="shared" si="109"/>
        <v>-1.7312039842135255E-3</v>
      </c>
      <c r="X640">
        <v>-2.039063707829092E-3</v>
      </c>
    </row>
    <row r="641" spans="1:24" x14ac:dyDescent="0.35">
      <c r="A641" s="1">
        <v>43765</v>
      </c>
      <c r="B641">
        <v>1311.3817140000001</v>
      </c>
      <c r="C641">
        <f t="shared" si="99"/>
        <v>2.1310644040133386E-3</v>
      </c>
      <c r="D641">
        <v>2115.6999510000001</v>
      </c>
      <c r="E641">
        <f t="shared" si="100"/>
        <v>-4.3530437014043244E-3</v>
      </c>
      <c r="F641">
        <v>1237.6999510000001</v>
      </c>
      <c r="G641">
        <f t="shared" si="101"/>
        <v>7.0788860862489589E-3</v>
      </c>
      <c r="H641">
        <v>366.22415160000003</v>
      </c>
      <c r="I641">
        <f t="shared" si="102"/>
        <v>-5.4644441077198458E-3</v>
      </c>
      <c r="J641">
        <v>648.84997559999999</v>
      </c>
      <c r="K641">
        <f t="shared" si="103"/>
        <v>1.7883697830133993E-2</v>
      </c>
      <c r="L641">
        <v>250.3999939</v>
      </c>
      <c r="M641">
        <f t="shared" si="104"/>
        <v>1.0900270624912611E-2</v>
      </c>
      <c r="N641">
        <v>417.75</v>
      </c>
      <c r="O641">
        <f t="shared" si="105"/>
        <v>5.9880239520948564E-4</v>
      </c>
      <c r="P641">
        <v>139.8500061</v>
      </c>
      <c r="Q641">
        <f t="shared" si="106"/>
        <v>2.1497885584784715E-3</v>
      </c>
      <c r="R641">
        <v>147.6999969</v>
      </c>
      <c r="S641">
        <f t="shared" si="107"/>
        <v>0.16436735235751709</v>
      </c>
      <c r="T641">
        <v>1917.099976</v>
      </c>
      <c r="U641">
        <f t="shared" si="108"/>
        <v>1.7596022114283905E-2</v>
      </c>
      <c r="W641">
        <f t="shared" si="109"/>
        <v>2.1288839656167371E-2</v>
      </c>
      <c r="X641">
        <v>-2.0311383059616883E-3</v>
      </c>
    </row>
    <row r="642" spans="1:24" x14ac:dyDescent="0.35">
      <c r="A642" s="1">
        <v>43767</v>
      </c>
      <c r="B642">
        <v>1341.3718260000001</v>
      </c>
      <c r="C642">
        <f t="shared" si="99"/>
        <v>2.2869094238414878E-2</v>
      </c>
      <c r="D642">
        <v>2194.8500979999999</v>
      </c>
      <c r="E642">
        <f t="shared" si="100"/>
        <v>3.7410856375257318E-2</v>
      </c>
      <c r="F642">
        <v>1242.5</v>
      </c>
      <c r="G642">
        <f t="shared" si="101"/>
        <v>3.8782008483733144E-3</v>
      </c>
      <c r="H642">
        <v>353.26739500000002</v>
      </c>
      <c r="I642">
        <f t="shared" si="102"/>
        <v>-3.5379306753509088E-2</v>
      </c>
      <c r="J642">
        <v>650.65002440000001</v>
      </c>
      <c r="K642">
        <f t="shared" si="103"/>
        <v>2.7742141753730465E-3</v>
      </c>
      <c r="L642">
        <v>253.25</v>
      </c>
      <c r="M642">
        <f t="shared" si="104"/>
        <v>1.1381813775675154E-2</v>
      </c>
      <c r="N642">
        <v>421.9500122</v>
      </c>
      <c r="O642">
        <f t="shared" si="105"/>
        <v>1.0053889168162744E-2</v>
      </c>
      <c r="P642">
        <v>142.1499939</v>
      </c>
      <c r="Q642">
        <f t="shared" si="106"/>
        <v>1.6446104395271721E-2</v>
      </c>
      <c r="R642">
        <v>172.4499969</v>
      </c>
      <c r="S642">
        <f t="shared" si="107"/>
        <v>0.16756940094424611</v>
      </c>
      <c r="T642">
        <v>1942.099976</v>
      </c>
      <c r="U642">
        <f t="shared" si="108"/>
        <v>1.3040530130391081E-2</v>
      </c>
      <c r="W642">
        <f t="shared" si="109"/>
        <v>2.5004479729765629E-2</v>
      </c>
      <c r="X642">
        <v>-1.9479751919334709E-3</v>
      </c>
    </row>
    <row r="643" spans="1:24" x14ac:dyDescent="0.35">
      <c r="A643" s="1">
        <v>43768</v>
      </c>
      <c r="B643">
        <v>1352.3895259999999</v>
      </c>
      <c r="C643">
        <f t="shared" si="99"/>
        <v>8.2137553409444841E-3</v>
      </c>
      <c r="D643">
        <v>2252.8000489999999</v>
      </c>
      <c r="E643">
        <f t="shared" si="100"/>
        <v>2.6402691943657297E-2</v>
      </c>
      <c r="F643">
        <v>1248.349976</v>
      </c>
      <c r="G643">
        <f t="shared" si="101"/>
        <v>4.7082301810865701E-3</v>
      </c>
      <c r="H643">
        <v>361.16903689999998</v>
      </c>
      <c r="I643">
        <f t="shared" si="102"/>
        <v>2.2367311594096995E-2</v>
      </c>
      <c r="J643">
        <v>660.59997559999999</v>
      </c>
      <c r="K643">
        <f t="shared" si="103"/>
        <v>1.5292324332386587E-2</v>
      </c>
      <c r="L643">
        <v>259.39999390000003</v>
      </c>
      <c r="M643">
        <f t="shared" si="104"/>
        <v>2.4284279960513411E-2</v>
      </c>
      <c r="N643">
        <v>429.64999390000003</v>
      </c>
      <c r="O643">
        <f t="shared" si="105"/>
        <v>1.8248563757240266E-2</v>
      </c>
      <c r="P643">
        <v>140.5500031</v>
      </c>
      <c r="Q643">
        <f t="shared" si="106"/>
        <v>-1.1255651555817647E-2</v>
      </c>
      <c r="R643">
        <v>171.8999939</v>
      </c>
      <c r="S643">
        <f t="shared" si="107"/>
        <v>-3.1893476943286592E-3</v>
      </c>
      <c r="T643">
        <v>1975.6999510000001</v>
      </c>
      <c r="U643">
        <f t="shared" si="108"/>
        <v>1.7300847235065309E-2</v>
      </c>
      <c r="W643">
        <f t="shared" si="109"/>
        <v>1.2237300509484461E-2</v>
      </c>
      <c r="X643">
        <v>-1.9464583905059677E-3</v>
      </c>
    </row>
    <row r="644" spans="1:24" x14ac:dyDescent="0.35">
      <c r="A644" s="1">
        <v>43769</v>
      </c>
      <c r="B644">
        <v>1338.9030760000001</v>
      </c>
      <c r="C644">
        <f t="shared" ref="C644:C707" si="110">B644/B643 - 1</f>
        <v>-9.9723117790545546E-3</v>
      </c>
      <c r="D644">
        <v>2269.6499020000001</v>
      </c>
      <c r="E644">
        <f t="shared" ref="E644:E707" si="111">D644/D643 - 1</f>
        <v>7.4795155510936073E-3</v>
      </c>
      <c r="F644">
        <v>1230.349976</v>
      </c>
      <c r="G644">
        <f t="shared" ref="G644:G707" si="112">F644/F643 - 1</f>
        <v>-1.4419033400934644E-2</v>
      </c>
      <c r="H644">
        <v>367.35293580000001</v>
      </c>
      <c r="I644">
        <f t="shared" ref="I644:I707" si="113">H644/H643 - 1</f>
        <v>1.7121896586368202E-2</v>
      </c>
      <c r="J644">
        <v>685.59997559999999</v>
      </c>
      <c r="K644">
        <f t="shared" ref="K644:K707" si="114">J644/J643 -1</f>
        <v>3.7844385291254889E-2</v>
      </c>
      <c r="L644">
        <v>257.64999390000003</v>
      </c>
      <c r="M644">
        <f t="shared" ref="M644:M707" si="115">L644/L643 -1</f>
        <v>-6.7463378610357339E-3</v>
      </c>
      <c r="N644">
        <v>433.39999390000003</v>
      </c>
      <c r="O644">
        <f t="shared" ref="O644:O707" si="116">N644/N643-1</f>
        <v>8.7280345705598172E-3</v>
      </c>
      <c r="P644">
        <v>141.6999969</v>
      </c>
      <c r="Q644">
        <f t="shared" ref="Q644:Q707" si="117">P644/P643 -1</f>
        <v>8.1820972937425296E-3</v>
      </c>
      <c r="R644">
        <v>177.6999969</v>
      </c>
      <c r="S644">
        <f t="shared" ref="S644:S707" si="118">R644/R643 - 1</f>
        <v>3.3740565478868279E-2</v>
      </c>
      <c r="T644">
        <v>1994.650024</v>
      </c>
      <c r="U644">
        <f t="shared" ref="U644:U707" si="119">T644/T643 - 1</f>
        <v>9.5915743635102135E-3</v>
      </c>
      <c r="W644">
        <f t="shared" ref="W644:W707" si="120">0.1*C644+0.1*E644+0.1*G644+0.1*I644+0.1*K644+0.1*M644+0.1*O644+0.1*Q644+0.1*S644+0.1*U644</f>
        <v>9.1550386094372618E-3</v>
      </c>
      <c r="X644">
        <v>-1.9263879653861559E-3</v>
      </c>
    </row>
    <row r="645" spans="1:24" x14ac:dyDescent="0.35">
      <c r="A645" s="1">
        <v>43770</v>
      </c>
      <c r="B645">
        <v>1332.0913089999999</v>
      </c>
      <c r="C645">
        <f t="shared" si="110"/>
        <v>-5.0875728961281563E-3</v>
      </c>
      <c r="D645">
        <v>2200.8999020000001</v>
      </c>
      <c r="E645">
        <f t="shared" si="111"/>
        <v>-3.0291015340920158E-2</v>
      </c>
      <c r="F645">
        <v>1240.0500489999999</v>
      </c>
      <c r="G645">
        <f t="shared" si="112"/>
        <v>7.8839949520184138E-3</v>
      </c>
      <c r="H645">
        <v>366.17504880000001</v>
      </c>
      <c r="I645">
        <f t="shared" si="113"/>
        <v>-3.2064178211476113E-3</v>
      </c>
      <c r="J645">
        <v>687.90002440000001</v>
      </c>
      <c r="K645">
        <f t="shared" si="114"/>
        <v>3.3547970855558606E-3</v>
      </c>
      <c r="L645">
        <v>261.2999878</v>
      </c>
      <c r="M645">
        <f t="shared" si="115"/>
        <v>1.4166481608443693E-2</v>
      </c>
      <c r="N645">
        <v>437.5499878</v>
      </c>
      <c r="O645">
        <f t="shared" si="116"/>
        <v>9.5754359907940234E-3</v>
      </c>
      <c r="P645">
        <v>144.1499939</v>
      </c>
      <c r="Q645">
        <f t="shared" si="117"/>
        <v>1.7290028606909535E-2</v>
      </c>
      <c r="R645">
        <v>175.0500031</v>
      </c>
      <c r="S645">
        <f t="shared" si="118"/>
        <v>-1.4912739708663469E-2</v>
      </c>
      <c r="T645">
        <v>1966.599976</v>
      </c>
      <c r="U645">
        <f t="shared" si="119"/>
        <v>-1.406264139698532E-2</v>
      </c>
      <c r="W645">
        <f t="shared" si="120"/>
        <v>-1.5289648920123189E-3</v>
      </c>
      <c r="X645">
        <v>-1.9121542431514648E-3</v>
      </c>
    </row>
    <row r="646" spans="1:24" x14ac:dyDescent="0.35">
      <c r="A646" s="1">
        <v>43773</v>
      </c>
      <c r="B646">
        <v>1332.7771</v>
      </c>
      <c r="C646">
        <f t="shared" si="110"/>
        <v>5.1482281684944731E-4</v>
      </c>
      <c r="D646">
        <v>2193.9499510000001</v>
      </c>
      <c r="E646">
        <f t="shared" si="111"/>
        <v>-3.157776959181291E-3</v>
      </c>
      <c r="F646">
        <v>1236.849976</v>
      </c>
      <c r="G646">
        <f t="shared" si="112"/>
        <v>-2.5805998738361868E-3</v>
      </c>
      <c r="H646">
        <v>371.03384399999999</v>
      </c>
      <c r="I646">
        <f t="shared" si="113"/>
        <v>1.3269050460764209E-2</v>
      </c>
      <c r="J646">
        <v>709</v>
      </c>
      <c r="K646">
        <f t="shared" si="114"/>
        <v>3.0673026386943025E-2</v>
      </c>
      <c r="L646">
        <v>260.75</v>
      </c>
      <c r="M646">
        <f t="shared" si="115"/>
        <v>-2.1048137224597419E-3</v>
      </c>
      <c r="N646">
        <v>437.9500122</v>
      </c>
      <c r="O646">
        <f t="shared" si="116"/>
        <v>9.142370269767941E-4</v>
      </c>
      <c r="P646">
        <v>147.3999939</v>
      </c>
      <c r="Q646">
        <f t="shared" si="117"/>
        <v>2.254596002449083E-2</v>
      </c>
      <c r="R646">
        <v>172.1999969</v>
      </c>
      <c r="S646">
        <f t="shared" si="118"/>
        <v>-1.6281097683682355E-2</v>
      </c>
      <c r="T646">
        <v>1956.650024</v>
      </c>
      <c r="U646">
        <f t="shared" si="119"/>
        <v>-5.0594691962916327E-3</v>
      </c>
      <c r="W646">
        <f t="shared" si="120"/>
        <v>3.8733339280573099E-3</v>
      </c>
      <c r="X646">
        <v>-1.9013708075806602E-3</v>
      </c>
    </row>
    <row r="647" spans="1:24" x14ac:dyDescent="0.35">
      <c r="A647" s="1">
        <v>43774</v>
      </c>
      <c r="B647">
        <v>1323.313721</v>
      </c>
      <c r="C647">
        <f t="shared" si="110"/>
        <v>-7.100496399585543E-3</v>
      </c>
      <c r="D647">
        <v>2201.8500979999999</v>
      </c>
      <c r="E647">
        <f t="shared" si="111"/>
        <v>3.6008784049057496E-3</v>
      </c>
      <c r="F647">
        <v>1239.5</v>
      </c>
      <c r="G647">
        <f t="shared" si="112"/>
        <v>2.142558961411245E-3</v>
      </c>
      <c r="H647">
        <v>376.87417599999998</v>
      </c>
      <c r="I647">
        <f t="shared" si="113"/>
        <v>1.5740698845790435E-2</v>
      </c>
      <c r="J647">
        <v>696.09997559999999</v>
      </c>
      <c r="K647">
        <f t="shared" si="114"/>
        <v>-1.819467475317349E-2</v>
      </c>
      <c r="L647">
        <v>262.89999390000003</v>
      </c>
      <c r="M647">
        <f t="shared" si="115"/>
        <v>8.2454224352830341E-3</v>
      </c>
      <c r="N647">
        <v>429.89999390000003</v>
      </c>
      <c r="O647">
        <f t="shared" si="116"/>
        <v>-1.8381135005708704E-2</v>
      </c>
      <c r="P647">
        <v>146.3500061</v>
      </c>
      <c r="Q647">
        <f t="shared" si="117"/>
        <v>-7.1233910682000356E-3</v>
      </c>
      <c r="R647">
        <v>172</v>
      </c>
      <c r="S647">
        <f t="shared" si="118"/>
        <v>-1.1614222044158407E-3</v>
      </c>
      <c r="T647">
        <v>1976.849976</v>
      </c>
      <c r="U647">
        <f t="shared" si="119"/>
        <v>1.0323743005764996E-2</v>
      </c>
      <c r="W647">
        <f t="shared" si="120"/>
        <v>-1.1907817777928153E-3</v>
      </c>
      <c r="X647">
        <v>-1.8980726779641581E-3</v>
      </c>
    </row>
    <row r="648" spans="1:24" x14ac:dyDescent="0.35">
      <c r="A648" s="1">
        <v>43775</v>
      </c>
      <c r="B648">
        <v>1311.975952</v>
      </c>
      <c r="C648">
        <f t="shared" si="110"/>
        <v>-8.5677106041281981E-3</v>
      </c>
      <c r="D648">
        <v>2188.5</v>
      </c>
      <c r="E648">
        <f t="shared" si="111"/>
        <v>-6.0631275544716923E-3</v>
      </c>
      <c r="F648">
        <v>1256.650024</v>
      </c>
      <c r="G648">
        <f t="shared" si="112"/>
        <v>1.3836243646631718E-2</v>
      </c>
      <c r="H648">
        <v>364.6045532</v>
      </c>
      <c r="I648">
        <f t="shared" si="113"/>
        <v>-3.2556284249096401E-2</v>
      </c>
      <c r="J648">
        <v>712.29998780000005</v>
      </c>
      <c r="K648">
        <f t="shared" si="114"/>
        <v>2.3272536658310417E-2</v>
      </c>
      <c r="L648">
        <v>261.35000609999997</v>
      </c>
      <c r="M648">
        <f t="shared" si="115"/>
        <v>-5.8957315936249977E-3</v>
      </c>
      <c r="N648">
        <v>427.89999390000003</v>
      </c>
      <c r="O648">
        <f t="shared" si="116"/>
        <v>-4.6522447740839912E-3</v>
      </c>
      <c r="P648">
        <v>144.6499939</v>
      </c>
      <c r="Q648">
        <f t="shared" si="117"/>
        <v>-1.1616071944939965E-2</v>
      </c>
      <c r="R648">
        <v>174.5</v>
      </c>
      <c r="S648">
        <f t="shared" si="118"/>
        <v>1.4534883720930258E-2</v>
      </c>
      <c r="T648">
        <v>1978.849976</v>
      </c>
      <c r="U648">
        <f t="shared" si="119"/>
        <v>1.0117105618945299E-3</v>
      </c>
      <c r="W648">
        <f t="shared" si="120"/>
        <v>-1.6695796132578317E-3</v>
      </c>
      <c r="X648">
        <v>-1.8896947911846704E-3</v>
      </c>
    </row>
    <row r="649" spans="1:24" x14ac:dyDescent="0.35">
      <c r="A649" s="1">
        <v>43776</v>
      </c>
      <c r="B649">
        <v>1333.6457519999999</v>
      </c>
      <c r="C649">
        <f t="shared" si="110"/>
        <v>1.6516918596690688E-2</v>
      </c>
      <c r="D649">
        <v>2185.3500979999999</v>
      </c>
      <c r="E649">
        <f t="shared" si="111"/>
        <v>-1.4392972355494749E-3</v>
      </c>
      <c r="F649">
        <v>1263.6999510000001</v>
      </c>
      <c r="G649">
        <f t="shared" si="112"/>
        <v>5.610095782722091E-3</v>
      </c>
      <c r="H649">
        <v>364.89901730000003</v>
      </c>
      <c r="I649">
        <f t="shared" si="113"/>
        <v>8.0762595369598955E-4</v>
      </c>
      <c r="J649">
        <v>720.09997559999999</v>
      </c>
      <c r="K649">
        <f t="shared" si="114"/>
        <v>1.095042528933754E-2</v>
      </c>
      <c r="L649">
        <v>265.85000609999997</v>
      </c>
      <c r="M649">
        <f t="shared" si="115"/>
        <v>1.721828924801394E-2</v>
      </c>
      <c r="N649">
        <v>440.60000609999997</v>
      </c>
      <c r="O649">
        <f t="shared" si="116"/>
        <v>2.9679860670827507E-2</v>
      </c>
      <c r="P649">
        <v>142.0500031</v>
      </c>
      <c r="Q649">
        <f t="shared" si="117"/>
        <v>-1.7974358172440974E-2</v>
      </c>
      <c r="R649">
        <v>171.5</v>
      </c>
      <c r="S649">
        <f t="shared" si="118"/>
        <v>-1.7191977077363862E-2</v>
      </c>
      <c r="T649">
        <v>1987.849976</v>
      </c>
      <c r="U649">
        <f t="shared" si="119"/>
        <v>4.5480961715917978E-3</v>
      </c>
      <c r="W649">
        <f t="shared" si="120"/>
        <v>4.8725679227525258E-3</v>
      </c>
      <c r="X649">
        <v>-1.8839133702072248E-3</v>
      </c>
    </row>
    <row r="650" spans="1:24" x14ac:dyDescent="0.35">
      <c r="A650" s="1">
        <v>43777</v>
      </c>
      <c r="B650">
        <v>1321.6679690000001</v>
      </c>
      <c r="C650">
        <f t="shared" si="110"/>
        <v>-8.9812328214124992E-3</v>
      </c>
      <c r="D650">
        <v>2129.9499510000001</v>
      </c>
      <c r="E650">
        <f t="shared" si="111"/>
        <v>-2.5350696463098177E-2</v>
      </c>
      <c r="F650">
        <v>1255.599976</v>
      </c>
      <c r="G650">
        <f t="shared" si="112"/>
        <v>-6.4097296146845562E-3</v>
      </c>
      <c r="H650">
        <v>362.34692380000001</v>
      </c>
      <c r="I650">
        <f t="shared" si="113"/>
        <v>-6.9939719730782723E-3</v>
      </c>
      <c r="J650">
        <v>708.15002440000001</v>
      </c>
      <c r="K650">
        <f t="shared" si="114"/>
        <v>-1.6594850166524511E-2</v>
      </c>
      <c r="L650">
        <v>260.5</v>
      </c>
      <c r="M650">
        <f t="shared" si="115"/>
        <v>-2.012415263209566E-2</v>
      </c>
      <c r="N650">
        <v>422.10000609999997</v>
      </c>
      <c r="O650">
        <f t="shared" si="116"/>
        <v>-4.1988197330621868E-2</v>
      </c>
      <c r="P650">
        <v>138.3000031</v>
      </c>
      <c r="Q650">
        <f t="shared" si="117"/>
        <v>-2.6399154650916024E-2</v>
      </c>
      <c r="R650">
        <v>169.0500031</v>
      </c>
      <c r="S650">
        <f t="shared" si="118"/>
        <v>-1.4285696209912602E-2</v>
      </c>
      <c r="T650">
        <v>1968.849976</v>
      </c>
      <c r="U650">
        <f t="shared" si="119"/>
        <v>-9.5580653617695077E-3</v>
      </c>
      <c r="W650">
        <f t="shared" si="120"/>
        <v>-1.7668574722411366E-2</v>
      </c>
      <c r="X650">
        <v>-1.8818951552014304E-3</v>
      </c>
    </row>
    <row r="651" spans="1:24" x14ac:dyDescent="0.35">
      <c r="A651" s="1">
        <v>43780</v>
      </c>
      <c r="B651">
        <v>1305.4842530000001</v>
      </c>
      <c r="C651">
        <f t="shared" si="110"/>
        <v>-1.2244918072914279E-2</v>
      </c>
      <c r="D651">
        <v>2100.9499510000001</v>
      </c>
      <c r="E651">
        <f t="shared" si="111"/>
        <v>-1.3615343396395141E-2</v>
      </c>
      <c r="F651">
        <v>1264.75</v>
      </c>
      <c r="G651">
        <f t="shared" si="112"/>
        <v>7.2873719137440673E-3</v>
      </c>
      <c r="H651">
        <v>364.65362549999998</v>
      </c>
      <c r="I651">
        <f t="shared" si="113"/>
        <v>6.3660032650729725E-3</v>
      </c>
      <c r="J651">
        <v>704.40002440000001</v>
      </c>
      <c r="K651">
        <f t="shared" si="114"/>
        <v>-5.2954880615548872E-3</v>
      </c>
      <c r="L651">
        <v>259.4500122</v>
      </c>
      <c r="M651">
        <f t="shared" si="115"/>
        <v>-4.030663339731233E-3</v>
      </c>
      <c r="N651">
        <v>421.4500122</v>
      </c>
      <c r="O651">
        <f t="shared" si="116"/>
        <v>-1.5399049765613126E-3</v>
      </c>
      <c r="P651">
        <v>139.1000061</v>
      </c>
      <c r="Q651">
        <f t="shared" si="117"/>
        <v>5.7845479542146805E-3</v>
      </c>
      <c r="R651">
        <v>172</v>
      </c>
      <c r="S651">
        <f t="shared" si="118"/>
        <v>1.7450439786475203E-2</v>
      </c>
      <c r="T651">
        <v>1966.1999510000001</v>
      </c>
      <c r="U651">
        <f t="shared" si="119"/>
        <v>-1.3459760938128174E-3</v>
      </c>
      <c r="W651">
        <f t="shared" si="120"/>
        <v>-1.1839310214627479E-4</v>
      </c>
      <c r="X651">
        <v>-1.8395256822044351E-3</v>
      </c>
    </row>
    <row r="652" spans="1:24" x14ac:dyDescent="0.35">
      <c r="A652" s="1">
        <v>43782</v>
      </c>
      <c r="B652">
        <v>1346.1719969999999</v>
      </c>
      <c r="C652">
        <f t="shared" si="110"/>
        <v>3.1166782675853488E-2</v>
      </c>
      <c r="D652">
        <v>2178.6000979999999</v>
      </c>
      <c r="E652">
        <f t="shared" si="111"/>
        <v>3.6959541545975583E-2</v>
      </c>
      <c r="F652">
        <v>1257.5500489999999</v>
      </c>
      <c r="G652">
        <f t="shared" si="112"/>
        <v>-5.6927859260723634E-3</v>
      </c>
      <c r="H652">
        <v>361.80706789999999</v>
      </c>
      <c r="I652">
        <f t="shared" si="113"/>
        <v>-7.806195800458271E-3</v>
      </c>
      <c r="J652">
        <v>691.34997559999999</v>
      </c>
      <c r="K652">
        <f t="shared" si="114"/>
        <v>-1.8526474088520817E-2</v>
      </c>
      <c r="L652">
        <v>253.8500061</v>
      </c>
      <c r="M652">
        <f t="shared" si="115"/>
        <v>-2.1584142750716739E-2</v>
      </c>
      <c r="N652">
        <v>412</v>
      </c>
      <c r="O652">
        <f t="shared" si="116"/>
        <v>-2.2422616980529275E-2</v>
      </c>
      <c r="P652">
        <v>138.1999969</v>
      </c>
      <c r="Q652">
        <f t="shared" si="117"/>
        <v>-6.4702312043967147E-3</v>
      </c>
      <c r="R652">
        <v>170.6000061</v>
      </c>
      <c r="S652">
        <f t="shared" si="118"/>
        <v>-8.1394994186045899E-3</v>
      </c>
      <c r="T652">
        <v>1959.9499510000001</v>
      </c>
      <c r="U652">
        <f t="shared" si="119"/>
        <v>-3.1787204535435043E-3</v>
      </c>
      <c r="W652">
        <f t="shared" si="120"/>
        <v>-2.5694342401013201E-3</v>
      </c>
      <c r="X652">
        <v>-1.8285752390422845E-3</v>
      </c>
    </row>
    <row r="653" spans="1:24" x14ac:dyDescent="0.35">
      <c r="A653" s="1">
        <v>43783</v>
      </c>
      <c r="B653">
        <v>1337.440186</v>
      </c>
      <c r="C653">
        <f t="shared" si="110"/>
        <v>-6.4864007121371303E-3</v>
      </c>
      <c r="D653">
        <v>2196.8000489999999</v>
      </c>
      <c r="E653">
        <f t="shared" si="111"/>
        <v>8.3539659328519811E-3</v>
      </c>
      <c r="F653">
        <v>1273.900024</v>
      </c>
      <c r="G653">
        <f t="shared" si="112"/>
        <v>1.300145072794634E-2</v>
      </c>
      <c r="H653">
        <v>355.81948849999998</v>
      </c>
      <c r="I653">
        <f t="shared" si="113"/>
        <v>-1.6549094617617888E-2</v>
      </c>
      <c r="J653">
        <v>705.29998780000005</v>
      </c>
      <c r="K653">
        <f t="shared" si="114"/>
        <v>2.0177931138123384E-2</v>
      </c>
      <c r="L653">
        <v>253.8999939</v>
      </c>
      <c r="M653">
        <f t="shared" si="115"/>
        <v>1.9691864801574255E-4</v>
      </c>
      <c r="N653">
        <v>410.2000122</v>
      </c>
      <c r="O653">
        <f t="shared" si="116"/>
        <v>-4.3689024271844623E-3</v>
      </c>
      <c r="P653">
        <v>136.1999969</v>
      </c>
      <c r="Q653">
        <f t="shared" si="117"/>
        <v>-1.4471780353563779E-2</v>
      </c>
      <c r="R653">
        <v>167.0500031</v>
      </c>
      <c r="S653">
        <f t="shared" si="118"/>
        <v>-2.0808926571310393E-2</v>
      </c>
      <c r="T653">
        <v>1920</v>
      </c>
      <c r="U653">
        <f t="shared" si="119"/>
        <v>-2.0383148549082519E-2</v>
      </c>
      <c r="W653">
        <f t="shared" si="120"/>
        <v>-4.1337986783958726E-3</v>
      </c>
      <c r="X653">
        <v>-1.8054247118582051E-3</v>
      </c>
    </row>
    <row r="654" spans="1:24" x14ac:dyDescent="0.35">
      <c r="A654" s="1">
        <v>43784</v>
      </c>
      <c r="B654">
        <v>1344.846313</v>
      </c>
      <c r="C654">
        <f t="shared" si="110"/>
        <v>5.537538857831148E-3</v>
      </c>
      <c r="D654">
        <v>2174.4499510000001</v>
      </c>
      <c r="E654">
        <f t="shared" si="111"/>
        <v>-1.0173933676928759E-2</v>
      </c>
      <c r="F654">
        <v>1277.900024</v>
      </c>
      <c r="G654">
        <f t="shared" si="112"/>
        <v>3.1399638312590294E-3</v>
      </c>
      <c r="H654">
        <v>385.806488</v>
      </c>
      <c r="I654">
        <f t="shared" si="113"/>
        <v>8.4275877148870748E-2</v>
      </c>
      <c r="J654">
        <v>703.90002440000001</v>
      </c>
      <c r="K654">
        <f t="shared" si="114"/>
        <v>-1.9849190758770563E-3</v>
      </c>
      <c r="L654">
        <v>250.6499939</v>
      </c>
      <c r="M654">
        <f t="shared" si="115"/>
        <v>-1.2800315392209272E-2</v>
      </c>
      <c r="N654">
        <v>415.0499878</v>
      </c>
      <c r="O654">
        <f t="shared" si="116"/>
        <v>1.1823440896523651E-2</v>
      </c>
      <c r="P654">
        <v>135.5500031</v>
      </c>
      <c r="Q654">
        <f t="shared" si="117"/>
        <v>-4.7723481262429424E-3</v>
      </c>
      <c r="R654">
        <v>168.5500031</v>
      </c>
      <c r="S654">
        <f t="shared" si="118"/>
        <v>8.9793473341157615E-3</v>
      </c>
      <c r="T654">
        <v>1870.849976</v>
      </c>
      <c r="U654">
        <f t="shared" si="119"/>
        <v>-2.5598970833333401E-2</v>
      </c>
      <c r="W654">
        <f t="shared" si="120"/>
        <v>5.8425680964008918E-3</v>
      </c>
      <c r="X654">
        <v>-1.798940588729037E-3</v>
      </c>
    </row>
    <row r="655" spans="1:24" x14ac:dyDescent="0.35">
      <c r="A655" s="1">
        <v>43787</v>
      </c>
      <c r="B655">
        <v>1334.194336</v>
      </c>
      <c r="C655">
        <f t="shared" si="110"/>
        <v>-7.9205905515242758E-3</v>
      </c>
      <c r="D655">
        <v>2152.6000979999999</v>
      </c>
      <c r="E655">
        <f t="shared" si="111"/>
        <v>-1.0048450639184248E-2</v>
      </c>
      <c r="F655">
        <v>1262.0500489999999</v>
      </c>
      <c r="G655">
        <f t="shared" si="112"/>
        <v>-1.2403141640444981E-2</v>
      </c>
      <c r="H655">
        <v>401.65884399999999</v>
      </c>
      <c r="I655">
        <f t="shared" si="113"/>
        <v>4.1088878733423373E-2</v>
      </c>
      <c r="J655">
        <v>705.20001219999995</v>
      </c>
      <c r="K655">
        <f t="shared" si="114"/>
        <v>1.8468358501735338E-3</v>
      </c>
      <c r="L655">
        <v>250.75</v>
      </c>
      <c r="M655">
        <f t="shared" si="115"/>
        <v>3.9898704342244962E-4</v>
      </c>
      <c r="N655">
        <v>424.5499878</v>
      </c>
      <c r="O655">
        <f t="shared" si="116"/>
        <v>2.2888809250074527E-2</v>
      </c>
      <c r="P655">
        <v>133.8999939</v>
      </c>
      <c r="Q655">
        <f t="shared" si="117"/>
        <v>-1.2172697619067807E-2</v>
      </c>
      <c r="R655">
        <v>170.1000061</v>
      </c>
      <c r="S655">
        <f t="shared" si="118"/>
        <v>9.1961018777342307E-3</v>
      </c>
      <c r="T655">
        <v>1829.4499510000001</v>
      </c>
      <c r="U655">
        <f t="shared" si="119"/>
        <v>-2.2128992453214202E-2</v>
      </c>
      <c r="W655">
        <f t="shared" si="120"/>
        <v>1.0745739851392589E-3</v>
      </c>
      <c r="X655">
        <v>-1.7759331333813467E-3</v>
      </c>
    </row>
    <row r="656" spans="1:24" x14ac:dyDescent="0.35">
      <c r="A656" s="1">
        <v>43788</v>
      </c>
      <c r="B656">
        <v>1380.413818</v>
      </c>
      <c r="C656">
        <f t="shared" si="110"/>
        <v>3.4642241203458379E-2</v>
      </c>
      <c r="D656">
        <v>2108.8000489999999</v>
      </c>
      <c r="E656">
        <f t="shared" si="111"/>
        <v>-2.0347508597019504E-2</v>
      </c>
      <c r="F656">
        <v>1271.900024</v>
      </c>
      <c r="G656">
        <f t="shared" si="112"/>
        <v>7.8047419813538355E-3</v>
      </c>
      <c r="H656">
        <v>431.2532349</v>
      </c>
      <c r="I656">
        <f t="shared" si="113"/>
        <v>7.3680416458102416E-2</v>
      </c>
      <c r="J656">
        <v>712.84997559999999</v>
      </c>
      <c r="K656">
        <f t="shared" si="114"/>
        <v>1.0847934299000661E-2</v>
      </c>
      <c r="L656">
        <v>249.3000031</v>
      </c>
      <c r="M656">
        <f t="shared" si="115"/>
        <v>-5.7826396809571579E-3</v>
      </c>
      <c r="N656">
        <v>425.89999390000003</v>
      </c>
      <c r="O656">
        <f t="shared" si="116"/>
        <v>3.1798519345052068E-3</v>
      </c>
      <c r="P656">
        <v>133.25</v>
      </c>
      <c r="Q656">
        <f t="shared" si="117"/>
        <v>-4.8543235967989373E-3</v>
      </c>
      <c r="R656">
        <v>167.75</v>
      </c>
      <c r="S656">
        <f t="shared" si="118"/>
        <v>-1.3815438070110653E-2</v>
      </c>
      <c r="T656">
        <v>1841.650024</v>
      </c>
      <c r="U656">
        <f t="shared" si="119"/>
        <v>6.6687109933405431E-3</v>
      </c>
      <c r="W656">
        <f t="shared" si="120"/>
        <v>9.2023986924874776E-3</v>
      </c>
      <c r="X656">
        <v>-1.7654199459362085E-3</v>
      </c>
    </row>
    <row r="657" spans="1:24" x14ac:dyDescent="0.35">
      <c r="A657" s="1">
        <v>43789</v>
      </c>
      <c r="B657">
        <v>1415.0670170000001</v>
      </c>
      <c r="C657">
        <f t="shared" si="110"/>
        <v>2.5103486033055677E-2</v>
      </c>
      <c r="D657">
        <v>2108.5500489999999</v>
      </c>
      <c r="E657">
        <f t="shared" si="111"/>
        <v>-1.1855083184320048E-4</v>
      </c>
      <c r="F657">
        <v>1273.349976</v>
      </c>
      <c r="G657">
        <f t="shared" si="112"/>
        <v>1.1399889713343825E-3</v>
      </c>
      <c r="H657">
        <v>429.2409973</v>
      </c>
      <c r="I657">
        <f t="shared" si="113"/>
        <v>-4.6660232020441228E-3</v>
      </c>
      <c r="J657">
        <v>713</v>
      </c>
      <c r="K657">
        <f t="shared" si="114"/>
        <v>2.1045718613343922E-4</v>
      </c>
      <c r="L657">
        <v>250.6999969</v>
      </c>
      <c r="M657">
        <f t="shared" si="115"/>
        <v>5.6156990878111213E-3</v>
      </c>
      <c r="N657">
        <v>450</v>
      </c>
      <c r="O657">
        <f t="shared" si="116"/>
        <v>5.6586068197170603E-2</v>
      </c>
      <c r="P657">
        <v>133.6999969</v>
      </c>
      <c r="Q657">
        <f t="shared" si="117"/>
        <v>3.3770874296434883E-3</v>
      </c>
      <c r="R657">
        <v>167.3999939</v>
      </c>
      <c r="S657">
        <f t="shared" si="118"/>
        <v>-2.0864745156482511E-3</v>
      </c>
      <c r="T657">
        <v>1826.1999510000001</v>
      </c>
      <c r="U657">
        <f t="shared" si="119"/>
        <v>-8.3892557210424323E-3</v>
      </c>
      <c r="W657">
        <f t="shared" si="120"/>
        <v>7.6772482634570715E-3</v>
      </c>
      <c r="X657">
        <v>-1.7387500651045663E-3</v>
      </c>
    </row>
    <row r="658" spans="1:24" x14ac:dyDescent="0.35">
      <c r="A658" s="1">
        <v>43790</v>
      </c>
      <c r="B658">
        <v>1405.8779300000001</v>
      </c>
      <c r="C658">
        <f t="shared" si="110"/>
        <v>-6.4937468611777627E-3</v>
      </c>
      <c r="D658">
        <v>2118.1000979999999</v>
      </c>
      <c r="E658">
        <f t="shared" si="111"/>
        <v>4.5292019530336347E-3</v>
      </c>
      <c r="F658">
        <v>1283.349976</v>
      </c>
      <c r="G658">
        <f t="shared" si="112"/>
        <v>7.8533004974903342E-3</v>
      </c>
      <c r="H658">
        <v>418.44372559999999</v>
      </c>
      <c r="I658">
        <f t="shared" si="113"/>
        <v>-2.5154334669606815E-2</v>
      </c>
      <c r="J658">
        <v>713.25</v>
      </c>
      <c r="K658">
        <f t="shared" si="114"/>
        <v>3.506311360448322E-4</v>
      </c>
      <c r="L658">
        <v>245.6999969</v>
      </c>
      <c r="M658">
        <f t="shared" si="115"/>
        <v>-1.9944156608802888E-2</v>
      </c>
      <c r="N658">
        <v>447.14999390000003</v>
      </c>
      <c r="O658">
        <f t="shared" si="116"/>
        <v>-6.3333468888888689E-3</v>
      </c>
      <c r="P658">
        <v>131.1499939</v>
      </c>
      <c r="Q658">
        <f t="shared" si="117"/>
        <v>-1.9072573366679002E-2</v>
      </c>
      <c r="R658">
        <v>164.1499939</v>
      </c>
      <c r="S658">
        <f t="shared" si="118"/>
        <v>-1.9414576573649422E-2</v>
      </c>
      <c r="T658">
        <v>1818.75</v>
      </c>
      <c r="U658">
        <f t="shared" si="119"/>
        <v>-4.0794826414930485E-3</v>
      </c>
      <c r="W658">
        <f t="shared" si="120"/>
        <v>-8.7759084023729013E-3</v>
      </c>
      <c r="X658">
        <v>-1.7328230878562614E-3</v>
      </c>
    </row>
    <row r="659" spans="1:24" x14ac:dyDescent="0.35">
      <c r="A659" s="1">
        <v>43791</v>
      </c>
      <c r="B659">
        <v>1414.0155030000001</v>
      </c>
      <c r="C659">
        <f t="shared" si="110"/>
        <v>5.7882500509840451E-3</v>
      </c>
      <c r="D659">
        <v>2071.6999510000001</v>
      </c>
      <c r="E659">
        <f t="shared" si="111"/>
        <v>-2.1906493958341655E-2</v>
      </c>
      <c r="F659">
        <v>1264.75</v>
      </c>
      <c r="G659">
        <f t="shared" si="112"/>
        <v>-1.4493299838578055E-2</v>
      </c>
      <c r="H659">
        <v>412.89782709999997</v>
      </c>
      <c r="I659">
        <f t="shared" si="113"/>
        <v>-1.3253630442296216E-2</v>
      </c>
      <c r="J659">
        <v>693.20001219999995</v>
      </c>
      <c r="K659">
        <f t="shared" si="114"/>
        <v>-2.8110743498072299E-2</v>
      </c>
      <c r="L659">
        <v>247.6499939</v>
      </c>
      <c r="M659">
        <f t="shared" si="115"/>
        <v>7.9364958266305852E-3</v>
      </c>
      <c r="N659">
        <v>452.10000609999997</v>
      </c>
      <c r="O659">
        <f t="shared" si="116"/>
        <v>1.1070138136034524E-2</v>
      </c>
      <c r="P659">
        <v>133.8500061</v>
      </c>
      <c r="Q659">
        <f t="shared" si="117"/>
        <v>2.058720797241298E-2</v>
      </c>
      <c r="R659">
        <v>162.3500061</v>
      </c>
      <c r="S659">
        <f t="shared" si="118"/>
        <v>-1.0965506347179965E-2</v>
      </c>
      <c r="T659">
        <v>1837.25</v>
      </c>
      <c r="U659">
        <f t="shared" si="119"/>
        <v>1.0171821305841933E-2</v>
      </c>
      <c r="W659">
        <f t="shared" si="120"/>
        <v>-3.3175760792564127E-3</v>
      </c>
      <c r="X659">
        <v>-1.7312039842135255E-3</v>
      </c>
    </row>
    <row r="660" spans="1:24" x14ac:dyDescent="0.35">
      <c r="A660" s="1">
        <v>43794</v>
      </c>
      <c r="B660">
        <v>1427.776245</v>
      </c>
      <c r="C660">
        <f t="shared" si="110"/>
        <v>9.7316768952002697E-3</v>
      </c>
      <c r="D660">
        <v>2081.5</v>
      </c>
      <c r="E660">
        <f t="shared" si="111"/>
        <v>4.7304383992814447E-3</v>
      </c>
      <c r="F660">
        <v>1271.099976</v>
      </c>
      <c r="G660">
        <f t="shared" si="112"/>
        <v>5.0207361138565609E-3</v>
      </c>
      <c r="H660">
        <v>443.08114619999998</v>
      </c>
      <c r="I660">
        <f t="shared" si="113"/>
        <v>7.3101181742692756E-2</v>
      </c>
      <c r="J660">
        <v>698.09997559999999</v>
      </c>
      <c r="K660">
        <f t="shared" si="114"/>
        <v>7.0686141283367032E-3</v>
      </c>
      <c r="L660">
        <v>247.75</v>
      </c>
      <c r="M660">
        <f t="shared" si="115"/>
        <v>4.038203208693858E-4</v>
      </c>
      <c r="N660">
        <v>458.9500122</v>
      </c>
      <c r="O660">
        <f t="shared" si="116"/>
        <v>1.5151528439671935E-2</v>
      </c>
      <c r="P660">
        <v>130.9499969</v>
      </c>
      <c r="Q660">
        <f t="shared" si="117"/>
        <v>-2.166611182545175E-2</v>
      </c>
      <c r="R660">
        <v>166.1000061</v>
      </c>
      <c r="S660">
        <f t="shared" si="118"/>
        <v>2.3098243665541807E-2</v>
      </c>
      <c r="T660">
        <v>1837.650024</v>
      </c>
      <c r="U660">
        <f t="shared" si="119"/>
        <v>2.1772975915101966E-4</v>
      </c>
      <c r="W660">
        <f t="shared" si="120"/>
        <v>1.1685785763915013E-2</v>
      </c>
      <c r="X660">
        <v>-1.7224710841007959E-3</v>
      </c>
    </row>
    <row r="661" spans="1:24" x14ac:dyDescent="0.35">
      <c r="A661" s="1">
        <v>43795</v>
      </c>
      <c r="B661">
        <v>1426.5876459999999</v>
      </c>
      <c r="C661">
        <f t="shared" si="110"/>
        <v>-8.3248268358748767E-4</v>
      </c>
      <c r="D661">
        <v>2046.650024</v>
      </c>
      <c r="E661">
        <f t="shared" si="111"/>
        <v>-1.6742722075426375E-2</v>
      </c>
      <c r="F661">
        <v>1275.0500489999999</v>
      </c>
      <c r="G661">
        <f t="shared" si="112"/>
        <v>3.1076021356166716E-3</v>
      </c>
      <c r="H661">
        <v>424.38223269999997</v>
      </c>
      <c r="I661">
        <f t="shared" si="113"/>
        <v>-4.220200669869989E-2</v>
      </c>
      <c r="J661">
        <v>690.59997559999999</v>
      </c>
      <c r="K661">
        <f t="shared" si="114"/>
        <v>-1.0743446873141549E-2</v>
      </c>
      <c r="L661">
        <v>249.1499939</v>
      </c>
      <c r="M661">
        <f t="shared" si="115"/>
        <v>5.6508330978808363E-3</v>
      </c>
      <c r="N661">
        <v>450.75</v>
      </c>
      <c r="O661">
        <f t="shared" si="116"/>
        <v>-1.7866896136886079E-2</v>
      </c>
      <c r="P661">
        <v>130.25</v>
      </c>
      <c r="Q661">
        <f t="shared" si="117"/>
        <v>-5.345528190692117E-3</v>
      </c>
      <c r="R661">
        <v>163.3999939</v>
      </c>
      <c r="S661">
        <f t="shared" si="118"/>
        <v>-1.6255340763650983E-2</v>
      </c>
      <c r="T661">
        <v>1787.1999510000001</v>
      </c>
      <c r="U661">
        <f t="shared" si="119"/>
        <v>-2.7453580573620684E-2</v>
      </c>
      <c r="W661">
        <f t="shared" si="120"/>
        <v>-1.2868356876220767E-2</v>
      </c>
      <c r="X661">
        <v>-1.71983791387057E-3</v>
      </c>
    </row>
    <row r="662" spans="1:24" x14ac:dyDescent="0.35">
      <c r="A662" s="1">
        <v>43796</v>
      </c>
      <c r="B662">
        <v>1435.3652340000001</v>
      </c>
      <c r="C662">
        <f t="shared" si="110"/>
        <v>6.1528557496004499E-3</v>
      </c>
      <c r="D662">
        <v>2054.3000489999999</v>
      </c>
      <c r="E662">
        <f t="shared" si="111"/>
        <v>3.7378276257749032E-3</v>
      </c>
      <c r="F662">
        <v>1278.400024</v>
      </c>
      <c r="G662">
        <f t="shared" si="112"/>
        <v>2.6273282390973929E-3</v>
      </c>
      <c r="H662">
        <v>425.36380000000003</v>
      </c>
      <c r="I662">
        <f t="shared" si="113"/>
        <v>2.3129321266706082E-3</v>
      </c>
      <c r="J662">
        <v>695.75</v>
      </c>
      <c r="K662">
        <f t="shared" si="114"/>
        <v>7.4573191166500408E-3</v>
      </c>
      <c r="L662">
        <v>246.9499969</v>
      </c>
      <c r="M662">
        <f t="shared" si="115"/>
        <v>-8.8300102503032774E-3</v>
      </c>
      <c r="N662">
        <v>458.75</v>
      </c>
      <c r="O662">
        <f t="shared" si="116"/>
        <v>1.7748197448696601E-2</v>
      </c>
      <c r="P662">
        <v>132.6499939</v>
      </c>
      <c r="Q662">
        <f t="shared" si="117"/>
        <v>1.842605681381948E-2</v>
      </c>
      <c r="R662">
        <v>165.8999939</v>
      </c>
      <c r="S662">
        <f t="shared" si="118"/>
        <v>1.5299878172149617E-2</v>
      </c>
      <c r="T662">
        <v>1846.150024</v>
      </c>
      <c r="U662">
        <f t="shared" si="119"/>
        <v>3.2984598599062886E-2</v>
      </c>
      <c r="W662">
        <f t="shared" si="120"/>
        <v>9.7916983641218695E-3</v>
      </c>
      <c r="X662">
        <v>-1.7195784749969194E-3</v>
      </c>
    </row>
    <row r="663" spans="1:24" x14ac:dyDescent="0.35">
      <c r="A663" s="1">
        <v>43797</v>
      </c>
      <c r="B663">
        <v>1444.920044</v>
      </c>
      <c r="C663">
        <f t="shared" si="110"/>
        <v>6.6567099255796514E-3</v>
      </c>
      <c r="D663">
        <v>2077.3500979999999</v>
      </c>
      <c r="E663">
        <f t="shared" si="111"/>
        <v>1.1220390619773646E-2</v>
      </c>
      <c r="F663">
        <v>1265.3000489999999</v>
      </c>
      <c r="G663">
        <f t="shared" si="112"/>
        <v>-1.0247164231905637E-2</v>
      </c>
      <c r="H663">
        <v>428.60296629999999</v>
      </c>
      <c r="I663">
        <f t="shared" si="113"/>
        <v>7.6150492825199922E-3</v>
      </c>
      <c r="J663">
        <v>701.84997559999999</v>
      </c>
      <c r="K663">
        <f t="shared" si="114"/>
        <v>8.767481997844051E-3</v>
      </c>
      <c r="L663">
        <v>246.6999969</v>
      </c>
      <c r="M663">
        <f t="shared" si="115"/>
        <v>-1.0123506909831548E-3</v>
      </c>
      <c r="N663">
        <v>457.35000609999997</v>
      </c>
      <c r="O663">
        <f t="shared" si="116"/>
        <v>-3.0517578201635365E-3</v>
      </c>
      <c r="P663">
        <v>133.1499939</v>
      </c>
      <c r="Q663">
        <f t="shared" si="117"/>
        <v>3.7693179268212251E-3</v>
      </c>
      <c r="R663">
        <v>164.8000031</v>
      </c>
      <c r="S663">
        <f t="shared" si="118"/>
        <v>-6.6304450900886991E-3</v>
      </c>
      <c r="T663">
        <v>1844.25</v>
      </c>
      <c r="U663">
        <f t="shared" si="119"/>
        <v>-1.0291817974160677E-3</v>
      </c>
      <c r="W663">
        <f t="shared" si="120"/>
        <v>1.6058050121981473E-3</v>
      </c>
      <c r="X663">
        <v>-1.7167858950981941E-3</v>
      </c>
    </row>
    <row r="664" spans="1:24" x14ac:dyDescent="0.35">
      <c r="A664" s="1">
        <v>43798</v>
      </c>
      <c r="B664">
        <v>1418.267212</v>
      </c>
      <c r="C664">
        <f t="shared" si="110"/>
        <v>-1.8445887099895475E-2</v>
      </c>
      <c r="D664">
        <v>2053.25</v>
      </c>
      <c r="E664">
        <f t="shared" si="111"/>
        <v>-1.1601365616321746E-2</v>
      </c>
      <c r="F664">
        <v>1274.9499510000001</v>
      </c>
      <c r="G664">
        <f t="shared" si="112"/>
        <v>7.6265720590358299E-3</v>
      </c>
      <c r="H664">
        <v>434.29608150000001</v>
      </c>
      <c r="I664">
        <f t="shared" si="113"/>
        <v>1.3282957999910749E-2</v>
      </c>
      <c r="J664">
        <v>696.34997559999999</v>
      </c>
      <c r="K664">
        <f t="shared" si="114"/>
        <v>-7.8364325585366101E-3</v>
      </c>
      <c r="L664">
        <v>246.3999939</v>
      </c>
      <c r="M664">
        <f t="shared" si="115"/>
        <v>-1.2160640606801998E-3</v>
      </c>
      <c r="N664">
        <v>449.85000609999997</v>
      </c>
      <c r="O664">
        <f t="shared" si="116"/>
        <v>-1.6398819066288817E-2</v>
      </c>
      <c r="P664">
        <v>131.75</v>
      </c>
      <c r="Q664">
        <f t="shared" si="117"/>
        <v>-1.0514412047599841E-2</v>
      </c>
      <c r="R664">
        <v>161.5</v>
      </c>
      <c r="S664">
        <f t="shared" si="118"/>
        <v>-2.0024290278669254E-2</v>
      </c>
      <c r="T664">
        <v>1822.5</v>
      </c>
      <c r="U664">
        <f t="shared" si="119"/>
        <v>-1.1793411956079747E-2</v>
      </c>
      <c r="W664">
        <f t="shared" si="120"/>
        <v>-7.6921152625125111E-3</v>
      </c>
      <c r="X664">
        <v>-1.712337992916702E-3</v>
      </c>
    </row>
    <row r="665" spans="1:24" x14ac:dyDescent="0.35">
      <c r="A665" s="1">
        <v>43801</v>
      </c>
      <c r="B665">
        <v>1450.5888669999999</v>
      </c>
      <c r="C665">
        <f t="shared" si="110"/>
        <v>2.2789538337011139E-2</v>
      </c>
      <c r="D665">
        <v>2021.0500489999999</v>
      </c>
      <c r="E665">
        <f t="shared" si="111"/>
        <v>-1.5682430780470047E-2</v>
      </c>
      <c r="F665">
        <v>1265.75</v>
      </c>
      <c r="G665">
        <f t="shared" si="112"/>
        <v>-7.215931098145556E-3</v>
      </c>
      <c r="H665">
        <v>450.14846799999998</v>
      </c>
      <c r="I665">
        <f t="shared" si="113"/>
        <v>3.6501334401286778E-2</v>
      </c>
      <c r="J665">
        <v>692.70001219999995</v>
      </c>
      <c r="K665">
        <f t="shared" si="114"/>
        <v>-5.241564626831674E-3</v>
      </c>
      <c r="L665">
        <v>244.9499969</v>
      </c>
      <c r="M665">
        <f t="shared" si="115"/>
        <v>-5.8847282301007775E-3</v>
      </c>
      <c r="N665">
        <v>440</v>
      </c>
      <c r="O665">
        <f t="shared" si="116"/>
        <v>-2.1896200881256322E-2</v>
      </c>
      <c r="P665">
        <v>128.1000061</v>
      </c>
      <c r="Q665">
        <f t="shared" si="117"/>
        <v>-2.7703938519924032E-2</v>
      </c>
      <c r="R665">
        <v>161.0500031</v>
      </c>
      <c r="S665">
        <f t="shared" si="118"/>
        <v>-2.7863585139319413E-3</v>
      </c>
      <c r="T665">
        <v>1846.6999510000001</v>
      </c>
      <c r="U665">
        <f t="shared" si="119"/>
        <v>1.3278436762688584E-2</v>
      </c>
      <c r="W665">
        <f t="shared" si="120"/>
        <v>-1.3841843149673845E-3</v>
      </c>
      <c r="X665">
        <v>-1.6971895379941709E-3</v>
      </c>
    </row>
    <row r="666" spans="1:24" x14ac:dyDescent="0.35">
      <c r="A666" s="1">
        <v>43802</v>
      </c>
      <c r="B666">
        <v>1443.639893</v>
      </c>
      <c r="C666">
        <f t="shared" si="110"/>
        <v>-4.7904503874838245E-3</v>
      </c>
      <c r="D666">
        <v>2051</v>
      </c>
      <c r="E666">
        <f t="shared" si="111"/>
        <v>1.4819005108170913E-2</v>
      </c>
      <c r="F666">
        <v>1255.400024</v>
      </c>
      <c r="G666">
        <f t="shared" si="112"/>
        <v>-8.1769512146948609E-3</v>
      </c>
      <c r="H666">
        <v>450.63925169999999</v>
      </c>
      <c r="I666">
        <f t="shared" si="113"/>
        <v>1.0902707326330141E-3</v>
      </c>
      <c r="J666">
        <v>698.34997559999999</v>
      </c>
      <c r="K666">
        <f t="shared" si="114"/>
        <v>8.1564361202417501E-3</v>
      </c>
      <c r="L666">
        <v>244.0500031</v>
      </c>
      <c r="M666">
        <f t="shared" si="115"/>
        <v>-3.6741939636252274E-3</v>
      </c>
      <c r="N666">
        <v>433.60000609999997</v>
      </c>
      <c r="O666">
        <f t="shared" si="116"/>
        <v>-1.4545440681818289E-2</v>
      </c>
      <c r="P666">
        <v>127.6500015</v>
      </c>
      <c r="Q666">
        <f t="shared" si="117"/>
        <v>-3.5129163042249001E-3</v>
      </c>
      <c r="R666">
        <v>158.1999969</v>
      </c>
      <c r="S666">
        <f t="shared" si="118"/>
        <v>-1.7696405744434207E-2</v>
      </c>
      <c r="T666">
        <v>1832.599976</v>
      </c>
      <c r="U666">
        <f t="shared" si="119"/>
        <v>-7.6352279060628581E-3</v>
      </c>
      <c r="W666">
        <f t="shared" si="120"/>
        <v>-3.5965874241298498E-3</v>
      </c>
      <c r="X666">
        <v>-1.6695796132578317E-3</v>
      </c>
    </row>
    <row r="667" spans="1:24" x14ac:dyDescent="0.35">
      <c r="A667" s="1">
        <v>43803</v>
      </c>
      <c r="B667">
        <v>1419.684448</v>
      </c>
      <c r="C667">
        <f t="shared" si="110"/>
        <v>-1.6593781535240604E-2</v>
      </c>
      <c r="D667">
        <v>2078.5</v>
      </c>
      <c r="E667">
        <f t="shared" si="111"/>
        <v>1.3408093612871763E-2</v>
      </c>
      <c r="F667">
        <v>1251.650024</v>
      </c>
      <c r="G667">
        <f t="shared" si="112"/>
        <v>-2.9870956892701361E-3</v>
      </c>
      <c r="H667">
        <v>452.89685059999999</v>
      </c>
      <c r="I667">
        <f t="shared" si="113"/>
        <v>5.0097697692408349E-3</v>
      </c>
      <c r="J667">
        <v>708.84997559999999</v>
      </c>
      <c r="K667">
        <f t="shared" si="114"/>
        <v>1.5035441206937339E-2</v>
      </c>
      <c r="L667">
        <v>243.1499939</v>
      </c>
      <c r="M667">
        <f t="shared" si="115"/>
        <v>-3.6878065501650958E-3</v>
      </c>
      <c r="N667">
        <v>443.7000122</v>
      </c>
      <c r="O667">
        <f t="shared" si="116"/>
        <v>2.3293371674147689E-2</v>
      </c>
      <c r="P667">
        <v>130.0500031</v>
      </c>
      <c r="Q667">
        <f t="shared" si="117"/>
        <v>1.8801422419097991E-2</v>
      </c>
      <c r="R667">
        <v>169.3999939</v>
      </c>
      <c r="S667">
        <f t="shared" si="118"/>
        <v>7.0796442600941534E-2</v>
      </c>
      <c r="T667">
        <v>1840.9499510000001</v>
      </c>
      <c r="U667">
        <f t="shared" si="119"/>
        <v>4.5563544195965644E-3</v>
      </c>
      <c r="W667">
        <f t="shared" si="120"/>
        <v>1.2763221192815789E-2</v>
      </c>
      <c r="X667">
        <v>-1.6394036930011066E-3</v>
      </c>
    </row>
    <row r="668" spans="1:24" x14ac:dyDescent="0.35">
      <c r="A668" s="1">
        <v>43804</v>
      </c>
      <c r="B668">
        <v>1417.9929199999999</v>
      </c>
      <c r="C668">
        <f t="shared" si="110"/>
        <v>-1.1914816721300125E-3</v>
      </c>
      <c r="D668">
        <v>2121.3000489999999</v>
      </c>
      <c r="E668">
        <f t="shared" si="111"/>
        <v>2.0591796487851699E-2</v>
      </c>
      <c r="F668">
        <v>1245.599976</v>
      </c>
      <c r="G668">
        <f t="shared" si="112"/>
        <v>-4.8336578787938622E-3</v>
      </c>
      <c r="H668">
        <v>439.10577389999997</v>
      </c>
      <c r="I668">
        <f t="shared" si="113"/>
        <v>-3.0450811662146804E-2</v>
      </c>
      <c r="J668">
        <v>714.84997559999999</v>
      </c>
      <c r="K668">
        <f t="shared" si="114"/>
        <v>8.4644144833627699E-3</v>
      </c>
      <c r="L668">
        <v>246.9499969</v>
      </c>
      <c r="M668">
        <f t="shared" si="115"/>
        <v>1.562822576735412E-2</v>
      </c>
      <c r="N668">
        <v>436.7000122</v>
      </c>
      <c r="O668">
        <f t="shared" si="116"/>
        <v>-1.5776425078944389E-2</v>
      </c>
      <c r="P668">
        <v>128.8999939</v>
      </c>
      <c r="Q668">
        <f t="shared" si="117"/>
        <v>-8.8428233186255145E-3</v>
      </c>
      <c r="R668">
        <v>166.1000061</v>
      </c>
      <c r="S668">
        <f t="shared" si="118"/>
        <v>-1.9480448163109343E-2</v>
      </c>
      <c r="T668">
        <v>1824.75</v>
      </c>
      <c r="U668">
        <f t="shared" si="119"/>
        <v>-8.7997780663185976E-3</v>
      </c>
      <c r="W668">
        <f t="shared" si="120"/>
        <v>-4.469098910149993E-3</v>
      </c>
      <c r="X668">
        <v>-1.6381383904193749E-3</v>
      </c>
    </row>
    <row r="669" spans="1:24" x14ac:dyDescent="0.35">
      <c r="A669" s="1">
        <v>43805</v>
      </c>
      <c r="B669">
        <v>1421.695923</v>
      </c>
      <c r="C669">
        <f t="shared" si="110"/>
        <v>2.6114396960459363E-3</v>
      </c>
      <c r="D669">
        <v>2123.6000979999999</v>
      </c>
      <c r="E669">
        <f t="shared" si="111"/>
        <v>1.0842638697359241E-3</v>
      </c>
      <c r="F669">
        <v>1246.0500489999999</v>
      </c>
      <c r="G669">
        <f t="shared" si="112"/>
        <v>3.6133028955687152E-4</v>
      </c>
      <c r="H669">
        <v>436.65185550000001</v>
      </c>
      <c r="I669">
        <f t="shared" si="113"/>
        <v>-5.5884448482765858E-3</v>
      </c>
      <c r="J669">
        <v>715.09997559999999</v>
      </c>
      <c r="K669">
        <f t="shared" si="114"/>
        <v>3.4972373019970249E-4</v>
      </c>
      <c r="L669">
        <v>243.3500061</v>
      </c>
      <c r="M669">
        <f t="shared" si="115"/>
        <v>-1.4577812695651837E-2</v>
      </c>
      <c r="N669">
        <v>428.60000609999997</v>
      </c>
      <c r="O669">
        <f t="shared" si="116"/>
        <v>-1.8548215877517316E-2</v>
      </c>
      <c r="P669">
        <v>126.5500031</v>
      </c>
      <c r="Q669">
        <f t="shared" si="117"/>
        <v>-1.8231116456243646E-2</v>
      </c>
      <c r="R669">
        <v>161.5</v>
      </c>
      <c r="S669">
        <f t="shared" si="118"/>
        <v>-2.7694195852290271E-2</v>
      </c>
      <c r="T669">
        <v>1801.400024</v>
      </c>
      <c r="U669">
        <f t="shared" si="119"/>
        <v>-1.2796260309631435E-2</v>
      </c>
      <c r="W669">
        <f t="shared" si="120"/>
        <v>-9.302928845407267E-3</v>
      </c>
      <c r="X669">
        <v>-1.6225111262013988E-3</v>
      </c>
    </row>
    <row r="670" spans="1:24" x14ac:dyDescent="0.35">
      <c r="A670" s="1">
        <v>43808</v>
      </c>
      <c r="B670">
        <v>1437.879639</v>
      </c>
      <c r="C670">
        <f t="shared" si="110"/>
        <v>1.1383387782283094E-2</v>
      </c>
      <c r="D670">
        <v>2060.4499510000001</v>
      </c>
      <c r="E670">
        <f t="shared" si="111"/>
        <v>-2.9737306501103733E-2</v>
      </c>
      <c r="F670">
        <v>1242.9499510000001</v>
      </c>
      <c r="G670">
        <f t="shared" si="112"/>
        <v>-2.4879401934840839E-3</v>
      </c>
      <c r="H670">
        <v>437.63342290000003</v>
      </c>
      <c r="I670">
        <f t="shared" si="113"/>
        <v>2.2479405220345861E-3</v>
      </c>
      <c r="J670">
        <v>717.25</v>
      </c>
      <c r="K670">
        <f t="shared" si="114"/>
        <v>3.0066067310323685E-3</v>
      </c>
      <c r="L670">
        <v>241.4499969</v>
      </c>
      <c r="M670">
        <f t="shared" si="115"/>
        <v>-7.8077220150930549E-3</v>
      </c>
      <c r="N670">
        <v>427</v>
      </c>
      <c r="O670">
        <f t="shared" si="116"/>
        <v>-3.7330986402894784E-3</v>
      </c>
      <c r="P670">
        <v>126.3000031</v>
      </c>
      <c r="Q670">
        <f t="shared" si="117"/>
        <v>-1.9755037050647184E-3</v>
      </c>
      <c r="R670">
        <v>160.5</v>
      </c>
      <c r="S670">
        <f t="shared" si="118"/>
        <v>-6.1919504643962453E-3</v>
      </c>
      <c r="T670">
        <v>1780.5500489999999</v>
      </c>
      <c r="U670">
        <f t="shared" si="119"/>
        <v>-1.1574317043530846E-2</v>
      </c>
      <c r="W670">
        <f t="shared" si="120"/>
        <v>-4.6869903527612111E-3</v>
      </c>
      <c r="X670">
        <v>-1.6159834702087928E-3</v>
      </c>
    </row>
    <row r="671" spans="1:24" x14ac:dyDescent="0.35">
      <c r="A671" s="1">
        <v>43809</v>
      </c>
      <c r="B671">
        <v>1428.1419679999999</v>
      </c>
      <c r="C671">
        <f t="shared" si="110"/>
        <v>-6.7722434728767489E-3</v>
      </c>
      <c r="D671">
        <v>2012.849976</v>
      </c>
      <c r="E671">
        <f t="shared" si="111"/>
        <v>-2.3101738033917463E-2</v>
      </c>
      <c r="F671">
        <v>1249.5</v>
      </c>
      <c r="G671">
        <f t="shared" si="112"/>
        <v>5.269760857812722E-3</v>
      </c>
      <c r="H671">
        <v>438.76223750000003</v>
      </c>
      <c r="I671">
        <f t="shared" si="113"/>
        <v>2.5793610381033005E-3</v>
      </c>
      <c r="J671">
        <v>714.54998780000005</v>
      </c>
      <c r="K671">
        <f t="shared" si="114"/>
        <v>-3.7643948414081141E-3</v>
      </c>
      <c r="L671">
        <v>235.6000061</v>
      </c>
      <c r="M671">
        <f t="shared" si="115"/>
        <v>-2.4228580969594571E-2</v>
      </c>
      <c r="N671">
        <v>427.64999390000003</v>
      </c>
      <c r="O671">
        <f t="shared" si="116"/>
        <v>1.5222339578455646E-3</v>
      </c>
      <c r="P671">
        <v>125.1999969</v>
      </c>
      <c r="Q671">
        <f t="shared" si="117"/>
        <v>-8.7094708867825332E-3</v>
      </c>
      <c r="R671">
        <v>159.6999969</v>
      </c>
      <c r="S671">
        <f t="shared" si="118"/>
        <v>-4.9844429906541476E-3</v>
      </c>
      <c r="T671">
        <v>1736.599976</v>
      </c>
      <c r="U671">
        <f t="shared" si="119"/>
        <v>-2.4683424666823273E-2</v>
      </c>
      <c r="W671">
        <f t="shared" si="120"/>
        <v>-8.6872940008295256E-3</v>
      </c>
      <c r="X671">
        <v>-1.6096569911741574E-3</v>
      </c>
    </row>
    <row r="672" spans="1:24" x14ac:dyDescent="0.35">
      <c r="A672" s="1">
        <v>43810</v>
      </c>
      <c r="B672">
        <v>1428.553467</v>
      </c>
      <c r="C672">
        <f t="shared" si="110"/>
        <v>2.8813592011189826E-4</v>
      </c>
      <c r="D672">
        <v>2041.900024</v>
      </c>
      <c r="E672">
        <f t="shared" si="111"/>
        <v>1.4432296667101552E-2</v>
      </c>
      <c r="F672">
        <v>1248.75</v>
      </c>
      <c r="G672">
        <f t="shared" si="112"/>
        <v>-6.0024009603842909E-4</v>
      </c>
      <c r="H672">
        <v>434.59057619999999</v>
      </c>
      <c r="I672">
        <f t="shared" si="113"/>
        <v>-9.5077947541007957E-3</v>
      </c>
      <c r="J672">
        <v>721.04998780000005</v>
      </c>
      <c r="K672">
        <f t="shared" si="114"/>
        <v>9.0966344006422339E-3</v>
      </c>
      <c r="L672">
        <v>237.6000061</v>
      </c>
      <c r="M672">
        <f t="shared" si="115"/>
        <v>8.4889641265590843E-3</v>
      </c>
      <c r="N672">
        <v>429.7999878</v>
      </c>
      <c r="O672">
        <f t="shared" si="116"/>
        <v>5.0274615472172268E-3</v>
      </c>
      <c r="P672">
        <v>128</v>
      </c>
      <c r="Q672">
        <f t="shared" si="117"/>
        <v>2.2364242566526693E-2</v>
      </c>
      <c r="R672">
        <v>161.8000031</v>
      </c>
      <c r="S672">
        <f t="shared" si="118"/>
        <v>1.3149694682304647E-2</v>
      </c>
      <c r="T672">
        <v>1724</v>
      </c>
      <c r="U672">
        <f t="shared" si="119"/>
        <v>-7.2555431153593641E-3</v>
      </c>
      <c r="W672">
        <f t="shared" si="120"/>
        <v>5.5483851944964748E-3</v>
      </c>
      <c r="X672">
        <v>-1.603034102308243E-3</v>
      </c>
    </row>
    <row r="673" spans="1:24" x14ac:dyDescent="0.35">
      <c r="A673" s="1">
        <v>43811</v>
      </c>
      <c r="B673">
        <v>1433.856567</v>
      </c>
      <c r="C673">
        <f t="shared" si="110"/>
        <v>3.7122166740715112E-3</v>
      </c>
      <c r="D673">
        <v>2020.900024</v>
      </c>
      <c r="E673">
        <f t="shared" si="111"/>
        <v>-1.0284538788956854E-2</v>
      </c>
      <c r="F673">
        <v>1263.599976</v>
      </c>
      <c r="G673">
        <f t="shared" si="112"/>
        <v>1.1891872672672665E-2</v>
      </c>
      <c r="H673">
        <v>430.56613160000001</v>
      </c>
      <c r="I673">
        <f t="shared" si="113"/>
        <v>-9.2603126261714408E-3</v>
      </c>
      <c r="J673">
        <v>702.09997559999999</v>
      </c>
      <c r="K673">
        <f t="shared" si="114"/>
        <v>-2.6281135178739201E-2</v>
      </c>
      <c r="L673">
        <v>238.5500031</v>
      </c>
      <c r="M673">
        <f t="shared" si="115"/>
        <v>3.9983037694037993E-3</v>
      </c>
      <c r="N673">
        <v>434.14999390000003</v>
      </c>
      <c r="O673">
        <f t="shared" si="116"/>
        <v>1.0121000985286788E-2</v>
      </c>
      <c r="P673">
        <v>125.9000015</v>
      </c>
      <c r="Q673">
        <f t="shared" si="117"/>
        <v>-1.6406238281249985E-2</v>
      </c>
      <c r="R673">
        <v>173.3500061</v>
      </c>
      <c r="S673">
        <f t="shared" si="118"/>
        <v>7.1384442390038494E-2</v>
      </c>
      <c r="T673">
        <v>1778.5500489999999</v>
      </c>
      <c r="U673">
        <f t="shared" si="119"/>
        <v>3.1641559744779446E-2</v>
      </c>
      <c r="W673">
        <f t="shared" si="120"/>
        <v>7.0517171361135222E-3</v>
      </c>
      <c r="X673">
        <v>-1.5752253764355186E-3</v>
      </c>
    </row>
    <row r="674" spans="1:24" x14ac:dyDescent="0.35">
      <c r="A674" s="1">
        <v>43812</v>
      </c>
      <c r="B674">
        <v>1447.297241</v>
      </c>
      <c r="C674">
        <f t="shared" si="110"/>
        <v>9.373792546155002E-3</v>
      </c>
      <c r="D674">
        <v>2071.25</v>
      </c>
      <c r="E674">
        <f t="shared" si="111"/>
        <v>2.4914629819411616E-2</v>
      </c>
      <c r="F674">
        <v>1263.849976</v>
      </c>
      <c r="G674">
        <f t="shared" si="112"/>
        <v>1.9784742382733533E-4</v>
      </c>
      <c r="H674">
        <v>419.91607670000002</v>
      </c>
      <c r="I674">
        <f t="shared" si="113"/>
        <v>-2.4735003797033417E-2</v>
      </c>
      <c r="J674">
        <v>711.29998780000005</v>
      </c>
      <c r="K674">
        <f t="shared" si="114"/>
        <v>1.310356433517601E-2</v>
      </c>
      <c r="L674">
        <v>241.6000061</v>
      </c>
      <c r="M674">
        <f t="shared" si="115"/>
        <v>1.2785591952901632E-2</v>
      </c>
      <c r="N674">
        <v>439.25</v>
      </c>
      <c r="O674">
        <f t="shared" si="116"/>
        <v>1.1747106234382798E-2</v>
      </c>
      <c r="P674">
        <v>126.5</v>
      </c>
      <c r="Q674">
        <f t="shared" si="117"/>
        <v>4.7656750822198113E-3</v>
      </c>
      <c r="R674">
        <v>176.6999969</v>
      </c>
      <c r="S674">
        <f t="shared" si="118"/>
        <v>1.9325011145759685E-2</v>
      </c>
      <c r="T674">
        <v>1782.75</v>
      </c>
      <c r="U674">
        <f t="shared" si="119"/>
        <v>2.3614466190375882E-3</v>
      </c>
      <c r="W674">
        <f t="shared" si="120"/>
        <v>7.3839661361838069E-3</v>
      </c>
      <c r="X674">
        <v>-1.5599991957372052E-3</v>
      </c>
    </row>
    <row r="675" spans="1:24" x14ac:dyDescent="0.35">
      <c r="A675" s="1">
        <v>43815</v>
      </c>
      <c r="B675">
        <v>1432.393677</v>
      </c>
      <c r="C675">
        <f t="shared" si="110"/>
        <v>-1.0297514275438346E-2</v>
      </c>
      <c r="D675">
        <v>2126.75</v>
      </c>
      <c r="E675">
        <f t="shared" si="111"/>
        <v>2.6795413397706636E-2</v>
      </c>
      <c r="F675">
        <v>1257.349976</v>
      </c>
      <c r="G675">
        <f t="shared" si="112"/>
        <v>-5.1430154871482392E-3</v>
      </c>
      <c r="H675">
        <v>414.07571410000003</v>
      </c>
      <c r="I675">
        <f t="shared" si="113"/>
        <v>-1.3908404379031514E-2</v>
      </c>
      <c r="J675">
        <v>714</v>
      </c>
      <c r="K675">
        <f t="shared" si="114"/>
        <v>3.7958839397016497E-3</v>
      </c>
      <c r="L675">
        <v>236.8999939</v>
      </c>
      <c r="M675">
        <f t="shared" si="115"/>
        <v>-1.9453692389621136E-2</v>
      </c>
      <c r="N675">
        <v>435.14999390000003</v>
      </c>
      <c r="O675">
        <f t="shared" si="116"/>
        <v>-9.3341060899259087E-3</v>
      </c>
      <c r="P675">
        <v>125.5999985</v>
      </c>
      <c r="Q675">
        <f t="shared" si="117"/>
        <v>-7.1146363636364063E-3</v>
      </c>
      <c r="R675">
        <v>174.9499969</v>
      </c>
      <c r="S675">
        <f t="shared" si="118"/>
        <v>-9.9037919111587547E-3</v>
      </c>
      <c r="T675">
        <v>1770.400024</v>
      </c>
      <c r="U675">
        <f t="shared" si="119"/>
        <v>-6.9274861870705084E-3</v>
      </c>
      <c r="W675">
        <f t="shared" si="120"/>
        <v>-5.1491349745622526E-3</v>
      </c>
      <c r="X675">
        <v>-1.5289648920123189E-3</v>
      </c>
    </row>
    <row r="676" spans="1:24" x14ac:dyDescent="0.35">
      <c r="A676" s="1">
        <v>43816</v>
      </c>
      <c r="B676">
        <v>1428.827759</v>
      </c>
      <c r="C676">
        <f t="shared" si="110"/>
        <v>-2.4894818074514546E-3</v>
      </c>
      <c r="D676">
        <v>2164.9499510000001</v>
      </c>
      <c r="E676">
        <f t="shared" si="111"/>
        <v>1.7961655577759528E-2</v>
      </c>
      <c r="F676">
        <v>1271.099976</v>
      </c>
      <c r="G676">
        <f t="shared" si="112"/>
        <v>1.0935698303938146E-2</v>
      </c>
      <c r="H676">
        <v>431.84216309999999</v>
      </c>
      <c r="I676">
        <f t="shared" si="113"/>
        <v>4.2906281134153401E-2</v>
      </c>
      <c r="J676">
        <v>729.70001219999995</v>
      </c>
      <c r="K676">
        <f t="shared" si="114"/>
        <v>2.1988812605042041E-2</v>
      </c>
      <c r="L676">
        <v>241.0500031</v>
      </c>
      <c r="M676">
        <f t="shared" si="115"/>
        <v>1.7517979345123225E-2</v>
      </c>
      <c r="N676">
        <v>429.0499878</v>
      </c>
      <c r="O676">
        <f t="shared" si="116"/>
        <v>-1.4018168873976444E-2</v>
      </c>
      <c r="P676">
        <v>125.3000031</v>
      </c>
      <c r="Q676">
        <f t="shared" si="117"/>
        <v>-2.3884984361683959E-3</v>
      </c>
      <c r="R676">
        <v>180.1999969</v>
      </c>
      <c r="S676">
        <f t="shared" si="118"/>
        <v>3.0008574409983391E-2</v>
      </c>
      <c r="T676">
        <v>1883.9499510000001</v>
      </c>
      <c r="U676">
        <f t="shared" si="119"/>
        <v>6.4138005795689068E-2</v>
      </c>
      <c r="W676">
        <f t="shared" si="120"/>
        <v>1.8656085805409253E-2</v>
      </c>
      <c r="X676">
        <v>-1.5243390552003749E-3</v>
      </c>
    </row>
    <row r="677" spans="1:24" x14ac:dyDescent="0.35">
      <c r="A677" s="1">
        <v>43817</v>
      </c>
      <c r="B677">
        <v>1440.8511960000001</v>
      </c>
      <c r="C677">
        <f t="shared" si="110"/>
        <v>8.4148960042706999E-3</v>
      </c>
      <c r="D677">
        <v>2167.75</v>
      </c>
      <c r="E677">
        <f t="shared" si="111"/>
        <v>1.2933550721145881E-3</v>
      </c>
      <c r="F677">
        <v>1292.349976</v>
      </c>
      <c r="G677">
        <f t="shared" si="112"/>
        <v>1.6717803792956731E-2</v>
      </c>
      <c r="H677">
        <v>430.22256470000002</v>
      </c>
      <c r="I677">
        <f t="shared" si="113"/>
        <v>-3.7504406433442883E-3</v>
      </c>
      <c r="J677">
        <v>732.45001219999995</v>
      </c>
      <c r="K677">
        <f t="shared" si="114"/>
        <v>3.7686719940006608E-3</v>
      </c>
      <c r="L677">
        <v>245.1499939</v>
      </c>
      <c r="M677">
        <f t="shared" si="115"/>
        <v>1.7008880926249637E-2</v>
      </c>
      <c r="N677">
        <v>439.75</v>
      </c>
      <c r="O677">
        <f t="shared" si="116"/>
        <v>2.4938847463591429E-2</v>
      </c>
      <c r="P677">
        <v>125.0999985</v>
      </c>
      <c r="Q677">
        <f t="shared" si="117"/>
        <v>-1.5962058663349099E-3</v>
      </c>
      <c r="R677">
        <v>174.8000031</v>
      </c>
      <c r="S677">
        <f t="shared" si="118"/>
        <v>-2.9966669771901655E-2</v>
      </c>
      <c r="T677">
        <v>1913.5</v>
      </c>
      <c r="U677">
        <f t="shared" si="119"/>
        <v>1.5685156064955352E-2</v>
      </c>
      <c r="W677">
        <f t="shared" si="120"/>
        <v>5.2514295036558247E-3</v>
      </c>
      <c r="X677">
        <v>-1.4517175033762928E-3</v>
      </c>
    </row>
    <row r="678" spans="1:24" x14ac:dyDescent="0.35">
      <c r="A678" s="1">
        <v>43818</v>
      </c>
      <c r="B678">
        <v>1472.0299070000001</v>
      </c>
      <c r="C678">
        <f t="shared" si="110"/>
        <v>2.1639091591523441E-2</v>
      </c>
      <c r="D678">
        <v>2229.0500489999999</v>
      </c>
      <c r="E678">
        <f t="shared" si="111"/>
        <v>2.827819121208619E-2</v>
      </c>
      <c r="F678">
        <v>1288.8000489999999</v>
      </c>
      <c r="G678">
        <f t="shared" si="112"/>
        <v>-2.746877444906648E-3</v>
      </c>
      <c r="H678">
        <v>441.16708369999998</v>
      </c>
      <c r="I678">
        <f t="shared" si="113"/>
        <v>2.5439202631390767E-2</v>
      </c>
      <c r="J678">
        <v>730.84997559999999</v>
      </c>
      <c r="K678">
        <f t="shared" si="114"/>
        <v>-2.1844993833696202E-3</v>
      </c>
      <c r="L678">
        <v>244.3500061</v>
      </c>
      <c r="M678">
        <f t="shared" si="115"/>
        <v>-3.2632584944151111E-3</v>
      </c>
      <c r="N678">
        <v>433.60000609999997</v>
      </c>
      <c r="O678">
        <f t="shared" si="116"/>
        <v>-1.3985205002842616E-2</v>
      </c>
      <c r="P678">
        <v>125.6999969</v>
      </c>
      <c r="Q678">
        <f t="shared" si="117"/>
        <v>4.7961503372839775E-3</v>
      </c>
      <c r="R678">
        <v>179.1499939</v>
      </c>
      <c r="S678">
        <f t="shared" si="118"/>
        <v>2.4885530451114635E-2</v>
      </c>
      <c r="T678">
        <v>1935.599976</v>
      </c>
      <c r="U678">
        <f t="shared" si="119"/>
        <v>1.1549504050169856E-2</v>
      </c>
      <c r="W678">
        <f t="shared" si="120"/>
        <v>9.4407829948034878E-3</v>
      </c>
      <c r="X678">
        <v>-1.4203935802607039E-3</v>
      </c>
    </row>
    <row r="679" spans="1:24" x14ac:dyDescent="0.35">
      <c r="A679" s="1">
        <v>43819</v>
      </c>
      <c r="B679">
        <v>1462.1094969999999</v>
      </c>
      <c r="C679">
        <f t="shared" si="110"/>
        <v>-6.7392720438798071E-3</v>
      </c>
      <c r="D679">
        <v>2222.8999020000001</v>
      </c>
      <c r="E679">
        <f t="shared" si="111"/>
        <v>-2.7590887888582216E-3</v>
      </c>
      <c r="F679">
        <v>1296.6999510000001</v>
      </c>
      <c r="G679">
        <f t="shared" si="112"/>
        <v>6.1296568122648498E-3</v>
      </c>
      <c r="H679">
        <v>445.43692019999997</v>
      </c>
      <c r="I679">
        <f t="shared" si="113"/>
        <v>9.6785019956373564E-3</v>
      </c>
      <c r="J679">
        <v>731.54998780000005</v>
      </c>
      <c r="K679">
        <f t="shared" si="114"/>
        <v>9.5780560083524868E-4</v>
      </c>
      <c r="L679">
        <v>241.1499939</v>
      </c>
      <c r="M679">
        <f t="shared" si="115"/>
        <v>-1.309601849852382E-2</v>
      </c>
      <c r="N679">
        <v>430.2999878</v>
      </c>
      <c r="O679">
        <f t="shared" si="116"/>
        <v>-7.6107432047380907E-3</v>
      </c>
      <c r="P679">
        <v>125.1500015</v>
      </c>
      <c r="Q679">
        <f t="shared" si="117"/>
        <v>-4.3754607284322011E-3</v>
      </c>
      <c r="R679">
        <v>175.9499969</v>
      </c>
      <c r="S679">
        <f t="shared" si="118"/>
        <v>-1.7862110571916667E-2</v>
      </c>
      <c r="T679">
        <v>1919.599976</v>
      </c>
      <c r="U679">
        <f t="shared" si="119"/>
        <v>-8.2661707989192257E-3</v>
      </c>
      <c r="W679">
        <f t="shared" si="120"/>
        <v>-4.3942900226530586E-3</v>
      </c>
      <c r="X679">
        <v>-1.4161826107427116E-3</v>
      </c>
    </row>
    <row r="680" spans="1:24" x14ac:dyDescent="0.35">
      <c r="A680" s="1">
        <v>43822</v>
      </c>
      <c r="B680">
        <v>1436.782471</v>
      </c>
      <c r="C680">
        <f t="shared" si="110"/>
        <v>-1.7322249839678006E-2</v>
      </c>
      <c r="D680">
        <v>2231.6999510000001</v>
      </c>
      <c r="E680">
        <f t="shared" si="111"/>
        <v>3.9588147860738498E-3</v>
      </c>
      <c r="F680">
        <v>1302.400024</v>
      </c>
      <c r="G680">
        <f t="shared" si="112"/>
        <v>4.3958303504245677E-3</v>
      </c>
      <c r="H680">
        <v>446.41848750000003</v>
      </c>
      <c r="I680">
        <f t="shared" si="113"/>
        <v>2.2036056184102648E-3</v>
      </c>
      <c r="J680">
        <v>736</v>
      </c>
      <c r="K680">
        <f t="shared" si="114"/>
        <v>6.0829912845499212E-3</v>
      </c>
      <c r="L680">
        <v>238.8999939</v>
      </c>
      <c r="M680">
        <f t="shared" si="115"/>
        <v>-9.3302925851742602E-3</v>
      </c>
      <c r="N680">
        <v>428.39999390000003</v>
      </c>
      <c r="O680">
        <f t="shared" si="116"/>
        <v>-4.4155100020200067E-3</v>
      </c>
      <c r="P680">
        <v>124.6500015</v>
      </c>
      <c r="Q680">
        <f t="shared" si="117"/>
        <v>-3.9952057052112799E-3</v>
      </c>
      <c r="R680">
        <v>176.0500031</v>
      </c>
      <c r="S680">
        <f t="shared" si="118"/>
        <v>5.6837852663815802E-4</v>
      </c>
      <c r="T680">
        <v>1923.099976</v>
      </c>
      <c r="U680">
        <f t="shared" si="119"/>
        <v>1.8232965429043624E-3</v>
      </c>
      <c r="W680">
        <f t="shared" si="120"/>
        <v>-1.603034102308243E-3</v>
      </c>
      <c r="X680">
        <v>-1.4070614225333395E-3</v>
      </c>
    </row>
    <row r="681" spans="1:24" x14ac:dyDescent="0.35">
      <c r="A681" s="1">
        <v>43823</v>
      </c>
      <c r="B681">
        <v>1413.9698490000001</v>
      </c>
      <c r="C681">
        <f t="shared" si="110"/>
        <v>-1.5877575388376197E-2</v>
      </c>
      <c r="D681">
        <v>2215.6000979999999</v>
      </c>
      <c r="E681">
        <f t="shared" si="111"/>
        <v>-7.2141655928190662E-3</v>
      </c>
      <c r="F681">
        <v>1289.150024</v>
      </c>
      <c r="G681">
        <f t="shared" si="112"/>
        <v>-1.0173525611053003E-2</v>
      </c>
      <c r="H681">
        <v>448.72518919999999</v>
      </c>
      <c r="I681">
        <f t="shared" si="113"/>
        <v>5.1671285230989739E-3</v>
      </c>
      <c r="J681">
        <v>733.40002440000001</v>
      </c>
      <c r="K681">
        <f t="shared" si="114"/>
        <v>-3.5325755434783002E-3</v>
      </c>
      <c r="L681">
        <v>238.75</v>
      </c>
      <c r="M681">
        <f t="shared" si="115"/>
        <v>-6.2785225546213574E-4</v>
      </c>
      <c r="N681">
        <v>429.7999878</v>
      </c>
      <c r="O681">
        <f t="shared" si="116"/>
        <v>3.2679596637126274E-3</v>
      </c>
      <c r="P681">
        <v>126</v>
      </c>
      <c r="Q681">
        <f t="shared" si="117"/>
        <v>1.0830312745724324E-2</v>
      </c>
      <c r="R681">
        <v>175.5</v>
      </c>
      <c r="S681">
        <f t="shared" si="118"/>
        <v>-3.1241300216711121E-3</v>
      </c>
      <c r="T681">
        <v>1907.400024</v>
      </c>
      <c r="U681">
        <f t="shared" si="119"/>
        <v>-8.1638771753590467E-3</v>
      </c>
      <c r="W681">
        <f t="shared" si="120"/>
        <v>-2.9448300655682937E-3</v>
      </c>
      <c r="X681">
        <v>-1.4054148519257242E-3</v>
      </c>
    </row>
    <row r="682" spans="1:24" x14ac:dyDescent="0.35">
      <c r="A682" s="1">
        <v>43825</v>
      </c>
      <c r="B682">
        <v>1385.5798339999999</v>
      </c>
      <c r="C682">
        <f t="shared" si="110"/>
        <v>-2.0078232233932236E-2</v>
      </c>
      <c r="D682">
        <v>2201.9499510000001</v>
      </c>
      <c r="E682">
        <f t="shared" si="111"/>
        <v>-6.1609254361026933E-3</v>
      </c>
      <c r="F682">
        <v>1270.4499510000001</v>
      </c>
      <c r="G682">
        <f t="shared" si="112"/>
        <v>-1.4505738394959611E-2</v>
      </c>
      <c r="H682">
        <v>439.30209350000001</v>
      </c>
      <c r="I682">
        <f t="shared" si="113"/>
        <v>-2.0999702995946667E-2</v>
      </c>
      <c r="J682">
        <v>728.95001219999995</v>
      </c>
      <c r="K682">
        <f t="shared" si="114"/>
        <v>-6.067646648417635E-3</v>
      </c>
      <c r="L682">
        <v>236.8000031</v>
      </c>
      <c r="M682">
        <f t="shared" si="115"/>
        <v>-8.1675262827225481E-3</v>
      </c>
      <c r="N682">
        <v>422.14999390000003</v>
      </c>
      <c r="O682">
        <f t="shared" si="116"/>
        <v>-1.7798962580612643E-2</v>
      </c>
      <c r="P682">
        <v>128</v>
      </c>
      <c r="Q682">
        <f t="shared" si="117"/>
        <v>1.5873015873015817E-2</v>
      </c>
      <c r="R682">
        <v>174.6000061</v>
      </c>
      <c r="S682">
        <f t="shared" si="118"/>
        <v>-5.1281703703703885E-3</v>
      </c>
      <c r="T682">
        <v>1921.099976</v>
      </c>
      <c r="U682">
        <f t="shared" si="119"/>
        <v>7.1825269097300914E-3</v>
      </c>
      <c r="W682">
        <f t="shared" si="120"/>
        <v>-7.5851362160318514E-3</v>
      </c>
      <c r="X682">
        <v>-1.3841843149673845E-3</v>
      </c>
    </row>
    <row r="683" spans="1:24" x14ac:dyDescent="0.35">
      <c r="A683" s="1">
        <v>43826</v>
      </c>
      <c r="B683">
        <v>1410.2210689999999</v>
      </c>
      <c r="C683">
        <f t="shared" si="110"/>
        <v>1.7784060070262342E-2</v>
      </c>
      <c r="D683">
        <v>2198.5</v>
      </c>
      <c r="E683">
        <f t="shared" si="111"/>
        <v>-1.5667708516414747E-3</v>
      </c>
      <c r="F683">
        <v>1275</v>
      </c>
      <c r="G683">
        <f t="shared" si="112"/>
        <v>3.5814468696058199E-3</v>
      </c>
      <c r="H683">
        <v>446.71295170000002</v>
      </c>
      <c r="I683">
        <f t="shared" si="113"/>
        <v>1.6869617308117757E-2</v>
      </c>
      <c r="J683">
        <v>736.95001219999995</v>
      </c>
      <c r="K683">
        <f t="shared" si="114"/>
        <v>1.0974689438382423E-2</v>
      </c>
      <c r="L683">
        <v>236.8999939</v>
      </c>
      <c r="M683">
        <f t="shared" si="115"/>
        <v>4.2225844041809957E-4</v>
      </c>
      <c r="N683">
        <v>426</v>
      </c>
      <c r="O683">
        <f t="shared" si="116"/>
        <v>9.1199956310126229E-3</v>
      </c>
      <c r="P683">
        <v>128.3999939</v>
      </c>
      <c r="Q683">
        <f t="shared" si="117"/>
        <v>3.1249523437499871E-3</v>
      </c>
      <c r="R683">
        <v>176.1499939</v>
      </c>
      <c r="S683">
        <f t="shared" si="118"/>
        <v>8.877363951020012E-3</v>
      </c>
      <c r="T683">
        <v>1925.5500489999999</v>
      </c>
      <c r="U683">
        <f t="shared" si="119"/>
        <v>2.3164192679163698E-3</v>
      </c>
      <c r="W683">
        <f t="shared" si="120"/>
        <v>7.150403246884398E-3</v>
      </c>
      <c r="X683">
        <v>-1.372983375062054E-3</v>
      </c>
    </row>
    <row r="684" spans="1:24" x14ac:dyDescent="0.35">
      <c r="A684" s="1">
        <v>43829</v>
      </c>
      <c r="B684">
        <v>1411.9125979999999</v>
      </c>
      <c r="C684">
        <f t="shared" si="110"/>
        <v>1.199477895476031E-3</v>
      </c>
      <c r="D684">
        <v>2183.1999510000001</v>
      </c>
      <c r="E684">
        <f t="shared" si="111"/>
        <v>-6.9593127132134835E-3</v>
      </c>
      <c r="F684">
        <v>1282.150024</v>
      </c>
      <c r="G684">
        <f t="shared" si="112"/>
        <v>5.6078619607844438E-3</v>
      </c>
      <c r="H684">
        <v>452.01345830000002</v>
      </c>
      <c r="I684">
        <f t="shared" si="113"/>
        <v>1.1865576271806066E-2</v>
      </c>
      <c r="J684">
        <v>732.90002440000001</v>
      </c>
      <c r="K684">
        <f t="shared" si="114"/>
        <v>-5.495607209381248E-3</v>
      </c>
      <c r="L684">
        <v>238.1999969</v>
      </c>
      <c r="M684">
        <f t="shared" si="115"/>
        <v>5.4875602932635825E-3</v>
      </c>
      <c r="N684">
        <v>430.14999390000003</v>
      </c>
      <c r="O684">
        <f t="shared" si="116"/>
        <v>9.7417697183099783E-3</v>
      </c>
      <c r="P684">
        <v>127.9499969</v>
      </c>
      <c r="Q684">
        <f t="shared" si="117"/>
        <v>-3.5046496992083842E-3</v>
      </c>
      <c r="R684">
        <v>183.6999969</v>
      </c>
      <c r="S684">
        <f t="shared" si="118"/>
        <v>4.2861216357952925E-2</v>
      </c>
      <c r="T684">
        <v>1883.5500489999999</v>
      </c>
      <c r="U684">
        <f t="shared" si="119"/>
        <v>-2.1811949277460774E-2</v>
      </c>
      <c r="W684">
        <f t="shared" si="120"/>
        <v>3.8991943598329138E-3</v>
      </c>
      <c r="X684">
        <v>-1.3632590897062371E-3</v>
      </c>
    </row>
    <row r="685" spans="1:24" x14ac:dyDescent="0.35">
      <c r="A685" s="1">
        <v>43830</v>
      </c>
      <c r="B685">
        <v>1384.3454589999999</v>
      </c>
      <c r="C685">
        <f t="shared" si="110"/>
        <v>-1.9524678113255312E-2</v>
      </c>
      <c r="D685">
        <v>2161.6999510000001</v>
      </c>
      <c r="E685">
        <f t="shared" si="111"/>
        <v>-9.8479298655865799E-3</v>
      </c>
      <c r="F685">
        <v>1272.099976</v>
      </c>
      <c r="G685">
        <f t="shared" si="112"/>
        <v>-7.8384337338670562E-3</v>
      </c>
      <c r="H685">
        <v>447.40005489999999</v>
      </c>
      <c r="I685">
        <f t="shared" si="113"/>
        <v>-1.0206340796468316E-2</v>
      </c>
      <c r="J685">
        <v>731.15002440000001</v>
      </c>
      <c r="K685">
        <f t="shared" si="114"/>
        <v>-2.3877745145836071E-3</v>
      </c>
      <c r="L685">
        <v>237.6999969</v>
      </c>
      <c r="M685">
        <f t="shared" si="115"/>
        <v>-2.0990764336991097E-3</v>
      </c>
      <c r="N685">
        <v>432.5499878</v>
      </c>
      <c r="O685">
        <f t="shared" si="116"/>
        <v>5.5794349274311816E-3</v>
      </c>
      <c r="P685">
        <v>128.8000031</v>
      </c>
      <c r="Q685">
        <f t="shared" si="117"/>
        <v>6.643268625198262E-3</v>
      </c>
      <c r="R685">
        <v>185.1499939</v>
      </c>
      <c r="S685">
        <f t="shared" si="118"/>
        <v>7.8932881027173885E-3</v>
      </c>
      <c r="T685">
        <v>1838.349976</v>
      </c>
      <c r="U685">
        <f t="shared" si="119"/>
        <v>-2.3997277387981963E-2</v>
      </c>
      <c r="W685">
        <f t="shared" si="120"/>
        <v>-5.5785519190095128E-3</v>
      </c>
      <c r="X685">
        <v>-1.3575535922392247E-3</v>
      </c>
    </row>
    <row r="686" spans="1:24" x14ac:dyDescent="0.35">
      <c r="A686" s="1">
        <v>43831</v>
      </c>
      <c r="B686">
        <v>1380.276611</v>
      </c>
      <c r="C686">
        <f t="shared" si="110"/>
        <v>-2.939185427703217E-3</v>
      </c>
      <c r="D686">
        <v>2167.6000979999999</v>
      </c>
      <c r="E686">
        <f t="shared" si="111"/>
        <v>2.7294014589167581E-3</v>
      </c>
      <c r="F686">
        <v>1278.599976</v>
      </c>
      <c r="G686">
        <f t="shared" si="112"/>
        <v>5.1096612865590973E-3</v>
      </c>
      <c r="H686">
        <v>444.94613650000002</v>
      </c>
      <c r="I686">
        <f t="shared" si="113"/>
        <v>-5.4848415263347716E-3</v>
      </c>
      <c r="J686">
        <v>736.84997559999999</v>
      </c>
      <c r="K686">
        <f t="shared" si="114"/>
        <v>7.7958709017038608E-3</v>
      </c>
      <c r="L686">
        <v>238.1000061</v>
      </c>
      <c r="M686">
        <f t="shared" si="115"/>
        <v>1.6828321633015619E-3</v>
      </c>
      <c r="N686">
        <v>434.2999878</v>
      </c>
      <c r="O686">
        <f t="shared" si="116"/>
        <v>4.0457751690172739E-3</v>
      </c>
      <c r="P686">
        <v>127.4499969</v>
      </c>
      <c r="Q686">
        <f t="shared" si="117"/>
        <v>-1.0481414344003182E-2</v>
      </c>
      <c r="R686">
        <v>184.4499969</v>
      </c>
      <c r="S686">
        <f t="shared" si="118"/>
        <v>-3.7807022579653404E-3</v>
      </c>
      <c r="T686">
        <v>1828.5</v>
      </c>
      <c r="U686">
        <f t="shared" si="119"/>
        <v>-5.3580526714680499E-3</v>
      </c>
      <c r="W686">
        <f t="shared" si="120"/>
        <v>-6.680655247976008E-4</v>
      </c>
      <c r="X686">
        <v>-1.3548016960617916E-3</v>
      </c>
    </row>
    <row r="687" spans="1:24" x14ac:dyDescent="0.35">
      <c r="A687" s="1">
        <v>43832</v>
      </c>
      <c r="B687">
        <v>1403.775024</v>
      </c>
      <c r="C687">
        <f t="shared" si="110"/>
        <v>1.7024423085004292E-2</v>
      </c>
      <c r="D687">
        <v>2157.6499020000001</v>
      </c>
      <c r="E687">
        <f t="shared" si="111"/>
        <v>-4.5904205342953697E-3</v>
      </c>
      <c r="F687">
        <v>1286.75</v>
      </c>
      <c r="G687">
        <f t="shared" si="112"/>
        <v>6.374178126842045E-3</v>
      </c>
      <c r="H687">
        <v>446.81112669999999</v>
      </c>
      <c r="I687">
        <f t="shared" si="113"/>
        <v>4.191496558819896E-3</v>
      </c>
      <c r="J687">
        <v>734.70001219999995</v>
      </c>
      <c r="K687">
        <f t="shared" si="114"/>
        <v>-2.9177763061597473E-3</v>
      </c>
      <c r="L687">
        <v>239.8500061</v>
      </c>
      <c r="M687">
        <f t="shared" si="115"/>
        <v>7.3498528146405118E-3</v>
      </c>
      <c r="N687">
        <v>434.9500122</v>
      </c>
      <c r="O687">
        <f t="shared" si="116"/>
        <v>1.4967175184434911E-3</v>
      </c>
      <c r="P687">
        <v>128.0500031</v>
      </c>
      <c r="Q687">
        <f t="shared" si="117"/>
        <v>4.7077772820252051E-3</v>
      </c>
      <c r="R687">
        <v>193.75</v>
      </c>
      <c r="S687">
        <f t="shared" si="118"/>
        <v>5.0420185721347544E-2</v>
      </c>
      <c r="T687">
        <v>1824.1999510000001</v>
      </c>
      <c r="U687">
        <f t="shared" si="119"/>
        <v>-2.3516811594203046E-3</v>
      </c>
      <c r="W687">
        <f t="shared" si="120"/>
        <v>8.1704753107247566E-3</v>
      </c>
      <c r="X687">
        <v>-1.3317739372304847E-3</v>
      </c>
    </row>
    <row r="688" spans="1:24" x14ac:dyDescent="0.35">
      <c r="A688" s="1">
        <v>43833</v>
      </c>
      <c r="B688">
        <v>1405.466553</v>
      </c>
      <c r="C688">
        <f t="shared" si="110"/>
        <v>1.2049858211466979E-3</v>
      </c>
      <c r="D688">
        <v>2200.6499020000001</v>
      </c>
      <c r="E688">
        <f t="shared" si="111"/>
        <v>1.992909042386426E-2</v>
      </c>
      <c r="F688">
        <v>1268.400024</v>
      </c>
      <c r="G688">
        <f t="shared" si="112"/>
        <v>-1.4260715756751474E-2</v>
      </c>
      <c r="H688">
        <v>446.71295170000002</v>
      </c>
      <c r="I688">
        <f t="shared" si="113"/>
        <v>-2.1972371351863806E-4</v>
      </c>
      <c r="J688">
        <v>746</v>
      </c>
      <c r="K688">
        <f t="shared" si="114"/>
        <v>1.5380410524512111E-2</v>
      </c>
      <c r="L688">
        <v>238.5</v>
      </c>
      <c r="M688">
        <f t="shared" si="115"/>
        <v>-5.6285431130534969E-3</v>
      </c>
      <c r="N688">
        <v>444.60000609999997</v>
      </c>
      <c r="O688">
        <f t="shared" si="116"/>
        <v>2.2186443566675207E-2</v>
      </c>
      <c r="P688">
        <v>128.4499969</v>
      </c>
      <c r="Q688">
        <f t="shared" si="117"/>
        <v>3.1237312793161998E-3</v>
      </c>
      <c r="R688">
        <v>191.1000061</v>
      </c>
      <c r="S688">
        <f t="shared" si="118"/>
        <v>-1.3677387870967728E-2</v>
      </c>
      <c r="T688">
        <v>1843.5500489999999</v>
      </c>
      <c r="U688">
        <f t="shared" si="119"/>
        <v>1.0607443547727469E-2</v>
      </c>
      <c r="W688">
        <f t="shared" si="120"/>
        <v>3.8645734708950617E-3</v>
      </c>
      <c r="X688">
        <v>-1.3280061339810524E-3</v>
      </c>
    </row>
    <row r="689" spans="1:24" x14ac:dyDescent="0.35">
      <c r="A689" s="1">
        <v>43836</v>
      </c>
      <c r="B689">
        <v>1372.8706050000001</v>
      </c>
      <c r="C689">
        <f t="shared" si="110"/>
        <v>-2.3192261623318666E-2</v>
      </c>
      <c r="D689">
        <v>2200.4499510000001</v>
      </c>
      <c r="E689">
        <f t="shared" si="111"/>
        <v>-9.0859977236013023E-5</v>
      </c>
      <c r="F689">
        <v>1240.9499510000001</v>
      </c>
      <c r="G689">
        <f t="shared" si="112"/>
        <v>-2.1641495175499958E-2</v>
      </c>
      <c r="H689">
        <v>441.36340330000002</v>
      </c>
      <c r="I689">
        <f t="shared" si="113"/>
        <v>-1.1975359970293864E-2</v>
      </c>
      <c r="J689">
        <v>738.84997559999999</v>
      </c>
      <c r="K689">
        <f t="shared" si="114"/>
        <v>-9.5844831099195504E-3</v>
      </c>
      <c r="L689">
        <v>235.1000061</v>
      </c>
      <c r="M689">
        <f t="shared" si="115"/>
        <v>-1.4255739622641483E-2</v>
      </c>
      <c r="N689">
        <v>439.9500122</v>
      </c>
      <c r="O689">
        <f t="shared" si="116"/>
        <v>-1.0458825542512651E-2</v>
      </c>
      <c r="P689">
        <v>126.25</v>
      </c>
      <c r="Q689">
        <f t="shared" si="117"/>
        <v>-1.7127263161498818E-2</v>
      </c>
      <c r="R689">
        <v>185.6499939</v>
      </c>
      <c r="S689">
        <f t="shared" si="118"/>
        <v>-2.8519162878247517E-2</v>
      </c>
      <c r="T689">
        <v>1789.900024</v>
      </c>
      <c r="U689">
        <f t="shared" si="119"/>
        <v>-2.9101474640789604E-2</v>
      </c>
      <c r="W689">
        <f t="shared" si="120"/>
        <v>-1.6594692570195812E-2</v>
      </c>
      <c r="X689">
        <v>-1.3214229928214861E-3</v>
      </c>
    </row>
    <row r="690" spans="1:24" x14ac:dyDescent="0.35">
      <c r="A690" s="1">
        <v>43837</v>
      </c>
      <c r="B690">
        <v>1393.9916989999999</v>
      </c>
      <c r="C690">
        <f t="shared" si="110"/>
        <v>1.5384621043728952E-2</v>
      </c>
      <c r="D690">
        <v>2205.8500979999999</v>
      </c>
      <c r="E690">
        <f t="shared" si="111"/>
        <v>2.454110350269767E-3</v>
      </c>
      <c r="F690">
        <v>1260.599976</v>
      </c>
      <c r="G690">
        <f t="shared" si="112"/>
        <v>1.5834663585074793E-2</v>
      </c>
      <c r="H690">
        <v>436.8972473</v>
      </c>
      <c r="I690">
        <f t="shared" si="113"/>
        <v>-1.011899937015015E-2</v>
      </c>
      <c r="J690">
        <v>727.90002440000001</v>
      </c>
      <c r="K690">
        <f t="shared" si="114"/>
        <v>-1.4820263330330152E-2</v>
      </c>
      <c r="L690">
        <v>235.3500061</v>
      </c>
      <c r="M690">
        <f t="shared" si="115"/>
        <v>1.0633772586703394E-3</v>
      </c>
      <c r="N690">
        <v>446.39999390000003</v>
      </c>
      <c r="O690">
        <f t="shared" si="116"/>
        <v>1.466071490200993E-2</v>
      </c>
      <c r="P690">
        <v>125.75</v>
      </c>
      <c r="Q690">
        <f t="shared" si="117"/>
        <v>-3.9603960396039639E-3</v>
      </c>
      <c r="R690">
        <v>184.6999969</v>
      </c>
      <c r="S690">
        <f t="shared" si="118"/>
        <v>-5.1171399472909052E-3</v>
      </c>
      <c r="T690">
        <v>1815.75</v>
      </c>
      <c r="U690">
        <f t="shared" si="119"/>
        <v>1.4442134003792795E-2</v>
      </c>
      <c r="W690">
        <f t="shared" si="120"/>
        <v>2.9822822456171405E-3</v>
      </c>
      <c r="X690">
        <v>-1.3179825699497268E-3</v>
      </c>
    </row>
    <row r="691" spans="1:24" x14ac:dyDescent="0.35">
      <c r="A691" s="1">
        <v>43838</v>
      </c>
      <c r="B691">
        <v>1383.5225829999999</v>
      </c>
      <c r="C691">
        <f t="shared" si="110"/>
        <v>-7.5101709769936909E-3</v>
      </c>
      <c r="D691">
        <v>2255.25</v>
      </c>
      <c r="E691">
        <f t="shared" si="111"/>
        <v>2.2394949704329425E-2</v>
      </c>
      <c r="F691">
        <v>1257.3000489999999</v>
      </c>
      <c r="G691">
        <f t="shared" si="112"/>
        <v>-2.6177431880262114E-3</v>
      </c>
      <c r="H691">
        <v>450.3938599</v>
      </c>
      <c r="I691">
        <f t="shared" si="113"/>
        <v>3.0891960714809485E-2</v>
      </c>
      <c r="J691">
        <v>718.20001219999995</v>
      </c>
      <c r="K691">
        <f t="shared" si="114"/>
        <v>-1.3326022633390777E-2</v>
      </c>
      <c r="L691">
        <v>234.1999969</v>
      </c>
      <c r="M691">
        <f t="shared" si="115"/>
        <v>-4.8863784584367576E-3</v>
      </c>
      <c r="N691">
        <v>440.10000609999997</v>
      </c>
      <c r="O691">
        <f t="shared" si="116"/>
        <v>-1.41128760889081E-2</v>
      </c>
      <c r="P691">
        <v>123.4499969</v>
      </c>
      <c r="Q691">
        <f t="shared" si="117"/>
        <v>-1.829028310139158E-2</v>
      </c>
      <c r="R691">
        <v>182.5500031</v>
      </c>
      <c r="S691">
        <f t="shared" si="118"/>
        <v>-1.1640464732460498E-2</v>
      </c>
      <c r="T691">
        <v>1829.0500489999999</v>
      </c>
      <c r="U691">
        <f t="shared" si="119"/>
        <v>7.3248239019687578E-3</v>
      </c>
      <c r="W691">
        <f t="shared" si="120"/>
        <v>-1.1772204858499944E-3</v>
      </c>
      <c r="X691">
        <v>-1.3082035930048973E-3</v>
      </c>
    </row>
    <row r="692" spans="1:24" x14ac:dyDescent="0.35">
      <c r="A692" s="1">
        <v>43839</v>
      </c>
      <c r="B692">
        <v>1415.3870850000001</v>
      </c>
      <c r="C692">
        <f t="shared" si="110"/>
        <v>2.3031428898620421E-2</v>
      </c>
      <c r="D692">
        <v>2214.3500979999999</v>
      </c>
      <c r="E692">
        <f t="shared" si="111"/>
        <v>-1.813541824631415E-2</v>
      </c>
      <c r="F692">
        <v>1271.400024</v>
      </c>
      <c r="G692">
        <f t="shared" si="112"/>
        <v>1.1214486956565795E-2</v>
      </c>
      <c r="H692">
        <v>451.62081910000001</v>
      </c>
      <c r="I692">
        <f t="shared" si="113"/>
        <v>2.7241916669833444E-3</v>
      </c>
      <c r="J692">
        <v>727.54998780000005</v>
      </c>
      <c r="K692">
        <f t="shared" si="114"/>
        <v>1.3018623560530296E-2</v>
      </c>
      <c r="L692">
        <v>235.8000031</v>
      </c>
      <c r="M692">
        <f t="shared" si="115"/>
        <v>6.8317942834268397E-3</v>
      </c>
      <c r="N692">
        <v>439.85000609999997</v>
      </c>
      <c r="O692">
        <f t="shared" si="116"/>
        <v>-5.6805270741844271E-4</v>
      </c>
      <c r="P692">
        <v>123.6999969</v>
      </c>
      <c r="Q692">
        <f t="shared" si="117"/>
        <v>2.0251114319793651E-3</v>
      </c>
      <c r="R692">
        <v>192</v>
      </c>
      <c r="S692">
        <f t="shared" si="118"/>
        <v>5.1766621416178937E-2</v>
      </c>
      <c r="T692">
        <v>1880.5500489999999</v>
      </c>
      <c r="U692">
        <f t="shared" si="119"/>
        <v>2.8156692611094325E-2</v>
      </c>
      <c r="W692">
        <f t="shared" si="120"/>
        <v>1.2006547987164674E-2</v>
      </c>
      <c r="X692">
        <v>-1.3020488083494543E-3</v>
      </c>
    </row>
    <row r="693" spans="1:24" x14ac:dyDescent="0.35">
      <c r="A693" s="1">
        <v>43840</v>
      </c>
      <c r="B693">
        <v>1415.0670170000001</v>
      </c>
      <c r="C693">
        <f t="shared" si="110"/>
        <v>-2.2613460543197128E-4</v>
      </c>
      <c r="D693">
        <v>2213.5500489999999</v>
      </c>
      <c r="E693">
        <f t="shared" si="111"/>
        <v>-3.61301946210979E-4</v>
      </c>
      <c r="F693">
        <v>1282.6999510000001</v>
      </c>
      <c r="G693">
        <f t="shared" si="112"/>
        <v>8.8877825913900033E-3</v>
      </c>
      <c r="H693">
        <v>448.57794189999998</v>
      </c>
      <c r="I693">
        <f t="shared" si="113"/>
        <v>-6.7376814161578258E-3</v>
      </c>
      <c r="J693">
        <v>738.15002440000001</v>
      </c>
      <c r="K693">
        <f t="shared" si="114"/>
        <v>1.4569495949072753E-2</v>
      </c>
      <c r="L693">
        <v>238</v>
      </c>
      <c r="M693">
        <f t="shared" si="115"/>
        <v>9.3299273582578834E-3</v>
      </c>
      <c r="N693">
        <v>443.60000609999997</v>
      </c>
      <c r="O693">
        <f t="shared" si="116"/>
        <v>8.5256336205379313E-3</v>
      </c>
      <c r="P693">
        <v>124.1500015</v>
      </c>
      <c r="Q693">
        <f t="shared" si="117"/>
        <v>3.637870745977434E-3</v>
      </c>
      <c r="R693">
        <v>196.3500061</v>
      </c>
      <c r="S693">
        <f t="shared" si="118"/>
        <v>2.2656281770833342E-2</v>
      </c>
      <c r="T693">
        <v>1876.9499510000001</v>
      </c>
      <c r="U693">
        <f t="shared" si="119"/>
        <v>-1.914385635157223E-3</v>
      </c>
      <c r="W693">
        <f t="shared" si="120"/>
        <v>5.8367488433111346E-3</v>
      </c>
      <c r="X693">
        <v>-1.2972555847837078E-3</v>
      </c>
    </row>
    <row r="694" spans="1:24" x14ac:dyDescent="0.35">
      <c r="A694" s="1">
        <v>43843</v>
      </c>
      <c r="B694">
        <v>1411.4554439999999</v>
      </c>
      <c r="C694">
        <f t="shared" si="110"/>
        <v>-2.5522275317085841E-3</v>
      </c>
      <c r="D694">
        <v>2190.3500979999999</v>
      </c>
      <c r="E694">
        <f t="shared" si="111"/>
        <v>-1.0480879350562189E-2</v>
      </c>
      <c r="F694">
        <v>1286</v>
      </c>
      <c r="G694">
        <f t="shared" si="112"/>
        <v>2.5727365136540836E-3</v>
      </c>
      <c r="H694">
        <v>460.25863650000002</v>
      </c>
      <c r="I694">
        <f t="shared" si="113"/>
        <v>2.6039386935802433E-2</v>
      </c>
      <c r="J694">
        <v>773.54998780000005</v>
      </c>
      <c r="K694">
        <f t="shared" si="114"/>
        <v>4.7957680999570096E-2</v>
      </c>
      <c r="L694">
        <v>239.25</v>
      </c>
      <c r="M694">
        <f t="shared" si="115"/>
        <v>5.2521008403361158E-3</v>
      </c>
      <c r="N694">
        <v>444.60000609999997</v>
      </c>
      <c r="O694">
        <f t="shared" si="116"/>
        <v>2.2542831069631841E-3</v>
      </c>
      <c r="P694">
        <v>125.4499969</v>
      </c>
      <c r="Q694">
        <f t="shared" si="117"/>
        <v>1.047116701001416E-2</v>
      </c>
      <c r="R694">
        <v>196.25</v>
      </c>
      <c r="S694">
        <f t="shared" si="118"/>
        <v>-5.0932567809069962E-4</v>
      </c>
      <c r="T694">
        <v>1914.650024</v>
      </c>
      <c r="U694">
        <f t="shared" si="119"/>
        <v>2.0085816875359042E-2</v>
      </c>
      <c r="W694">
        <f t="shared" si="120"/>
        <v>1.0109073972133764E-2</v>
      </c>
      <c r="X694">
        <v>-1.2829000309446891E-3</v>
      </c>
    </row>
    <row r="695" spans="1:24" x14ac:dyDescent="0.35">
      <c r="A695" s="1">
        <v>43844</v>
      </c>
      <c r="B695">
        <v>1398.3804929999999</v>
      </c>
      <c r="C695">
        <f t="shared" si="110"/>
        <v>-9.2634528816200046E-3</v>
      </c>
      <c r="D695">
        <v>2206.8999020000001</v>
      </c>
      <c r="E695">
        <f t="shared" si="111"/>
        <v>7.5557802449535139E-3</v>
      </c>
      <c r="F695">
        <v>1289.5</v>
      </c>
      <c r="G695">
        <f t="shared" si="112"/>
        <v>2.7216174183515296E-3</v>
      </c>
      <c r="H695">
        <v>460.7003479</v>
      </c>
      <c r="I695">
        <f t="shared" si="113"/>
        <v>9.5970257800903624E-4</v>
      </c>
      <c r="J695">
        <v>775.65002440000001</v>
      </c>
      <c r="K695">
        <f t="shared" si="114"/>
        <v>2.7148039986044648E-3</v>
      </c>
      <c r="L695">
        <v>243.25</v>
      </c>
      <c r="M695">
        <f t="shared" si="115"/>
        <v>1.6718913270637348E-2</v>
      </c>
      <c r="N695">
        <v>446</v>
      </c>
      <c r="O695">
        <f t="shared" si="116"/>
        <v>3.1488841223388242E-3</v>
      </c>
      <c r="P695">
        <v>125.0500031</v>
      </c>
      <c r="Q695">
        <f t="shared" si="117"/>
        <v>-3.1884719799463168E-3</v>
      </c>
      <c r="R695">
        <v>195.8500061</v>
      </c>
      <c r="S695">
        <f t="shared" si="118"/>
        <v>-2.0381854777069552E-3</v>
      </c>
      <c r="T695">
        <v>1930.75</v>
      </c>
      <c r="U695">
        <f t="shared" si="119"/>
        <v>8.4088349297197773E-3</v>
      </c>
      <c r="W695">
        <f t="shared" si="120"/>
        <v>2.7738426223341221E-3</v>
      </c>
      <c r="X695">
        <v>-1.2803085781050827E-3</v>
      </c>
    </row>
    <row r="696" spans="1:24" x14ac:dyDescent="0.35">
      <c r="A696" s="1">
        <v>43845</v>
      </c>
      <c r="B696">
        <v>1393.305908</v>
      </c>
      <c r="C696">
        <f t="shared" si="110"/>
        <v>-3.6289014509299777E-3</v>
      </c>
      <c r="D696">
        <v>2226.8999020000001</v>
      </c>
      <c r="E696">
        <f t="shared" si="111"/>
        <v>9.0624862422963304E-3</v>
      </c>
      <c r="F696">
        <v>1284.25</v>
      </c>
      <c r="G696">
        <f t="shared" si="112"/>
        <v>-4.0713454827452367E-3</v>
      </c>
      <c r="H696">
        <v>459.22799680000003</v>
      </c>
      <c r="I696">
        <f t="shared" si="113"/>
        <v>-3.195897521482971E-3</v>
      </c>
      <c r="J696">
        <v>767.54998780000005</v>
      </c>
      <c r="K696">
        <f t="shared" si="114"/>
        <v>-1.0442901237920688E-2</v>
      </c>
      <c r="L696">
        <v>242.3999939</v>
      </c>
      <c r="M696">
        <f t="shared" si="115"/>
        <v>-3.4943724563206713E-3</v>
      </c>
      <c r="N696">
        <v>449.0499878</v>
      </c>
      <c r="O696">
        <f t="shared" si="116"/>
        <v>6.8385376681614485E-3</v>
      </c>
      <c r="P696">
        <v>124.6500015</v>
      </c>
      <c r="Q696">
        <f t="shared" si="117"/>
        <v>-3.1987332273804014E-3</v>
      </c>
      <c r="R696">
        <v>200.3500061</v>
      </c>
      <c r="S696">
        <f t="shared" si="118"/>
        <v>2.297676721900288E-2</v>
      </c>
      <c r="T696">
        <v>1933.5500489999999</v>
      </c>
      <c r="U696">
        <f t="shared" si="119"/>
        <v>1.4502390262851605E-3</v>
      </c>
      <c r="W696">
        <f t="shared" si="120"/>
        <v>1.2295878778965871E-3</v>
      </c>
      <c r="X696">
        <v>-1.2683836745200682E-3</v>
      </c>
    </row>
    <row r="697" spans="1:24" x14ac:dyDescent="0.35">
      <c r="A697" s="1">
        <v>43846</v>
      </c>
      <c r="B697">
        <v>1406.1522219999999</v>
      </c>
      <c r="C697">
        <f t="shared" si="110"/>
        <v>9.2200240638036224E-3</v>
      </c>
      <c r="D697">
        <v>2238.8000489999999</v>
      </c>
      <c r="E697">
        <f t="shared" si="111"/>
        <v>5.3438176495099743E-3</v>
      </c>
      <c r="F697">
        <v>1287.650024</v>
      </c>
      <c r="G697">
        <f t="shared" si="112"/>
        <v>2.647478294724559E-3</v>
      </c>
      <c r="H697">
        <v>465.16650390000001</v>
      </c>
      <c r="I697">
        <f t="shared" si="113"/>
        <v>1.2931500564819176E-2</v>
      </c>
      <c r="J697">
        <v>767</v>
      </c>
      <c r="K697">
        <f t="shared" si="114"/>
        <v>-7.1654981270530271E-4</v>
      </c>
      <c r="L697">
        <v>240.75</v>
      </c>
      <c r="M697">
        <f t="shared" si="115"/>
        <v>-6.8069056993487198E-3</v>
      </c>
      <c r="N697">
        <v>449.0499878</v>
      </c>
      <c r="O697">
        <f t="shared" si="116"/>
        <v>0</v>
      </c>
      <c r="P697">
        <v>124.5</v>
      </c>
      <c r="Q697">
        <f t="shared" si="117"/>
        <v>-1.2033814536296372E-3</v>
      </c>
      <c r="R697">
        <v>197.5500031</v>
      </c>
      <c r="S697">
        <f t="shared" si="118"/>
        <v>-1.3975557348385848E-2</v>
      </c>
      <c r="T697">
        <v>1946.0500489999999</v>
      </c>
      <c r="U697">
        <f t="shared" si="119"/>
        <v>6.4647925749141688E-3</v>
      </c>
      <c r="W697">
        <f t="shared" si="120"/>
        <v>1.3905218833701995E-3</v>
      </c>
      <c r="X697">
        <v>-1.2633826472538525E-3</v>
      </c>
    </row>
    <row r="698" spans="1:24" x14ac:dyDescent="0.35">
      <c r="A698" s="1">
        <v>43847</v>
      </c>
      <c r="B698">
        <v>1445.5600589999999</v>
      </c>
      <c r="C698">
        <f t="shared" si="110"/>
        <v>2.8025299383269697E-2</v>
      </c>
      <c r="D698">
        <v>2219.1000979999999</v>
      </c>
      <c r="E698">
        <f t="shared" si="111"/>
        <v>-8.7993347189712079E-3</v>
      </c>
      <c r="F698">
        <v>1278.150024</v>
      </c>
      <c r="G698">
        <f t="shared" si="112"/>
        <v>-7.3777810918598252E-3</v>
      </c>
      <c r="H698">
        <v>490.83459470000003</v>
      </c>
      <c r="I698">
        <f t="shared" si="113"/>
        <v>5.5180436649664877E-2</v>
      </c>
      <c r="J698">
        <v>767.84997559999999</v>
      </c>
      <c r="K698">
        <f t="shared" si="114"/>
        <v>1.1081820078227E-3</v>
      </c>
      <c r="L698">
        <v>239.9499969</v>
      </c>
      <c r="M698">
        <f t="shared" si="115"/>
        <v>-3.3229619937694688E-3</v>
      </c>
      <c r="N698">
        <v>454.60000609999997</v>
      </c>
      <c r="O698">
        <f t="shared" si="116"/>
        <v>1.2359466542223529E-2</v>
      </c>
      <c r="P698">
        <v>125.4000015</v>
      </c>
      <c r="Q698">
        <f t="shared" si="117"/>
        <v>7.2289277108434913E-3</v>
      </c>
      <c r="R698">
        <v>197.3000031</v>
      </c>
      <c r="S698">
        <f t="shared" si="118"/>
        <v>-1.2655023845959956E-3</v>
      </c>
      <c r="T698">
        <v>1990.5500489999999</v>
      </c>
      <c r="U698">
        <f t="shared" si="119"/>
        <v>2.2866832239420987E-2</v>
      </c>
      <c r="W698">
        <f t="shared" si="120"/>
        <v>1.060035643440488E-2</v>
      </c>
      <c r="X698">
        <v>-1.2288572246502703E-3</v>
      </c>
    </row>
    <row r="699" spans="1:24" x14ac:dyDescent="0.35">
      <c r="A699" s="1">
        <v>43850</v>
      </c>
      <c r="B699">
        <v>1401.077759</v>
      </c>
      <c r="C699">
        <f t="shared" si="110"/>
        <v>-3.0771672005638795E-2</v>
      </c>
      <c r="D699">
        <v>2170.3500979999999</v>
      </c>
      <c r="E699">
        <f t="shared" si="111"/>
        <v>-2.1968364583434874E-2</v>
      </c>
      <c r="F699">
        <v>1254.900024</v>
      </c>
      <c r="G699">
        <f t="shared" si="112"/>
        <v>-1.8190352903361573E-2</v>
      </c>
      <c r="H699">
        <v>499.32516479999998</v>
      </c>
      <c r="I699">
        <f t="shared" si="113"/>
        <v>1.7298230792369917E-2</v>
      </c>
      <c r="J699">
        <v>768.45001219999995</v>
      </c>
      <c r="K699">
        <f t="shared" si="114"/>
        <v>7.8145030809051441E-4</v>
      </c>
      <c r="L699">
        <v>241.8999939</v>
      </c>
      <c r="M699">
        <f t="shared" si="115"/>
        <v>8.1266806634412436E-3</v>
      </c>
      <c r="N699">
        <v>449.4500122</v>
      </c>
      <c r="O699">
        <f t="shared" si="116"/>
        <v>-1.1328626992730628E-2</v>
      </c>
      <c r="P699">
        <v>122.9000015</v>
      </c>
      <c r="Q699">
        <f t="shared" si="117"/>
        <v>-1.993620390825912E-2</v>
      </c>
      <c r="R699">
        <v>195</v>
      </c>
      <c r="S699">
        <f t="shared" si="118"/>
        <v>-1.1657390085464181E-2</v>
      </c>
      <c r="T699">
        <v>1936.650024</v>
      </c>
      <c r="U699">
        <f t="shared" si="119"/>
        <v>-2.7077955174790946E-2</v>
      </c>
      <c r="W699">
        <f t="shared" si="120"/>
        <v>-1.1472420388977845E-2</v>
      </c>
      <c r="X699">
        <v>-1.2246850848981695E-3</v>
      </c>
    </row>
    <row r="700" spans="1:24" x14ac:dyDescent="0.35">
      <c r="A700" s="1">
        <v>43851</v>
      </c>
      <c r="B700">
        <v>1402.494995</v>
      </c>
      <c r="C700">
        <f t="shared" si="110"/>
        <v>1.0115327225033166E-3</v>
      </c>
      <c r="D700">
        <v>2171.0500489999999</v>
      </c>
      <c r="E700">
        <f t="shared" si="111"/>
        <v>3.2250603284933455E-4</v>
      </c>
      <c r="F700">
        <v>1244.349976</v>
      </c>
      <c r="G700">
        <f t="shared" si="112"/>
        <v>-8.4070824752809914E-3</v>
      </c>
      <c r="H700">
        <v>502.31896970000003</v>
      </c>
      <c r="I700">
        <f t="shared" si="113"/>
        <v>5.9957020215457568E-3</v>
      </c>
      <c r="J700">
        <v>762.5</v>
      </c>
      <c r="K700">
        <f t="shared" si="114"/>
        <v>-7.7428747550742916E-3</v>
      </c>
      <c r="L700">
        <v>238.4499969</v>
      </c>
      <c r="M700">
        <f t="shared" si="115"/>
        <v>-1.4262079731288457E-2</v>
      </c>
      <c r="N700">
        <v>447.39999390000003</v>
      </c>
      <c r="O700">
        <f t="shared" si="116"/>
        <v>-4.5611708629518244E-3</v>
      </c>
      <c r="P700">
        <v>122.75</v>
      </c>
      <c r="Q700">
        <f t="shared" si="117"/>
        <v>-1.2205166653314059E-3</v>
      </c>
      <c r="R700">
        <v>191.3999939</v>
      </c>
      <c r="S700">
        <f t="shared" si="118"/>
        <v>-1.8461569743589701E-2</v>
      </c>
      <c r="T700">
        <v>1912.349976</v>
      </c>
      <c r="U700">
        <f t="shared" si="119"/>
        <v>-1.2547464796871299E-2</v>
      </c>
      <c r="W700">
        <f t="shared" si="120"/>
        <v>-5.9873018253489563E-3</v>
      </c>
      <c r="X700">
        <v>-1.2222692805715972E-3</v>
      </c>
    </row>
    <row r="701" spans="1:24" x14ac:dyDescent="0.35">
      <c r="A701" s="1">
        <v>43852</v>
      </c>
      <c r="B701">
        <v>1401.9920649999999</v>
      </c>
      <c r="C701">
        <f t="shared" si="110"/>
        <v>-3.5859664511683764E-4</v>
      </c>
      <c r="D701">
        <v>2206.8999020000001</v>
      </c>
      <c r="E701">
        <f t="shared" si="111"/>
        <v>1.6512679206319048E-2</v>
      </c>
      <c r="F701">
        <v>1240.849976</v>
      </c>
      <c r="G701">
        <f t="shared" si="112"/>
        <v>-2.812713519110499E-3</v>
      </c>
      <c r="H701">
        <v>505.01828</v>
      </c>
      <c r="I701">
        <f t="shared" si="113"/>
        <v>5.3736977156408905E-3</v>
      </c>
      <c r="J701">
        <v>770.20001219999995</v>
      </c>
      <c r="K701">
        <f t="shared" si="114"/>
        <v>1.0098376655737651E-2</v>
      </c>
      <c r="L701">
        <v>238.0500031</v>
      </c>
      <c r="M701">
        <f t="shared" si="115"/>
        <v>-1.6774745447690753E-3</v>
      </c>
      <c r="N701">
        <v>446.2999878</v>
      </c>
      <c r="O701">
        <f t="shared" si="116"/>
        <v>-2.4586636455026234E-3</v>
      </c>
      <c r="P701">
        <v>116.4000015</v>
      </c>
      <c r="Q701">
        <f t="shared" si="117"/>
        <v>-5.1731148676171013E-2</v>
      </c>
      <c r="R701">
        <v>185.6000061</v>
      </c>
      <c r="S701">
        <f t="shared" si="118"/>
        <v>-3.0302967527942037E-2</v>
      </c>
      <c r="T701">
        <v>1914.6999510000001</v>
      </c>
      <c r="U701">
        <f t="shared" si="119"/>
        <v>1.2288414931849179E-3</v>
      </c>
      <c r="W701">
        <f t="shared" si="120"/>
        <v>-5.6127969487729584E-3</v>
      </c>
      <c r="X701">
        <v>-1.1907817777928153E-3</v>
      </c>
    </row>
    <row r="702" spans="1:24" x14ac:dyDescent="0.35">
      <c r="A702" s="1">
        <v>43853</v>
      </c>
      <c r="B702">
        <v>1396.0489500000001</v>
      </c>
      <c r="C702">
        <f t="shared" si="110"/>
        <v>-4.2390503829277115E-3</v>
      </c>
      <c r="D702">
        <v>2190.9499510000001</v>
      </c>
      <c r="E702">
        <f t="shared" si="111"/>
        <v>-7.2273105751400335E-3</v>
      </c>
      <c r="F702">
        <v>1244.849976</v>
      </c>
      <c r="G702">
        <f t="shared" si="112"/>
        <v>3.2235967903988527E-3</v>
      </c>
      <c r="H702">
        <v>513.99963379999997</v>
      </c>
      <c r="I702">
        <f t="shared" si="113"/>
        <v>1.7784215256524849E-2</v>
      </c>
      <c r="J702">
        <v>784.34997559999999</v>
      </c>
      <c r="K702">
        <f t="shared" si="114"/>
        <v>1.8371803656016761E-2</v>
      </c>
      <c r="L702">
        <v>237.8999939</v>
      </c>
      <c r="M702">
        <f t="shared" si="115"/>
        <v>-6.3015836188407004E-4</v>
      </c>
      <c r="N702">
        <v>449.85000609999997</v>
      </c>
      <c r="O702">
        <f t="shared" si="116"/>
        <v>7.9543320570083509E-3</v>
      </c>
      <c r="P702">
        <v>117.8000031</v>
      </c>
      <c r="Q702">
        <f t="shared" si="117"/>
        <v>1.2027504999645444E-2</v>
      </c>
      <c r="R702">
        <v>188.3999939</v>
      </c>
      <c r="S702">
        <f t="shared" si="118"/>
        <v>1.5086140667966319E-2</v>
      </c>
      <c r="T702">
        <v>1924.6999510000001</v>
      </c>
      <c r="U702">
        <f t="shared" si="119"/>
        <v>5.222750433966139E-3</v>
      </c>
      <c r="W702">
        <f t="shared" si="120"/>
        <v>6.7573824541574895E-3</v>
      </c>
      <c r="X702">
        <v>-1.1772204858499944E-3</v>
      </c>
    </row>
    <row r="703" spans="1:24" x14ac:dyDescent="0.35">
      <c r="A703" s="1">
        <v>43854</v>
      </c>
      <c r="B703">
        <v>1391.2030030000001</v>
      </c>
      <c r="C703">
        <f t="shared" si="110"/>
        <v>-3.4711870239220177E-3</v>
      </c>
      <c r="D703">
        <v>2183.3999020000001</v>
      </c>
      <c r="E703">
        <f t="shared" si="111"/>
        <v>-3.4460161888015817E-3</v>
      </c>
      <c r="F703">
        <v>1244.5500489999999</v>
      </c>
      <c r="G703">
        <f t="shared" si="112"/>
        <v>-2.4093425375137922E-4</v>
      </c>
      <c r="H703">
        <v>514.58862299999998</v>
      </c>
      <c r="I703">
        <f t="shared" si="113"/>
        <v>1.1458942016078222E-3</v>
      </c>
      <c r="J703">
        <v>782.75</v>
      </c>
      <c r="K703">
        <f t="shared" si="114"/>
        <v>-2.0398746092598063E-3</v>
      </c>
      <c r="L703">
        <v>238.1499939</v>
      </c>
      <c r="M703">
        <f t="shared" si="115"/>
        <v>1.050861733544517E-3</v>
      </c>
      <c r="N703">
        <v>447.7999878</v>
      </c>
      <c r="O703">
        <f t="shared" si="116"/>
        <v>-4.5571151988476055E-3</v>
      </c>
      <c r="P703">
        <v>118.3499985</v>
      </c>
      <c r="Q703">
        <f t="shared" si="117"/>
        <v>4.6688912183907583E-3</v>
      </c>
      <c r="R703">
        <v>186.5</v>
      </c>
      <c r="S703">
        <f t="shared" si="118"/>
        <v>-1.0084893638629744E-2</v>
      </c>
      <c r="T703">
        <v>1948.599976</v>
      </c>
      <c r="U703">
        <f t="shared" si="119"/>
        <v>1.2417532918615359E-2</v>
      </c>
      <c r="W703">
        <f t="shared" si="120"/>
        <v>-4.5568408410536789E-4</v>
      </c>
      <c r="X703">
        <v>-1.1595262816923024E-3</v>
      </c>
    </row>
    <row r="704" spans="1:24" x14ac:dyDescent="0.35">
      <c r="A704" s="1">
        <v>43857</v>
      </c>
      <c r="B704">
        <v>1377.4879149999999</v>
      </c>
      <c r="C704">
        <f t="shared" si="110"/>
        <v>-9.8584376043070465E-3</v>
      </c>
      <c r="D704">
        <v>2169.25</v>
      </c>
      <c r="E704">
        <f t="shared" si="111"/>
        <v>-6.4806735527646042E-3</v>
      </c>
      <c r="F704">
        <v>1213.1999510000001</v>
      </c>
      <c r="G704">
        <f t="shared" si="112"/>
        <v>-2.5189905400100021E-2</v>
      </c>
      <c r="H704">
        <v>504.92013550000001</v>
      </c>
      <c r="I704">
        <f t="shared" si="113"/>
        <v>-1.8788770423321166E-2</v>
      </c>
      <c r="J704">
        <v>778.09997559999999</v>
      </c>
      <c r="K704">
        <f t="shared" si="114"/>
        <v>-5.9406252315554742E-3</v>
      </c>
      <c r="L704">
        <v>234.6000061</v>
      </c>
      <c r="M704">
        <f t="shared" si="115"/>
        <v>-1.4906520642157362E-2</v>
      </c>
      <c r="N704">
        <v>448.39999390000003</v>
      </c>
      <c r="O704">
        <f t="shared" si="116"/>
        <v>1.3398975353879905E-3</v>
      </c>
      <c r="P704">
        <v>117.25</v>
      </c>
      <c r="Q704">
        <f t="shared" si="117"/>
        <v>-9.2944530117590185E-3</v>
      </c>
      <c r="R704">
        <v>182.1999969</v>
      </c>
      <c r="S704">
        <f t="shared" si="118"/>
        <v>-2.3056316890080364E-2</v>
      </c>
      <c r="T704">
        <v>1951.5</v>
      </c>
      <c r="U704">
        <f t="shared" si="119"/>
        <v>1.4882603077688294E-3</v>
      </c>
      <c r="W704">
        <f t="shared" si="120"/>
        <v>-1.1068754491288826E-2</v>
      </c>
      <c r="X704">
        <v>-1.143089857484869E-3</v>
      </c>
    </row>
    <row r="705" spans="1:24" x14ac:dyDescent="0.35">
      <c r="A705" s="1">
        <v>43858</v>
      </c>
      <c r="B705">
        <v>1345.669189</v>
      </c>
      <c r="C705">
        <f t="shared" si="110"/>
        <v>-2.3099096299512678E-2</v>
      </c>
      <c r="D705">
        <v>2183.75</v>
      </c>
      <c r="E705">
        <f t="shared" si="111"/>
        <v>6.684337904805826E-3</v>
      </c>
      <c r="F705">
        <v>1223.1999510000001</v>
      </c>
      <c r="G705">
        <f t="shared" si="112"/>
        <v>8.2426643619275541E-3</v>
      </c>
      <c r="H705">
        <v>482.19674680000003</v>
      </c>
      <c r="I705">
        <f t="shared" si="113"/>
        <v>-4.5003926566521302E-2</v>
      </c>
      <c r="J705">
        <v>778</v>
      </c>
      <c r="K705">
        <f t="shared" si="114"/>
        <v>-1.2848683091515323E-4</v>
      </c>
      <c r="L705">
        <v>230.75</v>
      </c>
      <c r="M705">
        <f t="shared" si="115"/>
        <v>-1.6410937765956035E-2</v>
      </c>
      <c r="N705">
        <v>452.89999390000003</v>
      </c>
      <c r="O705">
        <f t="shared" si="116"/>
        <v>1.0035682562929749E-2</v>
      </c>
      <c r="P705">
        <v>116.5999985</v>
      </c>
      <c r="Q705">
        <f t="shared" si="117"/>
        <v>-5.543722814498997E-3</v>
      </c>
      <c r="R705">
        <v>176.1000061</v>
      </c>
      <c r="S705">
        <f t="shared" si="118"/>
        <v>-3.3479642721113589E-2</v>
      </c>
      <c r="T705">
        <v>1930.4499510000001</v>
      </c>
      <c r="U705">
        <f t="shared" si="119"/>
        <v>-1.0786599538816222E-2</v>
      </c>
      <c r="W705">
        <f t="shared" si="120"/>
        <v>-1.0948972770767085E-2</v>
      </c>
      <c r="X705">
        <v>-1.1403302030519092E-3</v>
      </c>
    </row>
    <row r="706" spans="1:24" x14ac:dyDescent="0.35">
      <c r="A706" s="1">
        <v>43859</v>
      </c>
      <c r="B706">
        <v>1353.075317</v>
      </c>
      <c r="C706">
        <f t="shared" si="110"/>
        <v>5.5036765800544618E-3</v>
      </c>
      <c r="D706">
        <v>2154.6000979999999</v>
      </c>
      <c r="E706">
        <f t="shared" si="111"/>
        <v>-1.334855271894686E-2</v>
      </c>
      <c r="F706">
        <v>1235.849976</v>
      </c>
      <c r="G706">
        <f t="shared" si="112"/>
        <v>1.0341747471178442E-2</v>
      </c>
      <c r="H706">
        <v>481.21517940000001</v>
      </c>
      <c r="I706">
        <f t="shared" si="113"/>
        <v>-2.0356159731769186E-3</v>
      </c>
      <c r="J706">
        <v>789.70001219999995</v>
      </c>
      <c r="K706">
        <f t="shared" si="114"/>
        <v>1.5038576092544886E-2</v>
      </c>
      <c r="L706">
        <v>236.6499939</v>
      </c>
      <c r="M706">
        <f t="shared" si="115"/>
        <v>2.5568770964246923E-2</v>
      </c>
      <c r="N706">
        <v>450.10000609999997</v>
      </c>
      <c r="O706">
        <f t="shared" si="116"/>
        <v>-6.1823533621382376E-3</v>
      </c>
      <c r="P706">
        <v>117.6500015</v>
      </c>
      <c r="Q706">
        <f t="shared" si="117"/>
        <v>9.0051716424335293E-3</v>
      </c>
      <c r="R706">
        <v>188.0500031</v>
      </c>
      <c r="S706">
        <f t="shared" si="118"/>
        <v>6.7859151539234386E-2</v>
      </c>
      <c r="T706">
        <v>1974.650024</v>
      </c>
      <c r="U706">
        <f t="shared" si="119"/>
        <v>2.2896254304393571E-2</v>
      </c>
      <c r="W706">
        <f t="shared" si="120"/>
        <v>1.3464682653982419E-2</v>
      </c>
      <c r="X706">
        <v>-1.1251649838613157E-3</v>
      </c>
    </row>
    <row r="707" spans="1:24" x14ac:dyDescent="0.35">
      <c r="A707" s="1">
        <v>43860</v>
      </c>
      <c r="B707">
        <v>1320.067871</v>
      </c>
      <c r="C707">
        <f t="shared" si="110"/>
        <v>-2.4394389274045136E-2</v>
      </c>
      <c r="D707">
        <v>2137.8500979999999</v>
      </c>
      <c r="E707">
        <f t="shared" si="111"/>
        <v>-7.7740644380124291E-3</v>
      </c>
      <c r="F707">
        <v>1226.0500489999999</v>
      </c>
      <c r="G707">
        <f t="shared" si="112"/>
        <v>-7.9297060244470918E-3</v>
      </c>
      <c r="H707">
        <v>480.77346799999998</v>
      </c>
      <c r="I707">
        <f t="shared" si="113"/>
        <v>-9.1790828491900012E-4</v>
      </c>
      <c r="J707">
        <v>780.70001219999995</v>
      </c>
      <c r="K707">
        <f t="shared" si="114"/>
        <v>-1.1396732760491135E-2</v>
      </c>
      <c r="L707">
        <v>234.0500031</v>
      </c>
      <c r="M707">
        <f t="shared" si="115"/>
        <v>-1.0986650610684823E-2</v>
      </c>
      <c r="N707">
        <v>442.10000609999997</v>
      </c>
      <c r="O707">
        <f t="shared" si="116"/>
        <v>-1.7773827797333164E-2</v>
      </c>
      <c r="P707">
        <v>115.5999985</v>
      </c>
      <c r="Q707">
        <f t="shared" si="117"/>
        <v>-1.7424589663094903E-2</v>
      </c>
      <c r="R707">
        <v>186.1999969</v>
      </c>
      <c r="S707">
        <f t="shared" si="118"/>
        <v>-9.8378419011043716E-3</v>
      </c>
      <c r="T707">
        <v>2051.3000489999999</v>
      </c>
      <c r="U707">
        <f t="shared" si="119"/>
        <v>3.8817017733973946E-2</v>
      </c>
      <c r="W707">
        <f t="shared" si="120"/>
        <v>-6.9618693020158107E-3</v>
      </c>
      <c r="X707">
        <v>-1.1154457143326634E-3</v>
      </c>
    </row>
    <row r="708" spans="1:24" x14ac:dyDescent="0.35">
      <c r="A708" s="1">
        <v>43861</v>
      </c>
      <c r="B708">
        <v>1290.7177730000001</v>
      </c>
      <c r="C708">
        <f t="shared" ref="C708:C771" si="121">B708/B707 - 1</f>
        <v>-2.2233779523598396E-2</v>
      </c>
      <c r="D708">
        <v>2079.0500489999999</v>
      </c>
      <c r="E708">
        <f t="shared" ref="E708:E771" si="122">D708/D707 - 1</f>
        <v>-2.7504289966358453E-2</v>
      </c>
      <c r="F708">
        <v>1226.3000489999999</v>
      </c>
      <c r="G708">
        <f t="shared" ref="G708:G771" si="123">F708/F707 - 1</f>
        <v>2.0390684719928664E-4</v>
      </c>
      <c r="H708">
        <v>487.3009338</v>
      </c>
      <c r="I708">
        <f t="shared" ref="I708:I771" si="124">H708/H707 - 1</f>
        <v>1.3577009203844081E-2</v>
      </c>
      <c r="J708">
        <v>775.95001219999995</v>
      </c>
      <c r="K708">
        <f t="shared" ref="K708:K771" si="125">J708/J707 -1</f>
        <v>-6.0842832403891212E-3</v>
      </c>
      <c r="L708">
        <v>235.1499939</v>
      </c>
      <c r="M708">
        <f t="shared" ref="M708:M771" si="126">L708/L707 -1</f>
        <v>4.6998110892142453E-3</v>
      </c>
      <c r="N708">
        <v>434.2999878</v>
      </c>
      <c r="O708">
        <f t="shared" ref="O708:O771" si="127">N708/N707-1</f>
        <v>-1.7643108329285284E-2</v>
      </c>
      <c r="P708">
        <v>108.9499969</v>
      </c>
      <c r="Q708">
        <f t="shared" ref="Q708:Q771" si="128">P708/P707 -1</f>
        <v>-5.7525966144368001E-2</v>
      </c>
      <c r="R708">
        <v>176.6000061</v>
      </c>
      <c r="S708">
        <f t="shared" ref="S708:S771" si="129">R708/R707 - 1</f>
        <v>-5.1557416540429557E-2</v>
      </c>
      <c r="T708">
        <v>2133.9499510000001</v>
      </c>
      <c r="U708">
        <f t="shared" ref="U708:U771" si="130">T708/T707 - 1</f>
        <v>4.0291473712142478E-2</v>
      </c>
      <c r="W708">
        <f t="shared" ref="W708:W771" si="131">0.1*C708+0.1*E708+0.1*G708+0.1*I708+0.1*K708+0.1*M708+0.1*O708+0.1*Q708+0.1*S708+0.1*U708</f>
        <v>-1.2377664289202873E-2</v>
      </c>
      <c r="X708">
        <v>-1.1146561629057695E-3</v>
      </c>
    </row>
    <row r="709" spans="1:24" x14ac:dyDescent="0.35">
      <c r="A709" s="1">
        <v>43864</v>
      </c>
      <c r="B709">
        <v>1266.8079829999999</v>
      </c>
      <c r="C709">
        <f t="shared" si="121"/>
        <v>-1.852441370232849E-2</v>
      </c>
      <c r="D709">
        <v>2102.5</v>
      </c>
      <c r="E709">
        <f t="shared" si="122"/>
        <v>1.1279166180380829E-2</v>
      </c>
      <c r="F709">
        <v>1192.8000489999999</v>
      </c>
      <c r="G709">
        <f t="shared" si="123"/>
        <v>-2.7317947208204019E-2</v>
      </c>
      <c r="H709">
        <v>500.65029909999998</v>
      </c>
      <c r="I709">
        <f t="shared" si="124"/>
        <v>2.739449973120478E-2</v>
      </c>
      <c r="J709">
        <v>767.40002440000001</v>
      </c>
      <c r="K709">
        <f t="shared" si="125"/>
        <v>-1.1018735312289918E-2</v>
      </c>
      <c r="L709">
        <v>207.6000061</v>
      </c>
      <c r="M709">
        <f t="shared" si="126"/>
        <v>-0.11715921120421513</v>
      </c>
      <c r="N709">
        <v>417.5499878</v>
      </c>
      <c r="O709">
        <f t="shared" si="127"/>
        <v>-3.8567811352814396E-2</v>
      </c>
      <c r="P709">
        <v>103.4499969</v>
      </c>
      <c r="Q709">
        <f t="shared" si="128"/>
        <v>-5.0481873854922532E-2</v>
      </c>
      <c r="R709">
        <v>163.8500061</v>
      </c>
      <c r="S709">
        <f t="shared" si="129"/>
        <v>-7.2197052998856037E-2</v>
      </c>
      <c r="T709">
        <v>2131.6499020000001</v>
      </c>
      <c r="U709">
        <f t="shared" si="130"/>
        <v>-1.0778364314131261E-3</v>
      </c>
      <c r="W709">
        <f t="shared" si="131"/>
        <v>-2.9767121615345803E-2</v>
      </c>
      <c r="X709">
        <v>-1.0957006004126974E-3</v>
      </c>
    </row>
    <row r="710" spans="1:24" x14ac:dyDescent="0.35">
      <c r="A710" s="1">
        <v>43865</v>
      </c>
      <c r="B710">
        <v>1304.2042240000001</v>
      </c>
      <c r="C710">
        <f t="shared" si="121"/>
        <v>2.9520054737451229E-2</v>
      </c>
      <c r="D710">
        <v>2107.75</v>
      </c>
      <c r="E710">
        <f t="shared" si="122"/>
        <v>2.4970273483948535E-3</v>
      </c>
      <c r="F710">
        <v>1229.8000489999999</v>
      </c>
      <c r="G710">
        <f t="shared" si="123"/>
        <v>3.1019448759261437E-2</v>
      </c>
      <c r="H710">
        <v>509.33718870000001</v>
      </c>
      <c r="I710">
        <f t="shared" si="124"/>
        <v>1.7351212244586911E-2</v>
      </c>
      <c r="J710">
        <v>787.84997559999999</v>
      </c>
      <c r="K710">
        <f t="shared" si="125"/>
        <v>2.6648358808678774E-2</v>
      </c>
      <c r="L710">
        <v>215.6499939</v>
      </c>
      <c r="M710">
        <f t="shared" si="126"/>
        <v>3.8776433350018014E-2</v>
      </c>
      <c r="N710">
        <v>425.64999390000003</v>
      </c>
      <c r="O710">
        <f t="shared" si="127"/>
        <v>1.9398889562127763E-2</v>
      </c>
      <c r="P710">
        <v>106.1500015</v>
      </c>
      <c r="Q710">
        <f t="shared" si="128"/>
        <v>2.6099610255280625E-2</v>
      </c>
      <c r="R710">
        <v>165.6999969</v>
      </c>
      <c r="S710">
        <f t="shared" si="129"/>
        <v>1.1290758200344087E-2</v>
      </c>
      <c r="T710">
        <v>2155.3000489999999</v>
      </c>
      <c r="U710">
        <f t="shared" si="130"/>
        <v>1.1094761376063911E-2</v>
      </c>
      <c r="W710">
        <f t="shared" si="131"/>
        <v>2.136965546422076E-2</v>
      </c>
      <c r="X710">
        <v>-1.0917028168451967E-3</v>
      </c>
    </row>
    <row r="711" spans="1:24" x14ac:dyDescent="0.35">
      <c r="A711" s="1">
        <v>43866</v>
      </c>
      <c r="B711">
        <v>1324.410889</v>
      </c>
      <c r="C711">
        <f t="shared" si="121"/>
        <v>1.5493482253895685E-2</v>
      </c>
      <c r="D711">
        <v>2146.5500489999999</v>
      </c>
      <c r="E711">
        <f t="shared" si="122"/>
        <v>1.8408278496026442E-2</v>
      </c>
      <c r="F711">
        <v>1244.650024</v>
      </c>
      <c r="G711">
        <f t="shared" si="123"/>
        <v>1.207511335852951E-2</v>
      </c>
      <c r="H711">
        <v>523.52087400000005</v>
      </c>
      <c r="I711">
        <f t="shared" si="124"/>
        <v>2.7847338884092743E-2</v>
      </c>
      <c r="J711">
        <v>784.54998780000005</v>
      </c>
      <c r="K711">
        <f t="shared" si="125"/>
        <v>-4.1885992285355389E-3</v>
      </c>
      <c r="L711">
        <v>216.4499969</v>
      </c>
      <c r="M711">
        <f t="shared" si="126"/>
        <v>3.7097288320395716E-3</v>
      </c>
      <c r="N711">
        <v>426.25</v>
      </c>
      <c r="O711">
        <f t="shared" si="127"/>
        <v>1.4096231847731122E-3</v>
      </c>
      <c r="P711">
        <v>106.8000031</v>
      </c>
      <c r="Q711">
        <f t="shared" si="128"/>
        <v>6.1234252549680068E-3</v>
      </c>
      <c r="R711">
        <v>183.75</v>
      </c>
      <c r="S711">
        <f t="shared" si="129"/>
        <v>0.10893182521236366</v>
      </c>
      <c r="T711">
        <v>2248.8999020000001</v>
      </c>
      <c r="U711">
        <f t="shared" si="130"/>
        <v>4.342775988124159E-2</v>
      </c>
      <c r="W711">
        <f t="shared" si="131"/>
        <v>2.3323797612939481E-2</v>
      </c>
      <c r="X711">
        <v>-1.090116956963916E-3</v>
      </c>
    </row>
    <row r="712" spans="1:24" x14ac:dyDescent="0.35">
      <c r="A712" s="1">
        <v>43867</v>
      </c>
      <c r="B712">
        <v>1332.9141850000001</v>
      </c>
      <c r="C712">
        <f t="shared" si="121"/>
        <v>6.4204364903859279E-3</v>
      </c>
      <c r="D712">
        <v>2128.3500979999999</v>
      </c>
      <c r="E712">
        <f t="shared" si="122"/>
        <v>-8.4786986487823679E-3</v>
      </c>
      <c r="F712">
        <v>1239.8000489999999</v>
      </c>
      <c r="G712">
        <f t="shared" si="123"/>
        <v>-3.8966576197969616E-3</v>
      </c>
      <c r="H712">
        <v>536.72302249999996</v>
      </c>
      <c r="I712">
        <f t="shared" si="124"/>
        <v>2.5217998279854381E-2</v>
      </c>
      <c r="J712">
        <v>771.34997559999999</v>
      </c>
      <c r="K712">
        <f t="shared" si="125"/>
        <v>-1.6824947301337656E-2</v>
      </c>
      <c r="L712">
        <v>213.5500031</v>
      </c>
      <c r="M712">
        <f t="shared" si="126"/>
        <v>-1.3397984945870856E-2</v>
      </c>
      <c r="N712">
        <v>430.64999390000003</v>
      </c>
      <c r="O712">
        <f t="shared" si="127"/>
        <v>1.0322566334310945E-2</v>
      </c>
      <c r="P712">
        <v>107.25</v>
      </c>
      <c r="Q712">
        <f t="shared" si="128"/>
        <v>4.2134539975495766E-3</v>
      </c>
      <c r="R712">
        <v>178.8500061</v>
      </c>
      <c r="S712">
        <f t="shared" si="129"/>
        <v>-2.6666633469387802E-2</v>
      </c>
      <c r="T712">
        <v>2294.3500979999999</v>
      </c>
      <c r="U712">
        <f t="shared" si="130"/>
        <v>2.0209968420372926E-2</v>
      </c>
      <c r="W712">
        <f t="shared" si="131"/>
        <v>-2.8804984627018833E-4</v>
      </c>
      <c r="X712">
        <v>-1.0897768536117015E-3</v>
      </c>
    </row>
    <row r="713" spans="1:24" x14ac:dyDescent="0.35">
      <c r="A713" s="1">
        <v>43868</v>
      </c>
      <c r="B713">
        <v>1310.83313</v>
      </c>
      <c r="C713">
        <f t="shared" si="121"/>
        <v>-1.6565998958140038E-2</v>
      </c>
      <c r="D713">
        <v>2136.5500489999999</v>
      </c>
      <c r="E713">
        <f t="shared" si="122"/>
        <v>3.8527265827672519E-3</v>
      </c>
      <c r="F713">
        <v>1242.1999510000001</v>
      </c>
      <c r="G713">
        <f t="shared" si="123"/>
        <v>1.9357169746330172E-3</v>
      </c>
      <c r="H713">
        <v>529.50848389999999</v>
      </c>
      <c r="I713">
        <f t="shared" si="124"/>
        <v>-1.3441828089272967E-2</v>
      </c>
      <c r="J713">
        <v>777.29998780000005</v>
      </c>
      <c r="K713">
        <f t="shared" si="125"/>
        <v>7.7137646829790185E-3</v>
      </c>
      <c r="L713">
        <v>213.3999939</v>
      </c>
      <c r="M713">
        <f t="shared" si="126"/>
        <v>-7.0245468425378377E-4</v>
      </c>
      <c r="N713">
        <v>430.7999878</v>
      </c>
      <c r="O713">
        <f t="shared" si="127"/>
        <v>3.4829653343693145E-4</v>
      </c>
      <c r="P713">
        <v>109.25</v>
      </c>
      <c r="Q713">
        <f t="shared" si="128"/>
        <v>1.8648018648018683E-2</v>
      </c>
      <c r="R713">
        <v>173.6000061</v>
      </c>
      <c r="S713">
        <f t="shared" si="129"/>
        <v>-2.9354206435221353E-2</v>
      </c>
      <c r="T713">
        <v>2287.1999510000001</v>
      </c>
      <c r="U713">
        <f t="shared" si="130"/>
        <v>-3.116414973561632E-3</v>
      </c>
      <c r="W713">
        <f t="shared" si="131"/>
        <v>-3.0682379718614873E-3</v>
      </c>
      <c r="X713">
        <v>-1.0781040927221545E-3</v>
      </c>
    </row>
    <row r="714" spans="1:24" x14ac:dyDescent="0.35">
      <c r="A714" s="1">
        <v>43871</v>
      </c>
      <c r="B714">
        <v>1312.6160890000001</v>
      </c>
      <c r="C714">
        <f t="shared" si="121"/>
        <v>1.3601723661043064E-3</v>
      </c>
      <c r="D714">
        <v>2161.9499510000001</v>
      </c>
      <c r="E714">
        <f t="shared" si="122"/>
        <v>1.1888278494523563E-2</v>
      </c>
      <c r="F714">
        <v>1240.3000489999999</v>
      </c>
      <c r="G714">
        <f t="shared" si="123"/>
        <v>-1.5294655248301314E-3</v>
      </c>
      <c r="H714">
        <v>528.77227779999998</v>
      </c>
      <c r="I714">
        <f t="shared" si="124"/>
        <v>-1.3903575152897085E-3</v>
      </c>
      <c r="J714">
        <v>773.20001219999995</v>
      </c>
      <c r="K714">
        <f t="shared" si="125"/>
        <v>-5.2746374171499522E-3</v>
      </c>
      <c r="L714">
        <v>210.5500031</v>
      </c>
      <c r="M714">
        <f t="shared" si="126"/>
        <v>-1.3355158769758568E-2</v>
      </c>
      <c r="N714">
        <v>420.2999878</v>
      </c>
      <c r="O714">
        <f t="shared" si="127"/>
        <v>-2.4373259743161069E-2</v>
      </c>
      <c r="P714">
        <v>106.1999969</v>
      </c>
      <c r="Q714">
        <f t="shared" si="128"/>
        <v>-2.7917648512585824E-2</v>
      </c>
      <c r="R714">
        <v>168.8999939</v>
      </c>
      <c r="S714">
        <f t="shared" si="129"/>
        <v>-2.7073802044065731E-2</v>
      </c>
      <c r="T714">
        <v>2483.6499020000001</v>
      </c>
      <c r="U714">
        <f t="shared" si="130"/>
        <v>8.5891026236734946E-2</v>
      </c>
      <c r="W714">
        <f t="shared" si="131"/>
        <v>-1.7748524294781791E-4</v>
      </c>
      <c r="X714">
        <v>-1.0670986044668761E-3</v>
      </c>
    </row>
    <row r="715" spans="1:24" x14ac:dyDescent="0.35">
      <c r="A715" s="1">
        <v>43872</v>
      </c>
      <c r="B715">
        <v>1328.296875</v>
      </c>
      <c r="C715">
        <f t="shared" si="121"/>
        <v>1.1946208896423061E-2</v>
      </c>
      <c r="D715">
        <v>2153.3999020000001</v>
      </c>
      <c r="E715">
        <f t="shared" si="122"/>
        <v>-3.9547858154834747E-3</v>
      </c>
      <c r="F715">
        <v>1240.599976</v>
      </c>
      <c r="G715">
        <f t="shared" si="123"/>
        <v>2.4181809896872686E-4</v>
      </c>
      <c r="H715">
        <v>524.45336910000003</v>
      </c>
      <c r="I715">
        <f t="shared" si="124"/>
        <v>-8.1678047078586058E-3</v>
      </c>
      <c r="J715">
        <v>773.54998780000005</v>
      </c>
      <c r="K715">
        <f t="shared" si="125"/>
        <v>4.5263268815043389E-4</v>
      </c>
      <c r="L715">
        <v>212.6000061</v>
      </c>
      <c r="M715">
        <f t="shared" si="126"/>
        <v>9.736418759520804E-3</v>
      </c>
      <c r="N715">
        <v>418.5499878</v>
      </c>
      <c r="O715">
        <f t="shared" si="127"/>
        <v>-4.1636927213825059E-3</v>
      </c>
      <c r="P715">
        <v>106.8000031</v>
      </c>
      <c r="Q715">
        <f t="shared" si="128"/>
        <v>5.6497760594567126E-3</v>
      </c>
      <c r="R715">
        <v>169.75</v>
      </c>
      <c r="S715">
        <f t="shared" si="129"/>
        <v>5.0325999449309933E-3</v>
      </c>
      <c r="T715">
        <v>2394.5</v>
      </c>
      <c r="U715">
        <f t="shared" si="130"/>
        <v>-3.5894713634240794E-2</v>
      </c>
      <c r="W715">
        <f t="shared" si="131"/>
        <v>-1.9121542431514648E-3</v>
      </c>
      <c r="X715">
        <v>-1.0590561208421727E-3</v>
      </c>
    </row>
    <row r="716" spans="1:24" x14ac:dyDescent="0.35">
      <c r="A716" s="1">
        <v>43873</v>
      </c>
      <c r="B716">
        <v>1344.343384</v>
      </c>
      <c r="C716">
        <f t="shared" si="121"/>
        <v>1.2080514004070064E-2</v>
      </c>
      <c r="D716">
        <v>2170.75</v>
      </c>
      <c r="E716">
        <f t="shared" si="122"/>
        <v>8.0570719743628949E-3</v>
      </c>
      <c r="F716">
        <v>1249</v>
      </c>
      <c r="G716">
        <f t="shared" si="123"/>
        <v>6.7709367745465432E-3</v>
      </c>
      <c r="H716">
        <v>529.65570070000001</v>
      </c>
      <c r="I716">
        <f t="shared" si="124"/>
        <v>9.9195312805933078E-3</v>
      </c>
      <c r="J716">
        <v>781.04998780000005</v>
      </c>
      <c r="K716">
        <f t="shared" si="125"/>
        <v>9.6955595866923261E-3</v>
      </c>
      <c r="L716">
        <v>213.0500031</v>
      </c>
      <c r="M716">
        <f t="shared" si="126"/>
        <v>2.1166368160325799E-3</v>
      </c>
      <c r="N716">
        <v>414.60000609999997</v>
      </c>
      <c r="O716">
        <f t="shared" si="127"/>
        <v>-9.4372997614026177E-3</v>
      </c>
      <c r="P716">
        <v>106.6999969</v>
      </c>
      <c r="Q716">
        <f t="shared" si="128"/>
        <v>-9.3638761326964026E-4</v>
      </c>
      <c r="R716">
        <v>170.9499969</v>
      </c>
      <c r="S716">
        <f t="shared" si="129"/>
        <v>7.0692011782031994E-3</v>
      </c>
      <c r="T716">
        <v>2482.1499020000001</v>
      </c>
      <c r="U716">
        <f t="shared" si="130"/>
        <v>3.6604678220923059E-2</v>
      </c>
      <c r="W716">
        <f t="shared" si="131"/>
        <v>8.1940442460751734E-3</v>
      </c>
      <c r="X716">
        <v>-1.0419679546884279E-3</v>
      </c>
    </row>
    <row r="717" spans="1:24" x14ac:dyDescent="0.35">
      <c r="A717" s="1">
        <v>43874</v>
      </c>
      <c r="B717">
        <v>1347.863525</v>
      </c>
      <c r="C717">
        <f t="shared" si="121"/>
        <v>2.6184835228080239E-3</v>
      </c>
      <c r="D717">
        <v>2191.9499510000001</v>
      </c>
      <c r="E717">
        <f t="shared" si="122"/>
        <v>9.7661872624668078E-3</v>
      </c>
      <c r="F717">
        <v>1241.400024</v>
      </c>
      <c r="G717">
        <f t="shared" si="123"/>
        <v>-6.0848486789431E-3</v>
      </c>
      <c r="H717">
        <v>529.99926760000005</v>
      </c>
      <c r="I717">
        <f t="shared" si="124"/>
        <v>6.4866081785952545E-4</v>
      </c>
      <c r="J717">
        <v>792.25</v>
      </c>
      <c r="K717">
        <f t="shared" si="125"/>
        <v>1.4339686799749174E-2</v>
      </c>
      <c r="L717">
        <v>211.8999939</v>
      </c>
      <c r="M717">
        <f t="shared" si="126"/>
        <v>-5.3978370488932947E-3</v>
      </c>
      <c r="N717">
        <v>418.9500122</v>
      </c>
      <c r="O717">
        <f t="shared" si="127"/>
        <v>1.0492055079591056E-2</v>
      </c>
      <c r="P717">
        <v>105.3499985</v>
      </c>
      <c r="Q717">
        <f t="shared" si="128"/>
        <v>-1.265228152972897E-2</v>
      </c>
      <c r="R717">
        <v>169.5</v>
      </c>
      <c r="S717">
        <f t="shared" si="129"/>
        <v>-8.4819943041485324E-3</v>
      </c>
      <c r="T717">
        <v>2544.1499020000001</v>
      </c>
      <c r="U717">
        <f t="shared" si="130"/>
        <v>2.497834637224905E-2</v>
      </c>
      <c r="W717">
        <f t="shared" si="131"/>
        <v>3.0226458293009743E-3</v>
      </c>
      <c r="X717">
        <v>-1.0246203577628731E-3</v>
      </c>
    </row>
    <row r="718" spans="1:24" x14ac:dyDescent="0.35">
      <c r="A718" s="1">
        <v>43875</v>
      </c>
      <c r="B718">
        <v>1360.1613769999999</v>
      </c>
      <c r="C718">
        <f t="shared" si="121"/>
        <v>9.1239593415066711E-3</v>
      </c>
      <c r="D718">
        <v>2184.1999510000001</v>
      </c>
      <c r="E718">
        <f t="shared" si="122"/>
        <v>-3.5356646699274963E-3</v>
      </c>
      <c r="F718">
        <v>1219.349976</v>
      </c>
      <c r="G718">
        <f t="shared" si="123"/>
        <v>-1.776224228589196E-2</v>
      </c>
      <c r="H718">
        <v>554.58764650000001</v>
      </c>
      <c r="I718">
        <f t="shared" si="124"/>
        <v>4.6393231846043381E-2</v>
      </c>
      <c r="J718">
        <v>786.45001219999995</v>
      </c>
      <c r="K718">
        <f t="shared" si="125"/>
        <v>-7.3209060271379744E-3</v>
      </c>
      <c r="L718">
        <v>207.6999969</v>
      </c>
      <c r="M718">
        <f t="shared" si="126"/>
        <v>-1.9820656540377568E-2</v>
      </c>
      <c r="N718">
        <v>418.5499878</v>
      </c>
      <c r="O718">
        <f t="shared" si="127"/>
        <v>-9.5482608509633859E-4</v>
      </c>
      <c r="P718">
        <v>103.3000031</v>
      </c>
      <c r="Q718">
        <f t="shared" si="128"/>
        <v>-1.9458902982328996E-2</v>
      </c>
      <c r="R718">
        <v>169.1000061</v>
      </c>
      <c r="S718">
        <f t="shared" si="129"/>
        <v>-2.3598460176991187E-3</v>
      </c>
      <c r="T718">
        <v>2408.3500979999999</v>
      </c>
      <c r="U718">
        <f t="shared" si="130"/>
        <v>-5.337728091149252E-2</v>
      </c>
      <c r="W718">
        <f t="shared" si="131"/>
        <v>-6.907313433240192E-3</v>
      </c>
      <c r="X718">
        <v>-1.0102355826375861E-3</v>
      </c>
    </row>
    <row r="719" spans="1:24" x14ac:dyDescent="0.35">
      <c r="A719" s="1">
        <v>43878</v>
      </c>
      <c r="B719">
        <v>1351.6123050000001</v>
      </c>
      <c r="C719">
        <f t="shared" si="121"/>
        <v>-6.2853365376803749E-3</v>
      </c>
      <c r="D719">
        <v>2203.25</v>
      </c>
      <c r="E719">
        <f t="shared" si="122"/>
        <v>8.7217514089212855E-3</v>
      </c>
      <c r="F719">
        <v>1217.150024</v>
      </c>
      <c r="G719">
        <f t="shared" si="123"/>
        <v>-1.8042006341909556E-3</v>
      </c>
      <c r="H719">
        <v>554.44036870000002</v>
      </c>
      <c r="I719">
        <f t="shared" si="124"/>
        <v>-2.6556271299849055E-4</v>
      </c>
      <c r="J719">
        <v>789.45001219999995</v>
      </c>
      <c r="K719">
        <f t="shared" si="125"/>
        <v>3.814609896956922E-3</v>
      </c>
      <c r="L719">
        <v>204.8000031</v>
      </c>
      <c r="M719">
        <f t="shared" si="126"/>
        <v>-1.3962416192987437E-2</v>
      </c>
      <c r="N719">
        <v>408.39999390000003</v>
      </c>
      <c r="O719">
        <f t="shared" si="127"/>
        <v>-2.4250374377862927E-2</v>
      </c>
      <c r="P719">
        <v>99.949996949999999</v>
      </c>
      <c r="Q719">
        <f t="shared" si="128"/>
        <v>-3.2429874631823674E-2</v>
      </c>
      <c r="R719">
        <v>169.1000061</v>
      </c>
      <c r="S719">
        <f t="shared" si="129"/>
        <v>0</v>
      </c>
      <c r="T719">
        <v>2339.4499510000001</v>
      </c>
      <c r="U719">
        <f t="shared" si="130"/>
        <v>-2.8608858428522344E-2</v>
      </c>
      <c r="W719">
        <f t="shared" si="131"/>
        <v>-9.5070262210188005E-3</v>
      </c>
      <c r="X719">
        <v>-1.009084183885589E-3</v>
      </c>
    </row>
    <row r="720" spans="1:24" x14ac:dyDescent="0.35">
      <c r="A720" s="1">
        <v>43879</v>
      </c>
      <c r="B720">
        <v>1341.6917719999999</v>
      </c>
      <c r="C720">
        <f t="shared" si="121"/>
        <v>-7.3397770672117835E-3</v>
      </c>
      <c r="D720">
        <v>2215.75</v>
      </c>
      <c r="E720">
        <f t="shared" si="122"/>
        <v>5.6734369681152863E-3</v>
      </c>
      <c r="F720">
        <v>1213.25</v>
      </c>
      <c r="G720">
        <f t="shared" si="123"/>
        <v>-3.2042262030962387E-3</v>
      </c>
      <c r="H720">
        <v>538.1463013</v>
      </c>
      <c r="I720">
        <f t="shared" si="124"/>
        <v>-2.9388313549759792E-2</v>
      </c>
      <c r="J720">
        <v>797.65002440000001</v>
      </c>
      <c r="K720">
        <f t="shared" si="125"/>
        <v>1.0386993569293512E-2</v>
      </c>
      <c r="L720">
        <v>203.8500061</v>
      </c>
      <c r="M720">
        <f t="shared" si="126"/>
        <v>-4.6386571563484802E-3</v>
      </c>
      <c r="N720">
        <v>408.64999390000003</v>
      </c>
      <c r="O720">
        <f t="shared" si="127"/>
        <v>6.1214496506867278E-4</v>
      </c>
      <c r="P720">
        <v>99.300003050000001</v>
      </c>
      <c r="Q720">
        <f t="shared" si="128"/>
        <v>-6.5031907937441735E-3</v>
      </c>
      <c r="R720">
        <v>161.6000061</v>
      </c>
      <c r="S720">
        <f t="shared" si="129"/>
        <v>-4.4352452569190071E-2</v>
      </c>
      <c r="T720">
        <v>2364.8999020000001</v>
      </c>
      <c r="U720">
        <f t="shared" si="130"/>
        <v>1.0878604600676134E-2</v>
      </c>
      <c r="W720">
        <f t="shared" si="131"/>
        <v>-6.7875437236196937E-3</v>
      </c>
      <c r="X720">
        <v>-9.8043383387338414E-4</v>
      </c>
    </row>
    <row r="721" spans="1:24" x14ac:dyDescent="0.35">
      <c r="A721" s="1">
        <v>43880</v>
      </c>
      <c r="B721">
        <v>1374.9735109999999</v>
      </c>
      <c r="C721">
        <f t="shared" si="121"/>
        <v>2.4805800925788102E-2</v>
      </c>
      <c r="D721">
        <v>2196.3500979999999</v>
      </c>
      <c r="E721">
        <f t="shared" si="122"/>
        <v>-8.7554561660837527E-3</v>
      </c>
      <c r="F721">
        <v>1227.1999510000001</v>
      </c>
      <c r="G721">
        <f t="shared" si="123"/>
        <v>1.1498002060581047E-2</v>
      </c>
      <c r="H721">
        <v>533.38568120000002</v>
      </c>
      <c r="I721">
        <f t="shared" si="124"/>
        <v>-8.8463306139979769E-3</v>
      </c>
      <c r="J721">
        <v>800.45001219999995</v>
      </c>
      <c r="K721">
        <f t="shared" si="125"/>
        <v>3.5102961378408182E-3</v>
      </c>
      <c r="L721">
        <v>206.6999969</v>
      </c>
      <c r="M721">
        <f t="shared" si="126"/>
        <v>1.3980822735918386E-2</v>
      </c>
      <c r="N721">
        <v>403.5499878</v>
      </c>
      <c r="O721">
        <f t="shared" si="127"/>
        <v>-1.2480132573421843E-2</v>
      </c>
      <c r="P721">
        <v>101.6999969</v>
      </c>
      <c r="Q721">
        <f t="shared" si="128"/>
        <v>2.4169121614140865E-2</v>
      </c>
      <c r="R721">
        <v>158.0500031</v>
      </c>
      <c r="S721">
        <f t="shared" si="129"/>
        <v>-2.1967839517303078E-2</v>
      </c>
      <c r="T721">
        <v>2424.5</v>
      </c>
      <c r="U721">
        <f t="shared" si="130"/>
        <v>2.5201953769627305E-2</v>
      </c>
      <c r="W721">
        <f t="shared" si="131"/>
        <v>5.1116238373089887E-3</v>
      </c>
      <c r="X721">
        <v>-9.8016592930815242E-4</v>
      </c>
    </row>
    <row r="722" spans="1:24" x14ac:dyDescent="0.35">
      <c r="A722" s="1">
        <v>43881</v>
      </c>
      <c r="B722">
        <v>1358.6527100000001</v>
      </c>
      <c r="C722">
        <f t="shared" si="121"/>
        <v>-1.186990212497252E-2</v>
      </c>
      <c r="D722">
        <v>2156.8000489999999</v>
      </c>
      <c r="E722">
        <f t="shared" si="122"/>
        <v>-1.8007169729459038E-2</v>
      </c>
      <c r="F722">
        <v>1217.099976</v>
      </c>
      <c r="G722">
        <f t="shared" si="123"/>
        <v>-8.2300972973230468E-3</v>
      </c>
      <c r="H722">
        <v>535.54516599999999</v>
      </c>
      <c r="I722">
        <f t="shared" si="124"/>
        <v>4.048636617206558E-3</v>
      </c>
      <c r="J722">
        <v>797</v>
      </c>
      <c r="K722">
        <f t="shared" si="125"/>
        <v>-4.3100907582195314E-3</v>
      </c>
      <c r="L722">
        <v>207.4499969</v>
      </c>
      <c r="M722">
        <f t="shared" si="126"/>
        <v>3.6284470790912682E-3</v>
      </c>
      <c r="N722">
        <v>404.9500122</v>
      </c>
      <c r="O722">
        <f t="shared" si="127"/>
        <v>3.46927132282282E-3</v>
      </c>
      <c r="P722">
        <v>102.8000031</v>
      </c>
      <c r="Q722">
        <f t="shared" si="128"/>
        <v>1.081618715368915E-2</v>
      </c>
      <c r="R722">
        <v>158.5</v>
      </c>
      <c r="S722">
        <f t="shared" si="129"/>
        <v>2.8471805831935537E-3</v>
      </c>
      <c r="T722">
        <v>2462.6499020000001</v>
      </c>
      <c r="U722">
        <f t="shared" si="130"/>
        <v>1.5735162713961692E-2</v>
      </c>
      <c r="W722">
        <f t="shared" si="131"/>
        <v>-1.8723744400090964E-4</v>
      </c>
      <c r="X722">
        <v>-9.795528551779795E-4</v>
      </c>
    </row>
    <row r="723" spans="1:24" x14ac:dyDescent="0.35">
      <c r="A723" s="1">
        <v>43885</v>
      </c>
      <c r="B723">
        <v>1321.165039</v>
      </c>
      <c r="C723">
        <f t="shared" si="121"/>
        <v>-2.7591797906913351E-2</v>
      </c>
      <c r="D723">
        <v>2115.3500979999999</v>
      </c>
      <c r="E723">
        <f t="shared" si="122"/>
        <v>-1.9218263194689E-2</v>
      </c>
      <c r="F723">
        <v>1209.9499510000001</v>
      </c>
      <c r="G723">
        <f t="shared" si="123"/>
        <v>-5.8746406548281227E-3</v>
      </c>
      <c r="H723">
        <v>520.13446039999997</v>
      </c>
      <c r="I723">
        <f t="shared" si="124"/>
        <v>-2.8775734668847752E-2</v>
      </c>
      <c r="J723">
        <v>795.84997559999999</v>
      </c>
      <c r="K723">
        <f t="shared" si="125"/>
        <v>-1.4429415307403159E-3</v>
      </c>
      <c r="L723">
        <v>203</v>
      </c>
      <c r="M723">
        <f t="shared" si="126"/>
        <v>-2.1450937413824533E-2</v>
      </c>
      <c r="N723">
        <v>397.85000609999997</v>
      </c>
      <c r="O723">
        <f t="shared" si="127"/>
        <v>-1.7533043304350904E-2</v>
      </c>
      <c r="P723">
        <v>98.050003050000001</v>
      </c>
      <c r="Q723">
        <f t="shared" si="128"/>
        <v>-4.6206224773936766E-2</v>
      </c>
      <c r="R723">
        <v>150.6499939</v>
      </c>
      <c r="S723">
        <f t="shared" si="129"/>
        <v>-4.9526852365930574E-2</v>
      </c>
      <c r="T723">
        <v>2389.6999510000001</v>
      </c>
      <c r="U723">
        <f t="shared" si="130"/>
        <v>-2.9622542343820335E-2</v>
      </c>
      <c r="W723">
        <f t="shared" si="131"/>
        <v>-2.4724297815788165E-2</v>
      </c>
      <c r="X723">
        <v>-9.7615506817933006E-4</v>
      </c>
    </row>
    <row r="724" spans="1:24" x14ac:dyDescent="0.35">
      <c r="A724" s="1">
        <v>43886</v>
      </c>
      <c r="B724">
        <v>1295.060913</v>
      </c>
      <c r="C724">
        <f t="shared" si="121"/>
        <v>-1.9758414149195436E-2</v>
      </c>
      <c r="D724">
        <v>2156.1499020000001</v>
      </c>
      <c r="E724">
        <f t="shared" si="122"/>
        <v>1.92874947927415E-2</v>
      </c>
      <c r="F724">
        <v>1200.3000489999999</v>
      </c>
      <c r="G724">
        <f t="shared" si="123"/>
        <v>-7.9754555070848943E-3</v>
      </c>
      <c r="H724">
        <v>525.38586429999998</v>
      </c>
      <c r="I724">
        <f t="shared" si="124"/>
        <v>1.0096242990632609E-2</v>
      </c>
      <c r="J724">
        <v>798.40002440000001</v>
      </c>
      <c r="K724">
        <f t="shared" si="125"/>
        <v>3.2041827959816693E-3</v>
      </c>
      <c r="L724">
        <v>201.8000031</v>
      </c>
      <c r="M724">
        <f t="shared" si="126"/>
        <v>-5.9113147783251829E-3</v>
      </c>
      <c r="N724">
        <v>388.89999390000003</v>
      </c>
      <c r="O724">
        <f t="shared" si="127"/>
        <v>-2.249594586596626E-2</v>
      </c>
      <c r="P724">
        <v>97.550003050000001</v>
      </c>
      <c r="Q724">
        <f t="shared" si="128"/>
        <v>-5.0994389030770693E-3</v>
      </c>
      <c r="R724">
        <v>149.8999939</v>
      </c>
      <c r="S724">
        <f t="shared" si="129"/>
        <v>-4.9784270187083202E-3</v>
      </c>
      <c r="T724">
        <v>2331.75</v>
      </c>
      <c r="U724">
        <f t="shared" si="130"/>
        <v>-2.424988583849208E-2</v>
      </c>
      <c r="W724">
        <f t="shared" si="131"/>
        <v>-5.7880961481493465E-3</v>
      </c>
      <c r="X724">
        <v>-9.692482961341062E-4</v>
      </c>
    </row>
    <row r="725" spans="1:24" x14ac:dyDescent="0.35">
      <c r="A725" s="1">
        <v>43887</v>
      </c>
      <c r="B725">
        <v>1272.7510990000001</v>
      </c>
      <c r="C725">
        <f t="shared" si="121"/>
        <v>-1.7226845298202509E-2</v>
      </c>
      <c r="D725">
        <v>2123.6000979999999</v>
      </c>
      <c r="E725">
        <f t="shared" si="122"/>
        <v>-1.5096262077978762E-2</v>
      </c>
      <c r="F725">
        <v>1199.25</v>
      </c>
      <c r="G725">
        <f t="shared" si="123"/>
        <v>-8.7482209208833428E-4</v>
      </c>
      <c r="H725">
        <v>526.07299799999998</v>
      </c>
      <c r="I725">
        <f t="shared" si="124"/>
        <v>1.30786484123524E-3</v>
      </c>
      <c r="J725">
        <v>782.75</v>
      </c>
      <c r="K725">
        <f t="shared" si="125"/>
        <v>-1.9601733368884933E-2</v>
      </c>
      <c r="L725">
        <v>198.6000061</v>
      </c>
      <c r="M725">
        <f t="shared" si="126"/>
        <v>-1.585726933024012E-2</v>
      </c>
      <c r="N725">
        <v>374.7000122</v>
      </c>
      <c r="O725">
        <f t="shared" si="127"/>
        <v>-3.6513195995707126E-2</v>
      </c>
      <c r="P725">
        <v>95.800003050000001</v>
      </c>
      <c r="Q725">
        <f t="shared" si="128"/>
        <v>-1.793951763489976E-2</v>
      </c>
      <c r="R725">
        <v>144.5500031</v>
      </c>
      <c r="S725">
        <f t="shared" si="129"/>
        <v>-3.5690400384999599E-2</v>
      </c>
      <c r="T725">
        <v>2358.3999020000001</v>
      </c>
      <c r="U725">
        <f t="shared" si="130"/>
        <v>1.1429142060684017E-2</v>
      </c>
      <c r="W725">
        <f t="shared" si="131"/>
        <v>-1.460630392810819E-2</v>
      </c>
      <c r="X725">
        <v>-9.5837367371237592E-4</v>
      </c>
    </row>
    <row r="726" spans="1:24" x14ac:dyDescent="0.35">
      <c r="A726" s="1">
        <v>43888</v>
      </c>
      <c r="B726">
        <v>1267.493774</v>
      </c>
      <c r="C726">
        <f t="shared" si="121"/>
        <v>-4.1306780281947786E-3</v>
      </c>
      <c r="D726">
        <v>2105.5</v>
      </c>
      <c r="E726">
        <f t="shared" si="122"/>
        <v>-8.5233081393462085E-3</v>
      </c>
      <c r="F726">
        <v>1199.4499510000001</v>
      </c>
      <c r="G726">
        <f t="shared" si="123"/>
        <v>1.6673003960820942E-4</v>
      </c>
      <c r="H726">
        <v>521.85223389999999</v>
      </c>
      <c r="I726">
        <f t="shared" si="124"/>
        <v>-8.0231529009211489E-3</v>
      </c>
      <c r="J726">
        <v>777.84997559999999</v>
      </c>
      <c r="K726">
        <f t="shared" si="125"/>
        <v>-6.2600120089428835E-3</v>
      </c>
      <c r="L726">
        <v>197.5500031</v>
      </c>
      <c r="M726">
        <f t="shared" si="126"/>
        <v>-5.2870240067933727E-3</v>
      </c>
      <c r="N726">
        <v>388.5</v>
      </c>
      <c r="O726">
        <f t="shared" si="127"/>
        <v>3.6829429812332393E-2</v>
      </c>
      <c r="P726">
        <v>93.349998470000003</v>
      </c>
      <c r="Q726">
        <f t="shared" si="128"/>
        <v>-2.5574159728588786E-2</v>
      </c>
      <c r="R726">
        <v>145.25</v>
      </c>
      <c r="S726">
        <f t="shared" si="129"/>
        <v>4.8425934623863576E-3</v>
      </c>
      <c r="T726">
        <v>2319.6999510000001</v>
      </c>
      <c r="U726">
        <f t="shared" si="130"/>
        <v>-1.6409410027188875E-2</v>
      </c>
      <c r="W726">
        <f t="shared" si="131"/>
        <v>-3.2368991525649096E-3</v>
      </c>
      <c r="X726">
        <v>-9.5226649637625239E-4</v>
      </c>
    </row>
    <row r="727" spans="1:24" x14ac:dyDescent="0.35">
      <c r="A727" s="1">
        <v>43889</v>
      </c>
      <c r="B727">
        <v>1214.828125</v>
      </c>
      <c r="C727">
        <f t="shared" si="121"/>
        <v>-4.1551011989428566E-2</v>
      </c>
      <c r="D727">
        <v>2000.150024</v>
      </c>
      <c r="E727">
        <f t="shared" si="122"/>
        <v>-5.0035609593920616E-2</v>
      </c>
      <c r="F727">
        <v>1177.650024</v>
      </c>
      <c r="G727">
        <f t="shared" si="123"/>
        <v>-1.8174936754822513E-2</v>
      </c>
      <c r="H727">
        <v>513.85241699999995</v>
      </c>
      <c r="I727">
        <f t="shared" si="124"/>
        <v>-1.5329659202978574E-2</v>
      </c>
      <c r="J727">
        <v>731.70001219999995</v>
      </c>
      <c r="K727">
        <f t="shared" si="125"/>
        <v>-5.9330159860713438E-2</v>
      </c>
      <c r="L727">
        <v>197.5500031</v>
      </c>
      <c r="M727">
        <f t="shared" si="126"/>
        <v>0</v>
      </c>
      <c r="N727">
        <v>372.89999390000003</v>
      </c>
      <c r="O727">
        <f t="shared" si="127"/>
        <v>-4.0154455855855753E-2</v>
      </c>
      <c r="P727">
        <v>91.949996949999999</v>
      </c>
      <c r="Q727">
        <f t="shared" si="128"/>
        <v>-1.4997338435414398E-2</v>
      </c>
      <c r="R727">
        <v>128.9499969</v>
      </c>
      <c r="S727">
        <f t="shared" si="129"/>
        <v>-0.11222033115318419</v>
      </c>
      <c r="T727">
        <v>2323.9499510000001</v>
      </c>
      <c r="U727">
        <f t="shared" si="130"/>
        <v>1.8321335042352782E-3</v>
      </c>
      <c r="W727">
        <f t="shared" si="131"/>
        <v>-3.4996136934208291E-2</v>
      </c>
      <c r="X727">
        <v>-9.5226412683739874E-4</v>
      </c>
    </row>
    <row r="728" spans="1:24" x14ac:dyDescent="0.35">
      <c r="A728" s="1">
        <v>43892</v>
      </c>
      <c r="B728">
        <v>1203.399048</v>
      </c>
      <c r="C728">
        <f t="shared" si="121"/>
        <v>-9.4079785977955188E-3</v>
      </c>
      <c r="D728">
        <v>2001.3000489999999</v>
      </c>
      <c r="E728">
        <f t="shared" si="122"/>
        <v>5.7496937039758222E-4</v>
      </c>
      <c r="F728">
        <v>1179.599976</v>
      </c>
      <c r="G728">
        <f t="shared" si="123"/>
        <v>1.6557992274961464E-3</v>
      </c>
      <c r="H728">
        <v>508.79733279999999</v>
      </c>
      <c r="I728">
        <f t="shared" si="124"/>
        <v>-9.8376188040776302E-3</v>
      </c>
      <c r="J728">
        <v>741.04998780000005</v>
      </c>
      <c r="K728">
        <f t="shared" si="125"/>
        <v>1.2778427557883498E-2</v>
      </c>
      <c r="L728">
        <v>195.3000031</v>
      </c>
      <c r="M728">
        <f t="shared" si="126"/>
        <v>-1.1389521461364183E-2</v>
      </c>
      <c r="N728">
        <v>369.5</v>
      </c>
      <c r="O728">
        <f t="shared" si="127"/>
        <v>-9.1177097227622683E-3</v>
      </c>
      <c r="P728">
        <v>89.099998470000003</v>
      </c>
      <c r="Q728">
        <f t="shared" si="128"/>
        <v>-3.0995090533279201E-2</v>
      </c>
      <c r="R728">
        <v>125.4000015</v>
      </c>
      <c r="S728">
        <f t="shared" si="129"/>
        <v>-2.7530015396223684E-2</v>
      </c>
      <c r="T728">
        <v>2228.9499510000001</v>
      </c>
      <c r="U728">
        <f t="shared" si="130"/>
        <v>-4.0878677253406992E-2</v>
      </c>
      <c r="W728">
        <f t="shared" si="131"/>
        <v>-1.2414741561313225E-2</v>
      </c>
      <c r="X728">
        <v>-9.3227015687746785E-4</v>
      </c>
    </row>
    <row r="729" spans="1:24" x14ac:dyDescent="0.35">
      <c r="A729" s="1">
        <v>43893</v>
      </c>
      <c r="B729">
        <v>1227.8116460000001</v>
      </c>
      <c r="C729">
        <f t="shared" si="121"/>
        <v>2.0286369712999797E-2</v>
      </c>
      <c r="D729">
        <v>2036.1999510000001</v>
      </c>
      <c r="E729">
        <f t="shared" si="122"/>
        <v>1.743861547269665E-2</v>
      </c>
      <c r="F729">
        <v>1181.8000489999999</v>
      </c>
      <c r="G729">
        <f t="shared" si="123"/>
        <v>1.865100919601792E-3</v>
      </c>
      <c r="H729">
        <v>511.202179</v>
      </c>
      <c r="I729">
        <f t="shared" si="124"/>
        <v>4.7265306733541568E-3</v>
      </c>
      <c r="J729">
        <v>747</v>
      </c>
      <c r="K729">
        <f t="shared" si="125"/>
        <v>8.0291644260923611E-3</v>
      </c>
      <c r="L729">
        <v>193.8500061</v>
      </c>
      <c r="M729">
        <f t="shared" si="126"/>
        <v>-7.4244596875789881E-3</v>
      </c>
      <c r="N729">
        <v>393.5499878</v>
      </c>
      <c r="O729">
        <f t="shared" si="127"/>
        <v>6.5087923680649418E-2</v>
      </c>
      <c r="P729">
        <v>93.349998470000003</v>
      </c>
      <c r="Q729">
        <f t="shared" si="128"/>
        <v>4.7699215184958454E-2</v>
      </c>
      <c r="R729">
        <v>130.3500061</v>
      </c>
      <c r="S729">
        <f t="shared" si="129"/>
        <v>3.9473720420968306E-2</v>
      </c>
      <c r="T729">
        <v>2233.0500489999999</v>
      </c>
      <c r="U729">
        <f t="shared" si="130"/>
        <v>1.8394751296055833E-3</v>
      </c>
      <c r="W729">
        <f t="shared" si="131"/>
        <v>1.9902165593334756E-2</v>
      </c>
      <c r="X729">
        <v>-9.1869825933024035E-4</v>
      </c>
    </row>
    <row r="730" spans="1:24" x14ac:dyDescent="0.35">
      <c r="A730" s="1">
        <v>43894</v>
      </c>
      <c r="B730">
        <v>1224.931519</v>
      </c>
      <c r="C730">
        <f t="shared" si="121"/>
        <v>-2.3457400891928604E-3</v>
      </c>
      <c r="D730">
        <v>2083.1999510000001</v>
      </c>
      <c r="E730">
        <f t="shared" si="122"/>
        <v>2.3082212518921619E-2</v>
      </c>
      <c r="F730">
        <v>1148.849976</v>
      </c>
      <c r="G730">
        <f t="shared" si="123"/>
        <v>-2.7881258786442986E-2</v>
      </c>
      <c r="H730">
        <v>507.22680659999997</v>
      </c>
      <c r="I730">
        <f t="shared" si="124"/>
        <v>-7.7765169306918125E-3</v>
      </c>
      <c r="J730">
        <v>758.75</v>
      </c>
      <c r="K730">
        <f t="shared" si="125"/>
        <v>1.5729585006693414E-2</v>
      </c>
      <c r="L730">
        <v>187.5</v>
      </c>
      <c r="M730">
        <f t="shared" si="126"/>
        <v>-3.2757316998609065E-2</v>
      </c>
      <c r="N730">
        <v>405.4500122</v>
      </c>
      <c r="O730">
        <f t="shared" si="127"/>
        <v>3.0237643930629554E-2</v>
      </c>
      <c r="P730">
        <v>92.800003050000001</v>
      </c>
      <c r="Q730">
        <f t="shared" si="128"/>
        <v>-5.8917560687132831E-3</v>
      </c>
      <c r="R730">
        <v>126.1999969</v>
      </c>
      <c r="S730">
        <f t="shared" si="129"/>
        <v>-3.1837430040595915E-2</v>
      </c>
      <c r="T730">
        <v>2198.4499510000001</v>
      </c>
      <c r="U730">
        <f t="shared" si="130"/>
        <v>-1.5494546580133495E-2</v>
      </c>
      <c r="W730">
        <f t="shared" si="131"/>
        <v>-5.4935124038134834E-3</v>
      </c>
      <c r="X730">
        <v>-9.1468901798590345E-4</v>
      </c>
    </row>
    <row r="731" spans="1:24" x14ac:dyDescent="0.35">
      <c r="A731" s="1">
        <v>43895</v>
      </c>
      <c r="B731">
        <v>1198.827393</v>
      </c>
      <c r="C731">
        <f t="shared" si="121"/>
        <v>-2.1310681940252985E-2</v>
      </c>
      <c r="D731">
        <v>2125.0500489999999</v>
      </c>
      <c r="E731">
        <f t="shared" si="122"/>
        <v>2.0089333229827755E-2</v>
      </c>
      <c r="F731">
        <v>1151.349976</v>
      </c>
      <c r="G731">
        <f t="shared" si="123"/>
        <v>2.1760891780704394E-3</v>
      </c>
      <c r="H731">
        <v>517.18975829999999</v>
      </c>
      <c r="I731">
        <f t="shared" si="124"/>
        <v>1.9642005450742683E-2</v>
      </c>
      <c r="J731">
        <v>754.59997559999999</v>
      </c>
      <c r="K731">
        <f t="shared" si="125"/>
        <v>-5.4695543986820194E-3</v>
      </c>
      <c r="L731">
        <v>188.0500031</v>
      </c>
      <c r="M731">
        <f t="shared" si="126"/>
        <v>2.9333498666666014E-3</v>
      </c>
      <c r="N731">
        <v>404.89999390000003</v>
      </c>
      <c r="O731">
        <f t="shared" si="127"/>
        <v>-1.3565625439633244E-3</v>
      </c>
      <c r="P731">
        <v>92.599998470000003</v>
      </c>
      <c r="Q731">
        <f t="shared" si="128"/>
        <v>-2.1552216964070281E-3</v>
      </c>
      <c r="R731">
        <v>125.75</v>
      </c>
      <c r="S731">
        <f t="shared" si="129"/>
        <v>-3.5657441446419469E-3</v>
      </c>
      <c r="T731">
        <v>2247.1999510000001</v>
      </c>
      <c r="U731">
        <f t="shared" si="130"/>
        <v>2.2174714497287251E-2</v>
      </c>
      <c r="W731">
        <f t="shared" si="131"/>
        <v>3.315772749864743E-3</v>
      </c>
      <c r="X731">
        <v>-9.0925998911522998E-4</v>
      </c>
    </row>
    <row r="732" spans="1:24" x14ac:dyDescent="0.35">
      <c r="A732" s="1">
        <v>43896</v>
      </c>
      <c r="B732">
        <v>1162.1168210000001</v>
      </c>
      <c r="C732">
        <f t="shared" si="121"/>
        <v>-3.0622066374487611E-2</v>
      </c>
      <c r="D732">
        <v>2116.4499510000001</v>
      </c>
      <c r="E732">
        <f t="shared" si="122"/>
        <v>-4.0470096241013165E-3</v>
      </c>
      <c r="F732">
        <v>1134.900024</v>
      </c>
      <c r="G732">
        <f t="shared" si="123"/>
        <v>-1.4287534062535912E-2</v>
      </c>
      <c r="H732">
        <v>509.58258060000003</v>
      </c>
      <c r="I732">
        <f t="shared" si="124"/>
        <v>-1.4708678155199162E-2</v>
      </c>
      <c r="J732">
        <v>738.95001219999995</v>
      </c>
      <c r="K732">
        <f t="shared" si="125"/>
        <v>-2.0739416785107045E-2</v>
      </c>
      <c r="L732">
        <v>181.75</v>
      </c>
      <c r="M732">
        <f t="shared" si="126"/>
        <v>-3.3501744196461569E-2</v>
      </c>
      <c r="N732">
        <v>400.89999390000003</v>
      </c>
      <c r="O732">
        <f t="shared" si="127"/>
        <v>-9.8789826136373993E-3</v>
      </c>
      <c r="P732">
        <v>88.5</v>
      </c>
      <c r="Q732">
        <f t="shared" si="128"/>
        <v>-4.4276442092256563E-2</v>
      </c>
      <c r="R732">
        <v>114.1999969</v>
      </c>
      <c r="S732">
        <f t="shared" si="129"/>
        <v>-9.1848931212723639E-2</v>
      </c>
      <c r="T732">
        <v>2242.1499020000001</v>
      </c>
      <c r="U732">
        <f t="shared" si="130"/>
        <v>-2.2472628649500281E-3</v>
      </c>
      <c r="W732">
        <f t="shared" si="131"/>
        <v>-2.6615806798146027E-2</v>
      </c>
      <c r="X732">
        <v>-9.0434573276248998E-4</v>
      </c>
    </row>
    <row r="733" spans="1:24" x14ac:dyDescent="0.35">
      <c r="A733" s="1">
        <v>43899</v>
      </c>
      <c r="B733">
        <v>1018.703796</v>
      </c>
      <c r="C733">
        <f t="shared" si="121"/>
        <v>-0.12340671988259611</v>
      </c>
      <c r="D733">
        <v>1972.349976</v>
      </c>
      <c r="E733">
        <f t="shared" si="122"/>
        <v>-6.8085699324906934E-2</v>
      </c>
      <c r="F733">
        <v>1107.3000489999999</v>
      </c>
      <c r="G733">
        <f t="shared" si="123"/>
        <v>-2.431930074573696E-2</v>
      </c>
      <c r="H733">
        <v>487.10461429999998</v>
      </c>
      <c r="I733">
        <f t="shared" si="124"/>
        <v>-4.4110546858830424E-2</v>
      </c>
      <c r="J733">
        <v>704.45001219999995</v>
      </c>
      <c r="K733">
        <f t="shared" si="125"/>
        <v>-4.6687867149885709E-2</v>
      </c>
      <c r="L733">
        <v>177.1999969</v>
      </c>
      <c r="M733">
        <f t="shared" si="126"/>
        <v>-2.5034404951856937E-2</v>
      </c>
      <c r="N733">
        <v>393.35000609999997</v>
      </c>
      <c r="O733">
        <f t="shared" si="127"/>
        <v>-1.8832596445195526E-2</v>
      </c>
      <c r="P733">
        <v>74.550003050000001</v>
      </c>
      <c r="Q733">
        <f t="shared" si="128"/>
        <v>-0.15762708418079097</v>
      </c>
      <c r="R733">
        <v>105.6999969</v>
      </c>
      <c r="S733">
        <f t="shared" si="129"/>
        <v>-7.4430825137789425E-2</v>
      </c>
      <c r="T733">
        <v>2145.6999510000001</v>
      </c>
      <c r="U733">
        <f t="shared" si="130"/>
        <v>-4.3016727344575179E-2</v>
      </c>
      <c r="W733">
        <f t="shared" si="131"/>
        <v>-6.2555177202216414E-2</v>
      </c>
      <c r="X733">
        <v>-8.6469394727989313E-4</v>
      </c>
    </row>
    <row r="734" spans="1:24" x14ac:dyDescent="0.35">
      <c r="A734" s="1">
        <v>43901</v>
      </c>
      <c r="B734">
        <v>1054.7285159999999</v>
      </c>
      <c r="C734">
        <f t="shared" si="121"/>
        <v>3.5363292196861407E-2</v>
      </c>
      <c r="D734">
        <v>1953.6999510000001</v>
      </c>
      <c r="E734">
        <f t="shared" si="122"/>
        <v>-9.4557381940009178E-3</v>
      </c>
      <c r="F734">
        <v>1113.8000489999999</v>
      </c>
      <c r="G734">
        <f t="shared" si="123"/>
        <v>5.8701343017821817E-3</v>
      </c>
      <c r="H734">
        <v>484.69976810000003</v>
      </c>
      <c r="I734">
        <f t="shared" si="124"/>
        <v>-4.9370220059521408E-3</v>
      </c>
      <c r="J734">
        <v>686</v>
      </c>
      <c r="K734">
        <f t="shared" si="125"/>
        <v>-2.6190662049079272E-2</v>
      </c>
      <c r="L734">
        <v>175.6499939</v>
      </c>
      <c r="M734">
        <f t="shared" si="126"/>
        <v>-8.7471954126202567E-3</v>
      </c>
      <c r="N734">
        <v>385.9500122</v>
      </c>
      <c r="O734">
        <f t="shared" si="127"/>
        <v>-1.8812746371532296E-2</v>
      </c>
      <c r="P734">
        <v>71.699996949999999</v>
      </c>
      <c r="Q734">
        <f t="shared" si="128"/>
        <v>-3.8229456517775429E-2</v>
      </c>
      <c r="R734">
        <v>98.900001529999997</v>
      </c>
      <c r="S734">
        <f t="shared" si="129"/>
        <v>-6.4332976058961489E-2</v>
      </c>
      <c r="T734">
        <v>2109.9499510000001</v>
      </c>
      <c r="U734">
        <f t="shared" si="130"/>
        <v>-1.6661229816097411E-2</v>
      </c>
      <c r="W734">
        <f t="shared" si="131"/>
        <v>-1.4613359992737562E-2</v>
      </c>
      <c r="X734">
        <v>-8.5782261664587548E-4</v>
      </c>
    </row>
    <row r="735" spans="1:24" x14ac:dyDescent="0.35">
      <c r="A735" s="1">
        <v>43902</v>
      </c>
      <c r="B735">
        <v>971.9356689</v>
      </c>
      <c r="C735">
        <f t="shared" si="121"/>
        <v>-7.8496831975290893E-2</v>
      </c>
      <c r="D735">
        <v>1769.849976</v>
      </c>
      <c r="E735">
        <f t="shared" si="122"/>
        <v>-9.4103485494738681E-2</v>
      </c>
      <c r="F735">
        <v>1021.299988</v>
      </c>
      <c r="G735">
        <f t="shared" si="123"/>
        <v>-8.3049072482129116E-2</v>
      </c>
      <c r="H735">
        <v>456.38143919999999</v>
      </c>
      <c r="I735">
        <f t="shared" si="124"/>
        <v>-5.8424473795410603E-2</v>
      </c>
      <c r="J735">
        <v>631.20001219999995</v>
      </c>
      <c r="K735">
        <f t="shared" si="125"/>
        <v>-7.9883364139941793E-2</v>
      </c>
      <c r="L735">
        <v>155.8000031</v>
      </c>
      <c r="M735">
        <f t="shared" si="126"/>
        <v>-0.11300877591433833</v>
      </c>
      <c r="N735">
        <v>354.7999878</v>
      </c>
      <c r="O735">
        <f t="shared" si="127"/>
        <v>-8.07099971896309E-2</v>
      </c>
      <c r="P735">
        <v>62.5</v>
      </c>
      <c r="Q735">
        <f t="shared" si="128"/>
        <v>-0.12831237575108434</v>
      </c>
      <c r="R735">
        <v>88</v>
      </c>
      <c r="S735">
        <f t="shared" si="129"/>
        <v>-0.11021234945778668</v>
      </c>
      <c r="T735">
        <v>2004.5</v>
      </c>
      <c r="U735">
        <f t="shared" si="130"/>
        <v>-4.9977465555532508E-2</v>
      </c>
      <c r="W735">
        <f t="shared" si="131"/>
        <v>-8.7617819175588391E-2</v>
      </c>
      <c r="X735">
        <v>-8.2523984115511211E-4</v>
      </c>
    </row>
    <row r="736" spans="1:24" x14ac:dyDescent="0.35">
      <c r="A736" s="1">
        <v>43903</v>
      </c>
      <c r="B736">
        <v>1010.611938</v>
      </c>
      <c r="C736">
        <f t="shared" si="121"/>
        <v>3.9793033981119663E-2</v>
      </c>
      <c r="D736">
        <v>1806.3000489999999</v>
      </c>
      <c r="E736">
        <f t="shared" si="122"/>
        <v>2.0595007200768567E-2</v>
      </c>
      <c r="F736">
        <v>1069.8000489999999</v>
      </c>
      <c r="G736">
        <f t="shared" si="123"/>
        <v>4.7488555341097305E-2</v>
      </c>
      <c r="H736">
        <v>482.78570560000003</v>
      </c>
      <c r="I736">
        <f t="shared" si="124"/>
        <v>5.7855697300671638E-2</v>
      </c>
      <c r="J736">
        <v>642.34997559999999</v>
      </c>
      <c r="K736">
        <f t="shared" si="125"/>
        <v>1.7664707199763319E-2</v>
      </c>
      <c r="L736">
        <v>162.25</v>
      </c>
      <c r="M736">
        <f t="shared" si="126"/>
        <v>4.1399209060734687E-2</v>
      </c>
      <c r="N736">
        <v>384.2000122</v>
      </c>
      <c r="O736">
        <f t="shared" si="127"/>
        <v>8.2863656738829228E-2</v>
      </c>
      <c r="P736">
        <v>65.900001529999997</v>
      </c>
      <c r="Q736">
        <f t="shared" si="128"/>
        <v>5.4400024480000031E-2</v>
      </c>
      <c r="R736">
        <v>89.75</v>
      </c>
      <c r="S736">
        <f t="shared" si="129"/>
        <v>1.9886363636363535E-2</v>
      </c>
      <c r="T736">
        <v>2101</v>
      </c>
      <c r="U736">
        <f t="shared" si="130"/>
        <v>4.8141681217261256E-2</v>
      </c>
      <c r="W736">
        <f t="shared" si="131"/>
        <v>4.3008793615660929E-2</v>
      </c>
      <c r="X736">
        <v>-7.8878036590039895E-4</v>
      </c>
    </row>
    <row r="737" spans="1:24" x14ac:dyDescent="0.35">
      <c r="A737" s="1">
        <v>43906</v>
      </c>
      <c r="B737">
        <v>928.68774410000003</v>
      </c>
      <c r="C737">
        <f t="shared" si="121"/>
        <v>-8.1063948306535849E-2</v>
      </c>
      <c r="D737">
        <v>1696.400024</v>
      </c>
      <c r="E737">
        <f t="shared" si="122"/>
        <v>-6.0842618622992672E-2</v>
      </c>
      <c r="F737">
        <v>999.5</v>
      </c>
      <c r="G737">
        <f t="shared" si="123"/>
        <v>-6.571326021690993E-2</v>
      </c>
      <c r="H737">
        <v>456.23419189999998</v>
      </c>
      <c r="I737">
        <f t="shared" si="124"/>
        <v>-5.4996478545283667E-2</v>
      </c>
      <c r="J737">
        <v>583.15002440000001</v>
      </c>
      <c r="K737">
        <f t="shared" si="125"/>
        <v>-9.2161521676253022E-2</v>
      </c>
      <c r="L737">
        <v>147.25</v>
      </c>
      <c r="M737">
        <f t="shared" si="126"/>
        <v>-9.244992295839749E-2</v>
      </c>
      <c r="N737">
        <v>368.5499878</v>
      </c>
      <c r="O737">
        <f t="shared" si="127"/>
        <v>-4.0734054927237251E-2</v>
      </c>
      <c r="P737">
        <v>60.150001529999997</v>
      </c>
      <c r="Q737">
        <f t="shared" si="128"/>
        <v>-8.7253412238274319E-2</v>
      </c>
      <c r="R737">
        <v>82.949996949999999</v>
      </c>
      <c r="S737">
        <f t="shared" si="129"/>
        <v>-7.5766050696378873E-2</v>
      </c>
      <c r="T737">
        <v>1996.3000489999999</v>
      </c>
      <c r="U737">
        <f t="shared" si="130"/>
        <v>-4.9833389338410305E-2</v>
      </c>
      <c r="W737">
        <f t="shared" si="131"/>
        <v>-7.0081465752667355E-2</v>
      </c>
      <c r="X737">
        <v>-7.8476633414635913E-4</v>
      </c>
    </row>
    <row r="738" spans="1:24" x14ac:dyDescent="0.35">
      <c r="A738" s="1">
        <v>43907</v>
      </c>
      <c r="B738">
        <v>921.64739989999998</v>
      </c>
      <c r="C738">
        <f t="shared" si="121"/>
        <v>-7.5809595256616236E-3</v>
      </c>
      <c r="D738">
        <v>1658</v>
      </c>
      <c r="E738">
        <f t="shared" si="122"/>
        <v>-2.2636184541813043E-2</v>
      </c>
      <c r="F738">
        <v>975.09997559999999</v>
      </c>
      <c r="G738">
        <f t="shared" si="123"/>
        <v>-2.4412230515257649E-2</v>
      </c>
      <c r="H738">
        <v>446.32034299999998</v>
      </c>
      <c r="I738">
        <f t="shared" si="124"/>
        <v>-2.1729736779949604E-2</v>
      </c>
      <c r="J738">
        <v>554.95001219999995</v>
      </c>
      <c r="K738">
        <f t="shared" si="125"/>
        <v>-4.8358074286312336E-2</v>
      </c>
      <c r="L738">
        <v>149.1499939</v>
      </c>
      <c r="M738">
        <f t="shared" si="126"/>
        <v>1.2903184380305577E-2</v>
      </c>
      <c r="N738">
        <v>370.14999390000003</v>
      </c>
      <c r="O738">
        <f t="shared" si="127"/>
        <v>4.3413543697314871E-3</v>
      </c>
      <c r="P738">
        <v>60</v>
      </c>
      <c r="Q738">
        <f t="shared" si="128"/>
        <v>-2.4937909590108109E-3</v>
      </c>
      <c r="R738">
        <v>77.949996949999999</v>
      </c>
      <c r="S738">
        <f t="shared" si="129"/>
        <v>-6.0277277683492447E-2</v>
      </c>
      <c r="T738">
        <v>2021.9499510000001</v>
      </c>
      <c r="U738">
        <f t="shared" si="130"/>
        <v>1.2848720818721127E-2</v>
      </c>
      <c r="W738">
        <f t="shared" si="131"/>
        <v>-1.5739499472273932E-2</v>
      </c>
      <c r="X738">
        <v>-7.6018190409221653E-4</v>
      </c>
    </row>
    <row r="739" spans="1:24" x14ac:dyDescent="0.35">
      <c r="A739" s="1">
        <v>43908</v>
      </c>
      <c r="B739">
        <v>885.53125</v>
      </c>
      <c r="C739">
        <f t="shared" si="121"/>
        <v>-3.9186515259435062E-2</v>
      </c>
      <c r="D739">
        <v>1654.400024</v>
      </c>
      <c r="E739">
        <f t="shared" si="122"/>
        <v>-2.1712762364294313E-3</v>
      </c>
      <c r="F739">
        <v>876.90002440000001</v>
      </c>
      <c r="G739">
        <f t="shared" si="123"/>
        <v>-0.10070757220517357</v>
      </c>
      <c r="H739">
        <v>417.70755000000003</v>
      </c>
      <c r="I739">
        <f t="shared" si="124"/>
        <v>-6.4108198178186027E-2</v>
      </c>
      <c r="J739">
        <v>534.29998780000005</v>
      </c>
      <c r="K739">
        <f t="shared" si="125"/>
        <v>-3.7210602659754066E-2</v>
      </c>
      <c r="L739">
        <v>150.6999969</v>
      </c>
      <c r="M739">
        <f t="shared" si="126"/>
        <v>1.0392243133708901E-2</v>
      </c>
      <c r="N739">
        <v>362.75</v>
      </c>
      <c r="O739">
        <f t="shared" si="127"/>
        <v>-1.9991879027287607E-2</v>
      </c>
      <c r="P739">
        <v>68.150001529999997</v>
      </c>
      <c r="Q739">
        <f t="shared" si="128"/>
        <v>0.13583335883333336</v>
      </c>
      <c r="R739">
        <v>75.5</v>
      </c>
      <c r="S739">
        <f t="shared" si="129"/>
        <v>-3.1430366207345961E-2</v>
      </c>
      <c r="T739">
        <v>1920.900024</v>
      </c>
      <c r="U739">
        <f t="shared" si="130"/>
        <v>-4.9976472933973226E-2</v>
      </c>
      <c r="W739">
        <f t="shared" si="131"/>
        <v>-1.9855728074054266E-2</v>
      </c>
      <c r="X739">
        <v>-7.4297978636165239E-4</v>
      </c>
    </row>
    <row r="740" spans="1:24" x14ac:dyDescent="0.35">
      <c r="A740" s="1">
        <v>43909</v>
      </c>
      <c r="B740">
        <v>839.08312990000002</v>
      </c>
      <c r="C740">
        <f t="shared" si="121"/>
        <v>-5.2452265349190119E-2</v>
      </c>
      <c r="D740">
        <v>1636.349976</v>
      </c>
      <c r="E740">
        <f t="shared" si="122"/>
        <v>-1.0910328661842494E-2</v>
      </c>
      <c r="F740">
        <v>895.54998780000005</v>
      </c>
      <c r="G740">
        <f t="shared" si="123"/>
        <v>2.1268061216854095E-2</v>
      </c>
      <c r="H740">
        <v>436.5537109</v>
      </c>
      <c r="I740">
        <f t="shared" si="124"/>
        <v>4.5118075792501156E-2</v>
      </c>
      <c r="J740">
        <v>545.54998780000005</v>
      </c>
      <c r="K740">
        <f t="shared" si="125"/>
        <v>2.1055587229792616E-2</v>
      </c>
      <c r="L740">
        <v>161.8500061</v>
      </c>
      <c r="M740">
        <f t="shared" si="126"/>
        <v>7.3988118310306383E-2</v>
      </c>
      <c r="N740">
        <v>360.39999390000003</v>
      </c>
      <c r="O740">
        <f t="shared" si="127"/>
        <v>-6.478307649896542E-3</v>
      </c>
      <c r="P740">
        <v>61.049999239999998</v>
      </c>
      <c r="Q740">
        <f t="shared" si="128"/>
        <v>-0.10418198284081537</v>
      </c>
      <c r="R740">
        <v>72.949996949999999</v>
      </c>
      <c r="S740">
        <f t="shared" si="129"/>
        <v>-3.3774874834437085E-2</v>
      </c>
      <c r="T740">
        <v>1824.900024</v>
      </c>
      <c r="U740">
        <f t="shared" si="130"/>
        <v>-4.9976572856766266E-2</v>
      </c>
      <c r="W740">
        <f t="shared" si="131"/>
        <v>-9.6344489643493646E-3</v>
      </c>
      <c r="X740">
        <v>-6.9914035842416622E-4</v>
      </c>
    </row>
    <row r="741" spans="1:24" x14ac:dyDescent="0.35">
      <c r="A741" s="1">
        <v>43910</v>
      </c>
      <c r="B741">
        <v>930.74499509999998</v>
      </c>
      <c r="C741">
        <f t="shared" si="121"/>
        <v>0.10924050542039154</v>
      </c>
      <c r="D741">
        <v>1797.4499510000001</v>
      </c>
      <c r="E741">
        <f t="shared" si="122"/>
        <v>9.8450806589555739E-2</v>
      </c>
      <c r="F741">
        <v>882.84997559999999</v>
      </c>
      <c r="G741">
        <f t="shared" si="123"/>
        <v>-1.4181243228196361E-2</v>
      </c>
      <c r="H741">
        <v>454.1238098</v>
      </c>
      <c r="I741">
        <f t="shared" si="124"/>
        <v>4.0247278768464678E-2</v>
      </c>
      <c r="J741">
        <v>585.20001219999995</v>
      </c>
      <c r="K741">
        <f t="shared" si="125"/>
        <v>7.2678994201601288E-2</v>
      </c>
      <c r="L741">
        <v>175.5</v>
      </c>
      <c r="M741">
        <f t="shared" si="126"/>
        <v>8.4337308529764732E-2</v>
      </c>
      <c r="N741">
        <v>365.25</v>
      </c>
      <c r="O741">
        <f t="shared" si="127"/>
        <v>1.3457286853744144E-2</v>
      </c>
      <c r="P741">
        <v>72.349998470000003</v>
      </c>
      <c r="Q741">
        <f t="shared" si="128"/>
        <v>0.18509417478577528</v>
      </c>
      <c r="R741">
        <v>77.300003050000001</v>
      </c>
      <c r="S741">
        <f t="shared" si="129"/>
        <v>5.9629969593850696E-2</v>
      </c>
      <c r="T741">
        <v>1916.099976</v>
      </c>
      <c r="U741">
        <f t="shared" si="130"/>
        <v>4.9975314154524941E-2</v>
      </c>
      <c r="W741">
        <f t="shared" si="131"/>
        <v>6.9893039566947673E-2</v>
      </c>
      <c r="X741">
        <v>-6.680655247976008E-4</v>
      </c>
    </row>
    <row r="742" spans="1:24" x14ac:dyDescent="0.35">
      <c r="A742" s="1">
        <v>43913</v>
      </c>
      <c r="B742">
        <v>808.31585689999997</v>
      </c>
      <c r="C742">
        <f t="shared" si="121"/>
        <v>-0.13153886278684324</v>
      </c>
      <c r="D742">
        <v>1669.6999510000001</v>
      </c>
      <c r="E742">
        <f t="shared" si="122"/>
        <v>-7.1072910780590637E-2</v>
      </c>
      <c r="F742">
        <v>771.54998780000005</v>
      </c>
      <c r="G742">
        <f t="shared" si="123"/>
        <v>-0.12606897080600654</v>
      </c>
      <c r="H742">
        <v>399.84295650000001</v>
      </c>
      <c r="I742">
        <f t="shared" si="124"/>
        <v>-0.1195287543366329</v>
      </c>
      <c r="J742">
        <v>526.45001219999995</v>
      </c>
      <c r="K742">
        <f t="shared" si="125"/>
        <v>-0.100393025931656</v>
      </c>
      <c r="L742">
        <v>154.3000031</v>
      </c>
      <c r="M742">
        <f t="shared" si="126"/>
        <v>-0.12079770313390314</v>
      </c>
      <c r="N742">
        <v>324.5</v>
      </c>
      <c r="O742">
        <f t="shared" si="127"/>
        <v>-0.1115674195756331</v>
      </c>
      <c r="P742">
        <v>60.400001529999997</v>
      </c>
      <c r="Q742">
        <f t="shared" si="128"/>
        <v>-0.16516927702431239</v>
      </c>
      <c r="R742">
        <v>66.199996949999999</v>
      </c>
      <c r="S742">
        <f t="shared" si="129"/>
        <v>-0.14359645099651785</v>
      </c>
      <c r="T742">
        <v>1820.3000489999999</v>
      </c>
      <c r="U742">
        <f t="shared" si="130"/>
        <v>-4.999735306087183E-2</v>
      </c>
      <c r="W742">
        <f t="shared" si="131"/>
        <v>-0.11397307284329677</v>
      </c>
      <c r="X742">
        <v>-6.6306375680500471E-4</v>
      </c>
    </row>
    <row r="743" spans="1:24" x14ac:dyDescent="0.35">
      <c r="A743" s="1">
        <v>43914</v>
      </c>
      <c r="B743">
        <v>862.58148189999997</v>
      </c>
      <c r="C743">
        <f t="shared" si="121"/>
        <v>6.7134183421955873E-2</v>
      </c>
      <c r="D743">
        <v>1703.150024</v>
      </c>
      <c r="E743">
        <f t="shared" si="122"/>
        <v>2.0033583267440536E-2</v>
      </c>
      <c r="F743">
        <v>767.70001219999995</v>
      </c>
      <c r="G743">
        <f t="shared" si="123"/>
        <v>-4.989923739067037E-3</v>
      </c>
      <c r="H743">
        <v>396.60375979999998</v>
      </c>
      <c r="I743">
        <f t="shared" si="124"/>
        <v>-8.1011723411464898E-3</v>
      </c>
      <c r="J743">
        <v>589.79998780000005</v>
      </c>
      <c r="K743">
        <f t="shared" si="125"/>
        <v>0.12033426561292071</v>
      </c>
      <c r="L743">
        <v>149.6999969</v>
      </c>
      <c r="M743">
        <f t="shared" si="126"/>
        <v>-2.9812094021921642E-2</v>
      </c>
      <c r="N743">
        <v>335.14999390000003</v>
      </c>
      <c r="O743">
        <f t="shared" si="127"/>
        <v>3.2819703852080107E-2</v>
      </c>
      <c r="P743">
        <v>62.5</v>
      </c>
      <c r="Q743">
        <f t="shared" si="128"/>
        <v>3.4768185708686783E-2</v>
      </c>
      <c r="R743">
        <v>68.550003050000001</v>
      </c>
      <c r="S743">
        <f t="shared" si="129"/>
        <v>3.5498583206505785E-2</v>
      </c>
      <c r="T743">
        <v>1808.6999510000001</v>
      </c>
      <c r="U743">
        <f t="shared" si="130"/>
        <v>-6.3726296147563755E-3</v>
      </c>
      <c r="W743">
        <f t="shared" si="131"/>
        <v>2.6131268535269824E-2</v>
      </c>
      <c r="X743">
        <v>-6.6121101986382758E-4</v>
      </c>
    </row>
    <row r="744" spans="1:24" x14ac:dyDescent="0.35">
      <c r="A744" s="1">
        <v>43915</v>
      </c>
      <c r="B744">
        <v>989.53656009999997</v>
      </c>
      <c r="C744">
        <f t="shared" si="121"/>
        <v>0.14718038917362009</v>
      </c>
      <c r="D744">
        <v>1750.3000489999999</v>
      </c>
      <c r="E744">
        <f t="shared" si="122"/>
        <v>2.7684011587695512E-2</v>
      </c>
      <c r="F744">
        <v>856.75</v>
      </c>
      <c r="G744">
        <f t="shared" si="123"/>
        <v>0.11599581397010694</v>
      </c>
      <c r="H744">
        <v>421.19210820000001</v>
      </c>
      <c r="I744">
        <f t="shared" si="124"/>
        <v>6.1997265009286595E-2</v>
      </c>
      <c r="J744">
        <v>606.20001219999995</v>
      </c>
      <c r="K744">
        <f t="shared" si="125"/>
        <v>2.7806077889511727E-2</v>
      </c>
      <c r="L744">
        <v>147.3500061</v>
      </c>
      <c r="M744">
        <f t="shared" si="126"/>
        <v>-1.5698001661080818E-2</v>
      </c>
      <c r="N744">
        <v>347.64999390000003</v>
      </c>
      <c r="O744">
        <f t="shared" si="127"/>
        <v>3.7296733485036704E-2</v>
      </c>
      <c r="P744">
        <v>61.549999239999998</v>
      </c>
      <c r="Q744">
        <f t="shared" si="128"/>
        <v>-1.5200012159999998E-2</v>
      </c>
      <c r="R744">
        <v>70.25</v>
      </c>
      <c r="S744">
        <f t="shared" si="129"/>
        <v>2.4799370887847116E-2</v>
      </c>
      <c r="T744">
        <v>1899.099976</v>
      </c>
      <c r="U744">
        <f t="shared" si="130"/>
        <v>4.9980664261100483E-2</v>
      </c>
      <c r="W744">
        <f t="shared" si="131"/>
        <v>4.6184231244312438E-2</v>
      </c>
      <c r="X744">
        <v>-6.6089512967263384E-4</v>
      </c>
    </row>
    <row r="745" spans="1:24" x14ac:dyDescent="0.35">
      <c r="A745" s="1">
        <v>43916</v>
      </c>
      <c r="B745">
        <v>974.8615112</v>
      </c>
      <c r="C745">
        <f t="shared" si="121"/>
        <v>-1.4830224058135832E-2</v>
      </c>
      <c r="D745">
        <v>1790.9499510000001</v>
      </c>
      <c r="E745">
        <f t="shared" si="122"/>
        <v>2.3224533429696548E-2</v>
      </c>
      <c r="F745">
        <v>901.09997559999999</v>
      </c>
      <c r="G745">
        <f t="shared" si="123"/>
        <v>5.1765363991829627E-2</v>
      </c>
      <c r="H745">
        <v>462.0254822</v>
      </c>
      <c r="I745">
        <f t="shared" si="124"/>
        <v>9.6947148830743402E-2</v>
      </c>
      <c r="J745">
        <v>643</v>
      </c>
      <c r="K745">
        <f t="shared" si="125"/>
        <v>6.0706016264247209E-2</v>
      </c>
      <c r="L745">
        <v>156.3999939</v>
      </c>
      <c r="M745">
        <f t="shared" si="126"/>
        <v>6.1418306246001642E-2</v>
      </c>
      <c r="N745">
        <v>338.2999878</v>
      </c>
      <c r="O745">
        <f t="shared" si="127"/>
        <v>-2.6894883543963188E-2</v>
      </c>
      <c r="P745">
        <v>64.75</v>
      </c>
      <c r="Q745">
        <f t="shared" si="128"/>
        <v>5.1990264817426635E-2</v>
      </c>
      <c r="R745">
        <v>70.800003050000001</v>
      </c>
      <c r="S745">
        <f t="shared" si="129"/>
        <v>7.8292249110321066E-3</v>
      </c>
      <c r="T745">
        <v>1994.0500489999999</v>
      </c>
      <c r="U745">
        <f t="shared" si="130"/>
        <v>4.9997406245030573E-2</v>
      </c>
      <c r="W745">
        <f t="shared" si="131"/>
        <v>3.6215315713390879E-2</v>
      </c>
      <c r="X745">
        <v>-6.5039759179473825E-4</v>
      </c>
    </row>
    <row r="746" spans="1:24" x14ac:dyDescent="0.35">
      <c r="A746" s="1">
        <v>43917</v>
      </c>
      <c r="B746">
        <v>974.31292719999999</v>
      </c>
      <c r="C746">
        <f t="shared" si="121"/>
        <v>-5.6273018649055651E-4</v>
      </c>
      <c r="D746">
        <v>1824.5</v>
      </c>
      <c r="E746">
        <f t="shared" si="122"/>
        <v>1.8733102497513698E-2</v>
      </c>
      <c r="F746">
        <v>904.45001219999995</v>
      </c>
      <c r="G746">
        <f t="shared" si="123"/>
        <v>3.7177191107671259E-3</v>
      </c>
      <c r="H746">
        <v>440.67630000000003</v>
      </c>
      <c r="I746">
        <f t="shared" si="124"/>
        <v>-4.6207802431897926E-2</v>
      </c>
      <c r="J746">
        <v>652.70001219999995</v>
      </c>
      <c r="K746">
        <f t="shared" si="125"/>
        <v>1.508555552099522E-2</v>
      </c>
      <c r="L746">
        <v>163.1999969</v>
      </c>
      <c r="M746">
        <f t="shared" si="126"/>
        <v>4.3478281746915037E-2</v>
      </c>
      <c r="N746">
        <v>338.25</v>
      </c>
      <c r="O746">
        <f t="shared" si="127"/>
        <v>-1.4776175525477164E-4</v>
      </c>
      <c r="P746">
        <v>64.449996949999999</v>
      </c>
      <c r="Q746">
        <f t="shared" si="128"/>
        <v>-4.6332517374517712E-3</v>
      </c>
      <c r="R746">
        <v>70.699996949999999</v>
      </c>
      <c r="S746">
        <f t="shared" si="129"/>
        <v>-1.4125154758732883E-3</v>
      </c>
      <c r="T746">
        <v>2079.6999510000001</v>
      </c>
      <c r="U746">
        <f t="shared" si="130"/>
        <v>4.2952734332296627E-2</v>
      </c>
      <c r="W746">
        <f t="shared" si="131"/>
        <v>7.1003331621519398E-3</v>
      </c>
      <c r="X746">
        <v>-6.2540637557593169E-4</v>
      </c>
    </row>
    <row r="747" spans="1:24" x14ac:dyDescent="0.35">
      <c r="A747" s="1">
        <v>43920</v>
      </c>
      <c r="B747">
        <v>942.17413329999999</v>
      </c>
      <c r="C747">
        <f t="shared" si="121"/>
        <v>-3.2986110522377099E-2</v>
      </c>
      <c r="D747">
        <v>1778.5</v>
      </c>
      <c r="E747">
        <f t="shared" si="122"/>
        <v>-2.5212386955330235E-2</v>
      </c>
      <c r="F747">
        <v>831.65002440000001</v>
      </c>
      <c r="G747">
        <f t="shared" si="123"/>
        <v>-8.0490891500924366E-2</v>
      </c>
      <c r="H747">
        <v>423.10617070000001</v>
      </c>
      <c r="I747">
        <f t="shared" si="124"/>
        <v>-3.9870828769325684E-2</v>
      </c>
      <c r="J747">
        <v>626.70001219999995</v>
      </c>
      <c r="K747">
        <f t="shared" si="125"/>
        <v>-3.983453273175841E-2</v>
      </c>
      <c r="L747">
        <v>159.1999969</v>
      </c>
      <c r="M747">
        <f t="shared" si="126"/>
        <v>-2.4509804387134793E-2</v>
      </c>
      <c r="N747">
        <v>332.7000122</v>
      </c>
      <c r="O747">
        <f t="shared" si="127"/>
        <v>-1.6407946193643719E-2</v>
      </c>
      <c r="P747">
        <v>63.349998470000003</v>
      </c>
      <c r="Q747">
        <f t="shared" si="128"/>
        <v>-1.7067471405054824E-2</v>
      </c>
      <c r="R747">
        <v>68.150001529999997</v>
      </c>
      <c r="S747">
        <f t="shared" si="129"/>
        <v>-3.6067829278739527E-2</v>
      </c>
      <c r="T747">
        <v>2114.5500489999999</v>
      </c>
      <c r="U747">
        <f t="shared" si="130"/>
        <v>1.6757272116702415E-2</v>
      </c>
      <c r="W747">
        <f t="shared" si="131"/>
        <v>-2.9569052962758632E-2</v>
      </c>
      <c r="X747">
        <v>-6.1599843992565751E-4</v>
      </c>
    </row>
    <row r="748" spans="1:24" x14ac:dyDescent="0.35">
      <c r="A748" s="1">
        <v>43921</v>
      </c>
      <c r="B748">
        <v>1018.338074</v>
      </c>
      <c r="C748">
        <f t="shared" si="121"/>
        <v>8.0838496842651653E-2</v>
      </c>
      <c r="D748">
        <v>1826.099976</v>
      </c>
      <c r="E748">
        <f t="shared" si="122"/>
        <v>2.676411357885855E-2</v>
      </c>
      <c r="F748">
        <v>861.90002440000001</v>
      </c>
      <c r="G748">
        <f t="shared" si="123"/>
        <v>3.637347335115404E-2</v>
      </c>
      <c r="H748">
        <v>432.77465819999998</v>
      </c>
      <c r="I748">
        <f t="shared" si="124"/>
        <v>2.2851208915256604E-2</v>
      </c>
      <c r="J748">
        <v>641.5</v>
      </c>
      <c r="K748">
        <f t="shared" si="125"/>
        <v>2.3615745192098192E-2</v>
      </c>
      <c r="L748">
        <v>171.6999969</v>
      </c>
      <c r="M748">
        <f t="shared" si="126"/>
        <v>7.8517589468621418E-2</v>
      </c>
      <c r="N748">
        <v>352.2999878</v>
      </c>
      <c r="O748">
        <f t="shared" si="127"/>
        <v>5.8911857172453619E-2</v>
      </c>
      <c r="P748">
        <v>68.300003050000001</v>
      </c>
      <c r="Q748">
        <f t="shared" si="128"/>
        <v>7.8137406464881209E-2</v>
      </c>
      <c r="R748">
        <v>71.050003050000001</v>
      </c>
      <c r="S748">
        <f t="shared" si="129"/>
        <v>4.2553212837763477E-2</v>
      </c>
      <c r="T748">
        <v>2187.5</v>
      </c>
      <c r="U748">
        <f t="shared" si="130"/>
        <v>3.4499042022911208E-2</v>
      </c>
      <c r="W748">
        <f t="shared" si="131"/>
        <v>4.8306214584664997E-2</v>
      </c>
      <c r="X748">
        <v>-6.1113473643169519E-4</v>
      </c>
    </row>
    <row r="749" spans="1:24" x14ac:dyDescent="0.35">
      <c r="A749" s="1">
        <v>43922</v>
      </c>
      <c r="B749">
        <v>987.89080809999996</v>
      </c>
      <c r="C749">
        <f t="shared" si="121"/>
        <v>-2.9898976260805177E-2</v>
      </c>
      <c r="D749">
        <v>1708.75</v>
      </c>
      <c r="E749">
        <f t="shared" si="122"/>
        <v>-6.4262623921090278E-2</v>
      </c>
      <c r="F749">
        <v>829.65002440000001</v>
      </c>
      <c r="G749">
        <f t="shared" si="123"/>
        <v>-3.7417332738156506E-2</v>
      </c>
      <c r="H749">
        <v>413.58493040000002</v>
      </c>
      <c r="I749">
        <f t="shared" si="124"/>
        <v>-4.4341154077306766E-2</v>
      </c>
      <c r="J749">
        <v>602.79998780000005</v>
      </c>
      <c r="K749">
        <f t="shared" si="125"/>
        <v>-6.032737677318778E-2</v>
      </c>
      <c r="L749">
        <v>166.3999939</v>
      </c>
      <c r="M749">
        <f t="shared" si="126"/>
        <v>-3.0867810691265096E-2</v>
      </c>
      <c r="N749">
        <v>343.5499878</v>
      </c>
      <c r="O749">
        <f t="shared" si="127"/>
        <v>-2.4836787689494155E-2</v>
      </c>
      <c r="P749">
        <v>65.75</v>
      </c>
      <c r="Q749">
        <f t="shared" si="128"/>
        <v>-3.7335328493810382E-2</v>
      </c>
      <c r="R749">
        <v>67.949996949999999</v>
      </c>
      <c r="S749">
        <f t="shared" si="129"/>
        <v>-4.3631329583736056E-2</v>
      </c>
      <c r="T749">
        <v>2082.6999510000001</v>
      </c>
      <c r="U749">
        <f t="shared" si="130"/>
        <v>-4.7908593828571377E-2</v>
      </c>
      <c r="W749">
        <f t="shared" si="131"/>
        <v>-4.2082731405742355E-2</v>
      </c>
      <c r="X749">
        <v>-5.9817780075553922E-4</v>
      </c>
    </row>
    <row r="750" spans="1:24" x14ac:dyDescent="0.35">
      <c r="A750" s="1">
        <v>43924</v>
      </c>
      <c r="B750">
        <v>985.14776610000001</v>
      </c>
      <c r="C750">
        <f t="shared" si="121"/>
        <v>-2.7766651714025148E-3</v>
      </c>
      <c r="D750">
        <v>1654.1999510000001</v>
      </c>
      <c r="E750">
        <f t="shared" si="122"/>
        <v>-3.1923949670811913E-2</v>
      </c>
      <c r="F750">
        <v>813.84997559999999</v>
      </c>
      <c r="G750">
        <f t="shared" si="123"/>
        <v>-1.9044233514519004E-2</v>
      </c>
      <c r="H750">
        <v>416.13702389999997</v>
      </c>
      <c r="I750">
        <f t="shared" si="124"/>
        <v>6.1706636591707387E-3</v>
      </c>
      <c r="J750">
        <v>585.70001219999995</v>
      </c>
      <c r="K750">
        <f t="shared" si="125"/>
        <v>-2.8367577880034078E-2</v>
      </c>
      <c r="L750">
        <v>177.8999939</v>
      </c>
      <c r="M750">
        <f t="shared" si="126"/>
        <v>6.9110579456577836E-2</v>
      </c>
      <c r="N750">
        <v>375.9500122</v>
      </c>
      <c r="O750">
        <f t="shared" si="127"/>
        <v>9.4309490759935333E-2</v>
      </c>
      <c r="P750">
        <v>69.849998470000003</v>
      </c>
      <c r="Q750">
        <f t="shared" si="128"/>
        <v>6.23573911787072E-2</v>
      </c>
      <c r="R750">
        <v>65.300003050000001</v>
      </c>
      <c r="S750">
        <f t="shared" si="129"/>
        <v>-3.8999176143450831E-2</v>
      </c>
      <c r="T750">
        <v>2066.9499510000001</v>
      </c>
      <c r="U750">
        <f t="shared" si="130"/>
        <v>-7.5622991167967335E-3</v>
      </c>
      <c r="W750">
        <f t="shared" si="131"/>
        <v>1.0327422355737604E-2</v>
      </c>
      <c r="X750">
        <v>-5.9326343834784686E-4</v>
      </c>
    </row>
    <row r="751" spans="1:24" x14ac:dyDescent="0.35">
      <c r="A751" s="1">
        <v>43928</v>
      </c>
      <c r="B751">
        <v>1102.7767329999999</v>
      </c>
      <c r="C751">
        <f t="shared" si="121"/>
        <v>0.11940235865901538</v>
      </c>
      <c r="D751">
        <v>1775.1999510000001</v>
      </c>
      <c r="E751">
        <f t="shared" si="122"/>
        <v>7.3147142778509311E-2</v>
      </c>
      <c r="F751">
        <v>896.09997559999999</v>
      </c>
      <c r="G751">
        <f t="shared" si="123"/>
        <v>0.10106285244938706</v>
      </c>
      <c r="H751">
        <v>461.53469849999999</v>
      </c>
      <c r="I751">
        <f t="shared" si="124"/>
        <v>0.10909309192087013</v>
      </c>
      <c r="J751">
        <v>639</v>
      </c>
      <c r="K751">
        <f t="shared" si="125"/>
        <v>9.1002196840999305E-2</v>
      </c>
      <c r="L751">
        <v>181.5500031</v>
      </c>
      <c r="M751">
        <f t="shared" si="126"/>
        <v>2.051719688114062E-2</v>
      </c>
      <c r="N751">
        <v>417.35000609999997</v>
      </c>
      <c r="O751">
        <f t="shared" si="127"/>
        <v>0.11012100693316573</v>
      </c>
      <c r="P751">
        <v>72.900001529999997</v>
      </c>
      <c r="Q751">
        <f t="shared" si="128"/>
        <v>4.3665041185504849E-2</v>
      </c>
      <c r="R751">
        <v>67.25</v>
      </c>
      <c r="S751">
        <f t="shared" si="129"/>
        <v>2.9862126476577489E-2</v>
      </c>
      <c r="T751">
        <v>2170.25</v>
      </c>
      <c r="U751">
        <f t="shared" si="130"/>
        <v>4.9977044170819385E-2</v>
      </c>
      <c r="W751">
        <f t="shared" si="131"/>
        <v>7.4785005829598933E-2</v>
      </c>
      <c r="X751">
        <v>-5.920151840348672E-4</v>
      </c>
    </row>
    <row r="752" spans="1:24" x14ac:dyDescent="0.35">
      <c r="A752" s="1">
        <v>43929</v>
      </c>
      <c r="B752">
        <v>1090.0217290000001</v>
      </c>
      <c r="C752">
        <f t="shared" si="121"/>
        <v>-1.1566261436529501E-2</v>
      </c>
      <c r="D752">
        <v>1705.4499510000001</v>
      </c>
      <c r="E752">
        <f t="shared" si="122"/>
        <v>-3.929134853834837E-2</v>
      </c>
      <c r="F752">
        <v>888.90002440000001</v>
      </c>
      <c r="G752">
        <f t="shared" si="123"/>
        <v>-8.0347633032565868E-3</v>
      </c>
      <c r="H752">
        <v>453.14224239999999</v>
      </c>
      <c r="I752">
        <f t="shared" si="124"/>
        <v>-1.8183803140426336E-2</v>
      </c>
      <c r="J752">
        <v>631.59997559999999</v>
      </c>
      <c r="K752">
        <f t="shared" si="125"/>
        <v>-1.1580632863849805E-2</v>
      </c>
      <c r="L752">
        <v>178.6499939</v>
      </c>
      <c r="M752">
        <f t="shared" si="126"/>
        <v>-1.5973611404471511E-2</v>
      </c>
      <c r="N752">
        <v>436.7000122</v>
      </c>
      <c r="O752">
        <f t="shared" si="127"/>
        <v>4.6363977038887727E-2</v>
      </c>
      <c r="P752">
        <v>74.449996949999999</v>
      </c>
      <c r="Q752">
        <f t="shared" si="128"/>
        <v>2.126193947145727E-2</v>
      </c>
      <c r="R752">
        <v>67.599998470000003</v>
      </c>
      <c r="S752">
        <f t="shared" si="129"/>
        <v>5.2044382156133384E-3</v>
      </c>
      <c r="T752">
        <v>2278.75</v>
      </c>
      <c r="U752">
        <f t="shared" si="130"/>
        <v>4.9994240294896963E-2</v>
      </c>
      <c r="W752">
        <f t="shared" si="131"/>
        <v>1.8194174333973209E-3</v>
      </c>
      <c r="X752">
        <v>-5.7543921391124426E-4</v>
      </c>
    </row>
    <row r="753" spans="1:24" x14ac:dyDescent="0.35">
      <c r="A753" s="1">
        <v>43930</v>
      </c>
      <c r="B753">
        <v>1115.440186</v>
      </c>
      <c r="C753">
        <f t="shared" si="121"/>
        <v>2.3319220455650269E-2</v>
      </c>
      <c r="D753">
        <v>1766.150024</v>
      </c>
      <c r="E753">
        <f t="shared" si="122"/>
        <v>3.5591823122342658E-2</v>
      </c>
      <c r="F753">
        <v>925.04998780000005</v>
      </c>
      <c r="G753">
        <f t="shared" si="123"/>
        <v>4.0668199356165946E-2</v>
      </c>
      <c r="H753">
        <v>479.69375609999997</v>
      </c>
      <c r="I753">
        <f t="shared" si="124"/>
        <v>5.8594214389225519E-2</v>
      </c>
      <c r="J753">
        <v>636.25</v>
      </c>
      <c r="K753">
        <f t="shared" si="125"/>
        <v>7.3622935079797891E-3</v>
      </c>
      <c r="L753">
        <v>185.25</v>
      </c>
      <c r="M753">
        <f t="shared" si="126"/>
        <v>3.6943780158729789E-2</v>
      </c>
      <c r="N753">
        <v>454.4500122</v>
      </c>
      <c r="O753">
        <f t="shared" si="127"/>
        <v>4.0645751097141858E-2</v>
      </c>
      <c r="P753">
        <v>77.300003050000001</v>
      </c>
      <c r="Q753">
        <f t="shared" si="128"/>
        <v>3.8280808821443468E-2</v>
      </c>
      <c r="R753">
        <v>74.599998470000003</v>
      </c>
      <c r="S753">
        <f t="shared" si="129"/>
        <v>0.10355029820165607</v>
      </c>
      <c r="T753">
        <v>2392.6499020000001</v>
      </c>
      <c r="U753">
        <f t="shared" si="130"/>
        <v>4.9983500603401065E-2</v>
      </c>
      <c r="W753">
        <f t="shared" si="131"/>
        <v>4.3493988971373646E-2</v>
      </c>
      <c r="X753">
        <v>-5.6546270026888159E-4</v>
      </c>
    </row>
    <row r="754" spans="1:24" x14ac:dyDescent="0.35">
      <c r="A754" s="1">
        <v>43934</v>
      </c>
      <c r="B754">
        <v>1087.2788089999999</v>
      </c>
      <c r="C754">
        <f t="shared" si="121"/>
        <v>-2.5246873255470259E-2</v>
      </c>
      <c r="D754">
        <v>1759.25</v>
      </c>
      <c r="E754">
        <f t="shared" si="122"/>
        <v>-3.9068164687237061E-3</v>
      </c>
      <c r="F754">
        <v>895.34997559999999</v>
      </c>
      <c r="G754">
        <f t="shared" si="123"/>
        <v>-3.2106386240417284E-2</v>
      </c>
      <c r="H754">
        <v>502.76068120000002</v>
      </c>
      <c r="I754">
        <f t="shared" si="124"/>
        <v>4.8086773710665831E-2</v>
      </c>
      <c r="J754">
        <v>637.40002440000001</v>
      </c>
      <c r="K754">
        <f t="shared" si="125"/>
        <v>1.8075039685658822E-3</v>
      </c>
      <c r="L754">
        <v>181.6000061</v>
      </c>
      <c r="M754">
        <f t="shared" si="126"/>
        <v>-1.9703070985155224E-2</v>
      </c>
      <c r="N754">
        <v>462.35000609999997</v>
      </c>
      <c r="O754">
        <f t="shared" si="127"/>
        <v>1.7383636677125391E-2</v>
      </c>
      <c r="P754">
        <v>75.050003050000001</v>
      </c>
      <c r="Q754">
        <f t="shared" si="128"/>
        <v>-2.910737271956676E-2</v>
      </c>
      <c r="R754">
        <v>74.25</v>
      </c>
      <c r="S754">
        <f t="shared" si="129"/>
        <v>-4.6916685948827919E-3</v>
      </c>
      <c r="T754">
        <v>2273.0500489999999</v>
      </c>
      <c r="U754">
        <f t="shared" si="130"/>
        <v>-4.9986357343808407E-2</v>
      </c>
      <c r="W754">
        <f t="shared" si="131"/>
        <v>-9.7470631251667331E-3</v>
      </c>
      <c r="X754">
        <v>-5.6413082691605444E-4</v>
      </c>
    </row>
    <row r="755" spans="1:24" x14ac:dyDescent="0.35">
      <c r="A755" s="1">
        <v>43936</v>
      </c>
      <c r="B755">
        <v>1051.3454589999999</v>
      </c>
      <c r="C755">
        <f t="shared" si="121"/>
        <v>-3.3048882864781359E-2</v>
      </c>
      <c r="D755">
        <v>1735.150024</v>
      </c>
      <c r="E755">
        <f t="shared" si="122"/>
        <v>-1.3699005826346422E-2</v>
      </c>
      <c r="F755">
        <v>863.29998780000005</v>
      </c>
      <c r="G755">
        <f t="shared" si="123"/>
        <v>-3.5796044757271939E-2</v>
      </c>
      <c r="H755">
        <v>501.09201050000001</v>
      </c>
      <c r="I755">
        <f t="shared" si="124"/>
        <v>-3.3190159103476669E-3</v>
      </c>
      <c r="J755">
        <v>639.04998780000005</v>
      </c>
      <c r="K755">
        <f t="shared" si="125"/>
        <v>2.5885838356425328E-3</v>
      </c>
      <c r="L755">
        <v>189.3500061</v>
      </c>
      <c r="M755">
        <f t="shared" si="126"/>
        <v>4.267621002023736E-2</v>
      </c>
      <c r="N755">
        <v>449.2000122</v>
      </c>
      <c r="O755">
        <f t="shared" si="127"/>
        <v>-2.8441643184829557E-2</v>
      </c>
      <c r="P755">
        <v>74.349998470000003</v>
      </c>
      <c r="Q755">
        <f t="shared" si="128"/>
        <v>-9.3271759034259105E-3</v>
      </c>
      <c r="R755">
        <v>72.900001529999997</v>
      </c>
      <c r="S755">
        <f t="shared" si="129"/>
        <v>-1.8181797575757663E-2</v>
      </c>
      <c r="T755">
        <v>2180.8999020000001</v>
      </c>
      <c r="U755">
        <f t="shared" si="130"/>
        <v>-4.0540307082345239E-2</v>
      </c>
      <c r="W755">
        <f t="shared" si="131"/>
        <v>-1.3708907924922586E-2</v>
      </c>
      <c r="X755">
        <v>-5.4719832064920038E-4</v>
      </c>
    </row>
    <row r="756" spans="1:24" x14ac:dyDescent="0.35">
      <c r="A756" s="1">
        <v>43937</v>
      </c>
      <c r="B756">
        <v>1067.986328</v>
      </c>
      <c r="C756">
        <f t="shared" si="121"/>
        <v>1.5828164622338603E-2</v>
      </c>
      <c r="D756">
        <v>1716.0500489999999</v>
      </c>
      <c r="E756">
        <f t="shared" si="122"/>
        <v>-1.1007679299089856E-2</v>
      </c>
      <c r="F756">
        <v>879.75</v>
      </c>
      <c r="G756">
        <f t="shared" si="123"/>
        <v>1.9054804161321215E-2</v>
      </c>
      <c r="H756">
        <v>491.22720340000001</v>
      </c>
      <c r="I756">
        <f t="shared" si="124"/>
        <v>-1.9686618212405138E-2</v>
      </c>
      <c r="J756">
        <v>623.84997559999999</v>
      </c>
      <c r="K756">
        <f t="shared" si="125"/>
        <v>-2.3785325858979744E-2</v>
      </c>
      <c r="L756">
        <v>186.3500061</v>
      </c>
      <c r="M756">
        <f t="shared" si="126"/>
        <v>-1.5843675222358522E-2</v>
      </c>
      <c r="N756">
        <v>463.7000122</v>
      </c>
      <c r="O756">
        <f t="shared" si="127"/>
        <v>3.2279607315647274E-2</v>
      </c>
      <c r="P756">
        <v>75.449996949999999</v>
      </c>
      <c r="Q756">
        <f t="shared" si="128"/>
        <v>1.4794868898939439E-2</v>
      </c>
      <c r="R756">
        <v>74.650001529999997</v>
      </c>
      <c r="S756">
        <f t="shared" si="129"/>
        <v>2.4005486464631076E-2</v>
      </c>
      <c r="T756">
        <v>2137.8500979999999</v>
      </c>
      <c r="U756">
        <f t="shared" si="130"/>
        <v>-1.973946807944793E-2</v>
      </c>
      <c r="W756">
        <f t="shared" si="131"/>
        <v>1.5900164790596414E-3</v>
      </c>
      <c r="X756">
        <v>-5.0710520599617269E-4</v>
      </c>
    </row>
    <row r="757" spans="1:24" x14ac:dyDescent="0.35">
      <c r="A757" s="1">
        <v>43938</v>
      </c>
      <c r="B757">
        <v>1119.143188</v>
      </c>
      <c r="C757">
        <f t="shared" si="121"/>
        <v>4.79002948434748E-2</v>
      </c>
      <c r="D757">
        <v>1806.1999510000001</v>
      </c>
      <c r="E757">
        <f t="shared" si="122"/>
        <v>5.2533375732563004E-2</v>
      </c>
      <c r="F757">
        <v>910.29998780000005</v>
      </c>
      <c r="G757">
        <f t="shared" si="123"/>
        <v>3.4725760500142089E-2</v>
      </c>
      <c r="H757">
        <v>493.19033810000002</v>
      </c>
      <c r="I757">
        <f t="shared" si="124"/>
        <v>3.9963884052274246E-3</v>
      </c>
      <c r="J757">
        <v>628.75</v>
      </c>
      <c r="K757">
        <f t="shared" si="125"/>
        <v>7.8544916112039953E-3</v>
      </c>
      <c r="L757">
        <v>188.1000061</v>
      </c>
      <c r="M757">
        <f t="shared" si="126"/>
        <v>9.3909307363311267E-3</v>
      </c>
      <c r="N757">
        <v>457.10000609999997</v>
      </c>
      <c r="O757">
        <f t="shared" si="127"/>
        <v>-1.4233353302465224E-2</v>
      </c>
      <c r="P757">
        <v>76.300003050000001</v>
      </c>
      <c r="Q757">
        <f t="shared" si="128"/>
        <v>1.1265820203588461E-2</v>
      </c>
      <c r="R757">
        <v>76.849998470000003</v>
      </c>
      <c r="S757">
        <f t="shared" si="129"/>
        <v>2.9470822436833854E-2</v>
      </c>
      <c r="T757">
        <v>2212.1000979999999</v>
      </c>
      <c r="U757">
        <f t="shared" si="130"/>
        <v>3.4731153540401349E-2</v>
      </c>
      <c r="W757">
        <f t="shared" si="131"/>
        <v>2.1763568470730087E-2</v>
      </c>
      <c r="X757">
        <v>-4.7036761595924391E-4</v>
      </c>
    </row>
    <row r="758" spans="1:24" x14ac:dyDescent="0.35">
      <c r="A758" s="1">
        <v>43941</v>
      </c>
      <c r="B758">
        <v>1137.2470699999999</v>
      </c>
      <c r="C758">
        <f t="shared" si="121"/>
        <v>1.617655559549358E-2</v>
      </c>
      <c r="D758">
        <v>1818.650024</v>
      </c>
      <c r="E758">
        <f t="shared" si="122"/>
        <v>6.8929649749502886E-3</v>
      </c>
      <c r="F758">
        <v>944.84997559999999</v>
      </c>
      <c r="G758">
        <f t="shared" si="123"/>
        <v>3.7954507594249121E-2</v>
      </c>
      <c r="H758">
        <v>481.26425169999999</v>
      </c>
      <c r="I758">
        <f t="shared" si="124"/>
        <v>-2.4181508595535139E-2</v>
      </c>
      <c r="J758">
        <v>653.29998780000005</v>
      </c>
      <c r="K758">
        <f t="shared" si="125"/>
        <v>3.9045706242544886E-2</v>
      </c>
      <c r="L758">
        <v>180.6999969</v>
      </c>
      <c r="M758">
        <f t="shared" si="126"/>
        <v>-3.9340823817230031E-2</v>
      </c>
      <c r="N758">
        <v>473.39999390000003</v>
      </c>
      <c r="O758">
        <f t="shared" si="127"/>
        <v>3.5659565920972858E-2</v>
      </c>
      <c r="P758">
        <v>74</v>
      </c>
      <c r="Q758">
        <f t="shared" si="128"/>
        <v>-3.0144206527656259E-2</v>
      </c>
      <c r="R758">
        <v>80.449996949999999</v>
      </c>
      <c r="S758">
        <f t="shared" si="129"/>
        <v>4.6844483430996231E-2</v>
      </c>
      <c r="T758">
        <v>2256.25</v>
      </c>
      <c r="U758">
        <f t="shared" si="130"/>
        <v>1.9958365374115328E-2</v>
      </c>
      <c r="W758">
        <f t="shared" si="131"/>
        <v>1.0886561019290086E-2</v>
      </c>
      <c r="X758">
        <v>-4.5835364618745922E-4</v>
      </c>
    </row>
    <row r="759" spans="1:24" x14ac:dyDescent="0.35">
      <c r="A759" s="1">
        <v>43942</v>
      </c>
      <c r="B759">
        <v>1131.3496090000001</v>
      </c>
      <c r="C759">
        <f t="shared" si="121"/>
        <v>-5.1857341782377553E-3</v>
      </c>
      <c r="D759">
        <v>1737.650024</v>
      </c>
      <c r="E759">
        <f t="shared" si="122"/>
        <v>-4.4538530740425686E-2</v>
      </c>
      <c r="F759">
        <v>921.65002440000001</v>
      </c>
      <c r="G759">
        <f t="shared" si="123"/>
        <v>-2.4554111021982683E-2</v>
      </c>
      <c r="H759">
        <v>491.27627560000002</v>
      </c>
      <c r="I759">
        <f t="shared" si="124"/>
        <v>2.0803589430617331E-2</v>
      </c>
      <c r="J759">
        <v>633.20001219999995</v>
      </c>
      <c r="K759">
        <f t="shared" si="125"/>
        <v>-3.0766839086722064E-2</v>
      </c>
      <c r="L759">
        <v>179.6000061</v>
      </c>
      <c r="M759">
        <f t="shared" si="126"/>
        <v>-6.087386933430583E-3</v>
      </c>
      <c r="N759">
        <v>473.14999390000003</v>
      </c>
      <c r="O759">
        <f t="shared" si="127"/>
        <v>-5.2809464136327477E-4</v>
      </c>
      <c r="P759">
        <v>69.349998470000003</v>
      </c>
      <c r="Q759">
        <f t="shared" si="128"/>
        <v>-6.2837858513513423E-2</v>
      </c>
      <c r="R759">
        <v>74.650001529999997</v>
      </c>
      <c r="S759">
        <f t="shared" si="129"/>
        <v>-7.2094414417501085E-2</v>
      </c>
      <c r="T759">
        <v>2238.1999510000001</v>
      </c>
      <c r="U759">
        <f t="shared" si="130"/>
        <v>-8.0000217174515109E-3</v>
      </c>
      <c r="W759">
        <f t="shared" si="131"/>
        <v>-2.3378940182001075E-2</v>
      </c>
      <c r="X759">
        <v>-4.5568408410536789E-4</v>
      </c>
    </row>
    <row r="760" spans="1:24" x14ac:dyDescent="0.35">
      <c r="A760" s="1">
        <v>43943</v>
      </c>
      <c r="B760">
        <v>1246.784058</v>
      </c>
      <c r="C760">
        <f t="shared" si="121"/>
        <v>0.10203251769542065</v>
      </c>
      <c r="D760">
        <v>1769.5</v>
      </c>
      <c r="E760">
        <f t="shared" si="122"/>
        <v>1.8329338796705841E-2</v>
      </c>
      <c r="F760">
        <v>928.59997559999999</v>
      </c>
      <c r="G760">
        <f t="shared" si="123"/>
        <v>7.5407703748768817E-3</v>
      </c>
      <c r="H760">
        <v>492.15969849999999</v>
      </c>
      <c r="I760">
        <f t="shared" si="124"/>
        <v>1.7982201540691634E-3</v>
      </c>
      <c r="J760">
        <v>641.84997559999999</v>
      </c>
      <c r="K760">
        <f t="shared" si="125"/>
        <v>1.3660712623719817E-2</v>
      </c>
      <c r="L760">
        <v>182.25</v>
      </c>
      <c r="M760">
        <f t="shared" si="126"/>
        <v>1.4754976670348752E-2</v>
      </c>
      <c r="N760">
        <v>474.35000609999997</v>
      </c>
      <c r="O760">
        <f t="shared" si="127"/>
        <v>2.5362194134437299E-3</v>
      </c>
      <c r="P760">
        <v>65.349998470000003</v>
      </c>
      <c r="Q760">
        <f t="shared" si="128"/>
        <v>-5.7678443954549685E-2</v>
      </c>
      <c r="R760">
        <v>75.900001529999997</v>
      </c>
      <c r="S760">
        <f t="shared" si="129"/>
        <v>1.6744808765980501E-2</v>
      </c>
      <c r="T760">
        <v>2290.0500489999999</v>
      </c>
      <c r="U760">
        <f t="shared" si="130"/>
        <v>2.3165981205939046E-2</v>
      </c>
      <c r="W760">
        <f t="shared" si="131"/>
        <v>1.4288510174595473E-2</v>
      </c>
      <c r="X760">
        <v>-4.4575394462407223E-4</v>
      </c>
    </row>
    <row r="761" spans="1:24" x14ac:dyDescent="0.35">
      <c r="A761" s="1">
        <v>43944</v>
      </c>
      <c r="B761">
        <v>1253.45874</v>
      </c>
      <c r="C761">
        <f t="shared" si="121"/>
        <v>5.3535188849840321E-3</v>
      </c>
      <c r="D761">
        <v>1878.25</v>
      </c>
      <c r="E761">
        <f t="shared" si="122"/>
        <v>6.1458038994066211E-2</v>
      </c>
      <c r="F761">
        <v>954.95001219999995</v>
      </c>
      <c r="G761">
        <f t="shared" si="123"/>
        <v>2.8376090127478548E-2</v>
      </c>
      <c r="H761">
        <v>486.85922240000002</v>
      </c>
      <c r="I761">
        <f t="shared" si="124"/>
        <v>-1.0769829622691018E-2</v>
      </c>
      <c r="J761">
        <v>679.29998780000005</v>
      </c>
      <c r="K761">
        <f t="shared" si="125"/>
        <v>5.8346987027602326E-2</v>
      </c>
      <c r="L761">
        <v>180.5500031</v>
      </c>
      <c r="M761">
        <f t="shared" si="126"/>
        <v>-9.327829355281203E-3</v>
      </c>
      <c r="N761">
        <v>477.4500122</v>
      </c>
      <c r="O761">
        <f t="shared" si="127"/>
        <v>6.5352715508271153E-3</v>
      </c>
      <c r="P761">
        <v>67.349998470000003</v>
      </c>
      <c r="Q761">
        <f t="shared" si="128"/>
        <v>3.0604438359981501E-2</v>
      </c>
      <c r="R761">
        <v>75.650001529999997</v>
      </c>
      <c r="S761">
        <f t="shared" si="129"/>
        <v>-3.2938075752367846E-3</v>
      </c>
      <c r="T761">
        <v>2303.5</v>
      </c>
      <c r="U761">
        <f t="shared" si="130"/>
        <v>5.8732126862788281E-3</v>
      </c>
      <c r="W761">
        <f t="shared" si="131"/>
        <v>1.7315609107800955E-2</v>
      </c>
      <c r="X761">
        <v>-4.3477496028911902E-4</v>
      </c>
    </row>
    <row r="762" spans="1:24" x14ac:dyDescent="0.35">
      <c r="A762" s="1">
        <v>43945</v>
      </c>
      <c r="B762">
        <v>1295.6094969999999</v>
      </c>
      <c r="C762">
        <f t="shared" si="121"/>
        <v>3.3627558414886405E-2</v>
      </c>
      <c r="D762">
        <v>1818.5500489999999</v>
      </c>
      <c r="E762">
        <f t="shared" si="122"/>
        <v>-3.1784880074537503E-2</v>
      </c>
      <c r="F762">
        <v>938.04998780000005</v>
      </c>
      <c r="G762">
        <f t="shared" si="123"/>
        <v>-1.7697286961718461E-2</v>
      </c>
      <c r="H762">
        <v>485.1414795</v>
      </c>
      <c r="I762">
        <f t="shared" si="124"/>
        <v>-3.5282127172867606E-3</v>
      </c>
      <c r="J762">
        <v>658</v>
      </c>
      <c r="K762">
        <f t="shared" si="125"/>
        <v>-3.1355790052319588E-2</v>
      </c>
      <c r="L762">
        <v>180.0500031</v>
      </c>
      <c r="M762">
        <f t="shared" si="126"/>
        <v>-2.7693159314047255E-3</v>
      </c>
      <c r="N762">
        <v>485.5499878</v>
      </c>
      <c r="O762">
        <f t="shared" si="127"/>
        <v>1.6965075700127841E-2</v>
      </c>
      <c r="P762">
        <v>67.599998470000003</v>
      </c>
      <c r="Q762">
        <f t="shared" si="128"/>
        <v>3.7119525713331658E-3</v>
      </c>
      <c r="R762">
        <v>74.199996949999999</v>
      </c>
      <c r="S762">
        <f t="shared" si="129"/>
        <v>-1.9167277603094002E-2</v>
      </c>
      <c r="T762">
        <v>2310.5</v>
      </c>
      <c r="U762">
        <f t="shared" si="130"/>
        <v>3.03885391795089E-3</v>
      </c>
      <c r="W762">
        <f t="shared" si="131"/>
        <v>-4.8959322736062743E-3</v>
      </c>
      <c r="X762">
        <v>-4.0272348542337252E-4</v>
      </c>
    </row>
    <row r="763" spans="1:24" x14ac:dyDescent="0.35">
      <c r="A763" s="1">
        <v>43948</v>
      </c>
      <c r="B763">
        <v>1307.267212</v>
      </c>
      <c r="C763">
        <f t="shared" si="121"/>
        <v>8.9978616450354654E-3</v>
      </c>
      <c r="D763">
        <v>1836.599976</v>
      </c>
      <c r="E763">
        <f t="shared" si="122"/>
        <v>9.9254496789491498E-3</v>
      </c>
      <c r="F763">
        <v>929.70001219999995</v>
      </c>
      <c r="G763">
        <f t="shared" si="123"/>
        <v>-8.9014185902642762E-3</v>
      </c>
      <c r="H763">
        <v>484.94515990000002</v>
      </c>
      <c r="I763">
        <f t="shared" si="124"/>
        <v>-4.0466463556632082E-4</v>
      </c>
      <c r="J763">
        <v>664.59997559999999</v>
      </c>
      <c r="K763">
        <f t="shared" si="125"/>
        <v>1.0030358054711197E-2</v>
      </c>
      <c r="L763">
        <v>179.8500061</v>
      </c>
      <c r="M763">
        <f t="shared" si="126"/>
        <v>-1.1107858736826293E-3</v>
      </c>
      <c r="N763">
        <v>489.89999390000003</v>
      </c>
      <c r="O763">
        <f t="shared" si="127"/>
        <v>8.9589253615465214E-3</v>
      </c>
      <c r="P763">
        <v>68.449996949999999</v>
      </c>
      <c r="Q763">
        <f t="shared" si="128"/>
        <v>1.2573942296421947E-2</v>
      </c>
      <c r="R763">
        <v>75.25</v>
      </c>
      <c r="S763">
        <f t="shared" si="129"/>
        <v>1.4150985083025702E-2</v>
      </c>
      <c r="T763">
        <v>2323.9499510000001</v>
      </c>
      <c r="U763">
        <f t="shared" si="130"/>
        <v>5.8212296039819034E-3</v>
      </c>
      <c r="W763">
        <f t="shared" si="131"/>
        <v>6.0041882624158665E-3</v>
      </c>
      <c r="X763">
        <v>-4.0022738642316871E-4</v>
      </c>
    </row>
    <row r="764" spans="1:24" x14ac:dyDescent="0.35">
      <c r="A764" s="1">
        <v>43949</v>
      </c>
      <c r="B764">
        <v>1305.8043210000001</v>
      </c>
      <c r="C764">
        <f t="shared" si="121"/>
        <v>-1.1190451244943445E-3</v>
      </c>
      <c r="D764">
        <v>1859.0500489999999</v>
      </c>
      <c r="E764">
        <f t="shared" si="122"/>
        <v>1.222371408764511E-2</v>
      </c>
      <c r="F764">
        <v>931.40002440000001</v>
      </c>
      <c r="G764">
        <f t="shared" si="123"/>
        <v>1.8285599415850395E-3</v>
      </c>
      <c r="H764">
        <v>476.69995119999999</v>
      </c>
      <c r="I764">
        <f t="shared" si="124"/>
        <v>-1.700235280562501E-2</v>
      </c>
      <c r="J764">
        <v>660.70001219999995</v>
      </c>
      <c r="K764">
        <f t="shared" si="125"/>
        <v>-5.8681365380417461E-3</v>
      </c>
      <c r="L764">
        <v>179.4499969</v>
      </c>
      <c r="M764">
        <f t="shared" si="126"/>
        <v>-2.2241266968742179E-3</v>
      </c>
      <c r="N764">
        <v>473.9500122</v>
      </c>
      <c r="O764">
        <f t="shared" si="127"/>
        <v>-3.2557627880386963E-2</v>
      </c>
      <c r="P764">
        <v>69.199996949999999</v>
      </c>
      <c r="Q764">
        <f t="shared" si="128"/>
        <v>1.0956903337013157E-2</v>
      </c>
      <c r="R764">
        <v>76.949996949999999</v>
      </c>
      <c r="S764">
        <f t="shared" si="129"/>
        <v>2.2591321594684466E-2</v>
      </c>
      <c r="T764">
        <v>2305.8000489999999</v>
      </c>
      <c r="U764">
        <f t="shared" si="130"/>
        <v>-7.8099366951470683E-3</v>
      </c>
      <c r="W764">
        <f t="shared" si="131"/>
        <v>-1.8980726779641581E-3</v>
      </c>
      <c r="X764">
        <v>-3.8950064025143876E-4</v>
      </c>
    </row>
    <row r="765" spans="1:24" x14ac:dyDescent="0.35">
      <c r="A765" s="1">
        <v>43950</v>
      </c>
      <c r="B765">
        <v>1304.7070309999999</v>
      </c>
      <c r="C765">
        <f t="shared" si="121"/>
        <v>-8.4031732959788386E-4</v>
      </c>
      <c r="D765">
        <v>1905.650024</v>
      </c>
      <c r="E765">
        <f t="shared" si="122"/>
        <v>2.5066552148537813E-2</v>
      </c>
      <c r="F765">
        <v>977.09997559999999</v>
      </c>
      <c r="G765">
        <f t="shared" si="123"/>
        <v>4.9065868587924388E-2</v>
      </c>
      <c r="H765">
        <v>486.85922240000002</v>
      </c>
      <c r="I765">
        <f t="shared" si="124"/>
        <v>2.1311668219025526E-2</v>
      </c>
      <c r="J765">
        <v>676.54998780000005</v>
      </c>
      <c r="K765">
        <f t="shared" si="125"/>
        <v>2.3989670512072347E-2</v>
      </c>
      <c r="L765">
        <v>182.1499939</v>
      </c>
      <c r="M765">
        <f t="shared" si="126"/>
        <v>1.5045957351030648E-2</v>
      </c>
      <c r="N765">
        <v>477.64999390000003</v>
      </c>
      <c r="O765">
        <f t="shared" si="127"/>
        <v>7.8066918551711328E-3</v>
      </c>
      <c r="P765">
        <v>70.5</v>
      </c>
      <c r="Q765">
        <f t="shared" si="128"/>
        <v>1.8786172070777818E-2</v>
      </c>
      <c r="R765">
        <v>78.150001529999997</v>
      </c>
      <c r="S765">
        <f t="shared" si="129"/>
        <v>1.5594602047609207E-2</v>
      </c>
      <c r="T765">
        <v>2344.3500979999999</v>
      </c>
      <c r="U765">
        <f t="shared" si="130"/>
        <v>1.6718730237133439E-2</v>
      </c>
      <c r="W765">
        <f t="shared" si="131"/>
        <v>1.9254559569968445E-2</v>
      </c>
      <c r="X765">
        <v>-3.7533524172679274E-4</v>
      </c>
    </row>
    <row r="766" spans="1:24" x14ac:dyDescent="0.35">
      <c r="A766" s="1">
        <v>43951</v>
      </c>
      <c r="B766">
        <v>1340.4117429999999</v>
      </c>
      <c r="C766">
        <f t="shared" si="121"/>
        <v>2.7366076177756105E-2</v>
      </c>
      <c r="D766">
        <v>2014.4499510000001</v>
      </c>
      <c r="E766">
        <f t="shared" si="122"/>
        <v>5.7093341185296298E-2</v>
      </c>
      <c r="F766">
        <v>1001.799988</v>
      </c>
      <c r="G766">
        <f t="shared" si="123"/>
        <v>2.5278899822746004E-2</v>
      </c>
      <c r="H766">
        <v>504.82196040000002</v>
      </c>
      <c r="I766">
        <f t="shared" si="124"/>
        <v>3.6895137595323035E-2</v>
      </c>
      <c r="J766">
        <v>715.5</v>
      </c>
      <c r="K766">
        <f t="shared" si="125"/>
        <v>5.7571521546629922E-2</v>
      </c>
      <c r="L766">
        <v>182.0500031</v>
      </c>
      <c r="M766">
        <f t="shared" si="126"/>
        <v>-5.4894758906709473E-4</v>
      </c>
      <c r="N766">
        <v>464.4500122</v>
      </c>
      <c r="O766">
        <f t="shared" si="127"/>
        <v>-2.7635259852559657E-2</v>
      </c>
      <c r="P766">
        <v>79.900001529999997</v>
      </c>
      <c r="Q766">
        <f t="shared" si="128"/>
        <v>0.13333335503546095</v>
      </c>
      <c r="R766">
        <v>93.25</v>
      </c>
      <c r="S766">
        <f t="shared" si="129"/>
        <v>0.1932181468250318</v>
      </c>
      <c r="T766">
        <v>2383.6499020000001</v>
      </c>
      <c r="U766">
        <f t="shared" si="130"/>
        <v>1.6763624184599202E-2</v>
      </c>
      <c r="W766">
        <f t="shared" si="131"/>
        <v>5.1933589493121657E-2</v>
      </c>
      <c r="X766">
        <v>-3.6947263513114064E-4</v>
      </c>
    </row>
    <row r="767" spans="1:24" x14ac:dyDescent="0.35">
      <c r="A767" s="1">
        <v>43955</v>
      </c>
      <c r="B767">
        <v>1312.250366</v>
      </c>
      <c r="C767">
        <f t="shared" si="121"/>
        <v>-2.100949737800073E-2</v>
      </c>
      <c r="D767">
        <v>1930.4499510000001</v>
      </c>
      <c r="E767">
        <f t="shared" si="122"/>
        <v>-4.1698727713886052E-2</v>
      </c>
      <c r="F767">
        <v>923</v>
      </c>
      <c r="G767">
        <f t="shared" si="123"/>
        <v>-7.8658403817030154E-2</v>
      </c>
      <c r="H767">
        <v>522.68658449999998</v>
      </c>
      <c r="I767">
        <f t="shared" si="124"/>
        <v>3.5387969425586752E-2</v>
      </c>
      <c r="J767">
        <v>673.70001219999995</v>
      </c>
      <c r="K767">
        <f t="shared" si="125"/>
        <v>-5.8420667784765956E-2</v>
      </c>
      <c r="L767">
        <v>174.0500031</v>
      </c>
      <c r="M767">
        <f t="shared" si="126"/>
        <v>-4.3943970688127942E-2</v>
      </c>
      <c r="N767">
        <v>465.4500122</v>
      </c>
      <c r="O767">
        <f t="shared" si="127"/>
        <v>2.153084236693692E-3</v>
      </c>
      <c r="P767">
        <v>76.550003050000001</v>
      </c>
      <c r="Q767">
        <f t="shared" si="128"/>
        <v>-4.1927389434932349E-2</v>
      </c>
      <c r="R767">
        <v>83.900001529999997</v>
      </c>
      <c r="S767">
        <f t="shared" si="129"/>
        <v>-0.10026808010723864</v>
      </c>
      <c r="T767">
        <v>2281.3000489999999</v>
      </c>
      <c r="U767">
        <f t="shared" si="130"/>
        <v>-4.2938290943700941E-2</v>
      </c>
      <c r="W767">
        <f t="shared" si="131"/>
        <v>-3.9132397420540241E-2</v>
      </c>
      <c r="X767">
        <v>-3.6565309459584143E-4</v>
      </c>
    </row>
    <row r="768" spans="1:24" x14ac:dyDescent="0.35">
      <c r="A768" s="1">
        <v>43956</v>
      </c>
      <c r="B768">
        <v>1335.5200199999999</v>
      </c>
      <c r="C768">
        <f t="shared" si="121"/>
        <v>1.7732632889964739E-2</v>
      </c>
      <c r="D768">
        <v>1932.75</v>
      </c>
      <c r="E768">
        <f t="shared" si="122"/>
        <v>1.1914574624471985E-3</v>
      </c>
      <c r="F768">
        <v>911.45001219999995</v>
      </c>
      <c r="G768">
        <f t="shared" si="123"/>
        <v>-1.2513529577464877E-2</v>
      </c>
      <c r="H768">
        <v>518.31854250000004</v>
      </c>
      <c r="I768">
        <f t="shared" si="124"/>
        <v>-8.3569047485280157E-3</v>
      </c>
      <c r="J768">
        <v>673.70001219999995</v>
      </c>
      <c r="K768">
        <f t="shared" si="125"/>
        <v>0</v>
      </c>
      <c r="L768">
        <v>173.8999939</v>
      </c>
      <c r="M768">
        <f t="shared" si="126"/>
        <v>-8.6187415873706374E-4</v>
      </c>
      <c r="N768">
        <v>456.2999878</v>
      </c>
      <c r="O768">
        <f t="shared" si="127"/>
        <v>-1.9658447008630286E-2</v>
      </c>
      <c r="P768">
        <v>78.449996949999999</v>
      </c>
      <c r="Q768">
        <f t="shared" si="128"/>
        <v>2.4820298161960741E-2</v>
      </c>
      <c r="R768">
        <v>80.900001529999997</v>
      </c>
      <c r="S768">
        <f t="shared" si="129"/>
        <v>-3.5756852744839307E-2</v>
      </c>
      <c r="T768">
        <v>2198.9499510000001</v>
      </c>
      <c r="U768">
        <f t="shared" si="130"/>
        <v>-3.6097881134091847E-2</v>
      </c>
      <c r="W768">
        <f t="shared" si="131"/>
        <v>-6.9501100857918717E-3</v>
      </c>
      <c r="X768">
        <v>-3.6212839185381104E-4</v>
      </c>
    </row>
    <row r="769" spans="1:24" x14ac:dyDescent="0.35">
      <c r="A769" s="1">
        <v>43957</v>
      </c>
      <c r="B769">
        <v>1335.611572</v>
      </c>
      <c r="C769">
        <f t="shared" si="121"/>
        <v>6.8551574389896786E-5</v>
      </c>
      <c r="D769">
        <v>1903.599976</v>
      </c>
      <c r="E769">
        <f t="shared" si="122"/>
        <v>-1.5082149269176059E-2</v>
      </c>
      <c r="F769">
        <v>946.40002440000001</v>
      </c>
      <c r="G769">
        <f t="shared" si="123"/>
        <v>3.8345506316512123E-2</v>
      </c>
      <c r="H769">
        <v>535.93774410000003</v>
      </c>
      <c r="I769">
        <f t="shared" si="124"/>
        <v>3.3992998813080266E-2</v>
      </c>
      <c r="J769">
        <v>665.90002440000001</v>
      </c>
      <c r="K769">
        <f t="shared" si="125"/>
        <v>-1.1577835325442098E-2</v>
      </c>
      <c r="L769">
        <v>163.8999939</v>
      </c>
      <c r="M769">
        <f t="shared" si="126"/>
        <v>-5.7504314840576942E-2</v>
      </c>
      <c r="N769">
        <v>454.39999390000003</v>
      </c>
      <c r="O769">
        <f t="shared" si="127"/>
        <v>-4.1639139837820194E-3</v>
      </c>
      <c r="P769">
        <v>79.25</v>
      </c>
      <c r="Q769">
        <f t="shared" si="128"/>
        <v>1.0197617349939181E-2</v>
      </c>
      <c r="R769">
        <v>83.199996949999999</v>
      </c>
      <c r="S769">
        <f t="shared" si="129"/>
        <v>2.843010354143316E-2</v>
      </c>
      <c r="T769">
        <v>2175.6000979999999</v>
      </c>
      <c r="U769">
        <f t="shared" si="130"/>
        <v>-1.0618637768168182E-2</v>
      </c>
      <c r="W769">
        <f t="shared" si="131"/>
        <v>1.2087926408209319E-3</v>
      </c>
      <c r="X769">
        <v>-3.1259526711950879E-4</v>
      </c>
    </row>
    <row r="770" spans="1:24" x14ac:dyDescent="0.35">
      <c r="A770" s="1">
        <v>43958</v>
      </c>
      <c r="B770">
        <v>1377.853638</v>
      </c>
      <c r="C770">
        <f t="shared" si="121"/>
        <v>3.1627508240846591E-2</v>
      </c>
      <c r="D770">
        <v>1891.650024</v>
      </c>
      <c r="E770">
        <f t="shared" si="122"/>
        <v>-6.2775541871513685E-3</v>
      </c>
      <c r="F770">
        <v>925</v>
      </c>
      <c r="G770">
        <f t="shared" si="123"/>
        <v>-2.2612028580163313E-2</v>
      </c>
      <c r="H770">
        <v>518.31854250000004</v>
      </c>
      <c r="I770">
        <f t="shared" si="124"/>
        <v>-3.2875463230506163E-2</v>
      </c>
      <c r="J770">
        <v>664.95001219999995</v>
      </c>
      <c r="K770">
        <f t="shared" si="125"/>
        <v>-1.426658905525735E-3</v>
      </c>
      <c r="L770">
        <v>161</v>
      </c>
      <c r="M770">
        <f t="shared" si="126"/>
        <v>-1.7693679120997174E-2</v>
      </c>
      <c r="N770">
        <v>452.2000122</v>
      </c>
      <c r="O770">
        <f t="shared" si="127"/>
        <v>-4.8415090878812794E-3</v>
      </c>
      <c r="P770">
        <v>75.599998470000003</v>
      </c>
      <c r="Q770">
        <f t="shared" si="128"/>
        <v>-4.6056801640378509E-2</v>
      </c>
      <c r="R770">
        <v>82.5</v>
      </c>
      <c r="S770">
        <f t="shared" si="129"/>
        <v>-8.4134251882325151E-3</v>
      </c>
      <c r="T770">
        <v>2182.1000979999999</v>
      </c>
      <c r="U770">
        <f t="shared" si="130"/>
        <v>2.9876814245299865E-3</v>
      </c>
      <c r="W770">
        <f t="shared" si="131"/>
        <v>-1.055819302754595E-2</v>
      </c>
      <c r="X770">
        <v>-3.0931135966133505E-4</v>
      </c>
    </row>
    <row r="771" spans="1:24" x14ac:dyDescent="0.35">
      <c r="A771" s="1">
        <v>43959</v>
      </c>
      <c r="B771">
        <v>1428.0048830000001</v>
      </c>
      <c r="C771">
        <f t="shared" si="121"/>
        <v>3.6398093104283769E-2</v>
      </c>
      <c r="D771">
        <v>1893.400024</v>
      </c>
      <c r="E771">
        <f t="shared" si="122"/>
        <v>9.251182712430861E-4</v>
      </c>
      <c r="F771">
        <v>929.04998780000005</v>
      </c>
      <c r="G771">
        <f t="shared" si="123"/>
        <v>4.378365189189326E-3</v>
      </c>
      <c r="H771">
        <v>520.28173830000003</v>
      </c>
      <c r="I771">
        <f t="shared" si="124"/>
        <v>3.7876240941159267E-3</v>
      </c>
      <c r="J771">
        <v>674.20001219999995</v>
      </c>
      <c r="K771">
        <f t="shared" si="125"/>
        <v>1.3910820107208011E-2</v>
      </c>
      <c r="L771">
        <v>158.25</v>
      </c>
      <c r="M771">
        <f t="shared" si="126"/>
        <v>-1.7080745341614856E-2</v>
      </c>
      <c r="N771">
        <v>469</v>
      </c>
      <c r="O771">
        <f t="shared" si="127"/>
        <v>3.7151674804841939E-2</v>
      </c>
      <c r="P771">
        <v>76</v>
      </c>
      <c r="Q771">
        <f t="shared" si="128"/>
        <v>5.2910256361806685E-3</v>
      </c>
      <c r="R771">
        <v>81.050003050000001</v>
      </c>
      <c r="S771">
        <f t="shared" si="129"/>
        <v>-1.7575720606060607E-2</v>
      </c>
      <c r="T771">
        <v>2255</v>
      </c>
      <c r="U771">
        <f t="shared" si="130"/>
        <v>3.3408138364878992E-2</v>
      </c>
      <c r="W771">
        <f t="shared" si="131"/>
        <v>1.0059439362426627E-2</v>
      </c>
      <c r="X771">
        <v>-2.8804984627018833E-4</v>
      </c>
    </row>
    <row r="772" spans="1:24" x14ac:dyDescent="0.35">
      <c r="A772" s="1">
        <v>43962</v>
      </c>
      <c r="B772">
        <v>1441.7198490000001</v>
      </c>
      <c r="C772">
        <f t="shared" ref="C772:C835" si="132">B772/B771 - 1</f>
        <v>9.6042850856274953E-3</v>
      </c>
      <c r="D772">
        <v>1935.3000489999999</v>
      </c>
      <c r="E772">
        <f t="shared" ref="E772:E835" si="133">D772/D771 - 1</f>
        <v>2.2129515405562294E-2</v>
      </c>
      <c r="F772">
        <v>915.79998780000005</v>
      </c>
      <c r="G772">
        <f t="shared" ref="G772:G835" si="134">F772/F771 - 1</f>
        <v>-1.426188060276079E-2</v>
      </c>
      <c r="H772">
        <v>526.31835939999996</v>
      </c>
      <c r="I772">
        <f t="shared" ref="I772:I835" si="135">H772/H771 - 1</f>
        <v>1.1602600390558271E-2</v>
      </c>
      <c r="J772">
        <v>682.90002440000001</v>
      </c>
      <c r="K772">
        <f t="shared" ref="K772:K835" si="136">J772/J771 -1</f>
        <v>1.2904200597105842E-2</v>
      </c>
      <c r="L772">
        <v>158.4499969</v>
      </c>
      <c r="M772">
        <f t="shared" ref="M772:M835" si="137">L772/L771 -1</f>
        <v>1.2638034755134697E-3</v>
      </c>
      <c r="N772">
        <v>463.85000609999997</v>
      </c>
      <c r="O772">
        <f t="shared" ref="O772:O835" si="138">N772/N771-1</f>
        <v>-1.0980797228145045E-2</v>
      </c>
      <c r="P772">
        <v>77.050003050000001</v>
      </c>
      <c r="Q772">
        <f t="shared" ref="Q772:Q835" si="139">P772/P771 -1</f>
        <v>1.3815829605263064E-2</v>
      </c>
      <c r="R772">
        <v>86.099998470000003</v>
      </c>
      <c r="S772">
        <f t="shared" ref="S772:S835" si="140">R772/R771 - 1</f>
        <v>6.2307158913796012E-2</v>
      </c>
      <c r="T772">
        <v>2313.5500489999999</v>
      </c>
      <c r="U772">
        <f t="shared" ref="U772:U835" si="141">T772/T771 - 1</f>
        <v>2.596454501108636E-2</v>
      </c>
      <c r="W772">
        <f t="shared" ref="W772:W835" si="142">0.1*C772+0.1*E772+0.1*G772+0.1*I772+0.1*K772+0.1*M772+0.1*O772+0.1*Q772+0.1*S772+0.1*U772</f>
        <v>1.3434926065360696E-2</v>
      </c>
      <c r="X772">
        <v>-2.4214827400257353E-4</v>
      </c>
    </row>
    <row r="773" spans="1:24" x14ac:dyDescent="0.35">
      <c r="A773" s="1">
        <v>43963</v>
      </c>
      <c r="B773">
        <v>1352.526611</v>
      </c>
      <c r="C773">
        <f t="shared" si="132"/>
        <v>-6.1865859765935727E-2</v>
      </c>
      <c r="D773">
        <v>1949.5</v>
      </c>
      <c r="E773">
        <f t="shared" si="133"/>
        <v>7.3373382113730568E-3</v>
      </c>
      <c r="F773">
        <v>901.54998780000005</v>
      </c>
      <c r="G773">
        <f t="shared" si="134"/>
        <v>-1.5560166182391422E-2</v>
      </c>
      <c r="H773">
        <v>549.53253170000005</v>
      </c>
      <c r="I773">
        <f t="shared" si="135"/>
        <v>4.4106712003100457E-2</v>
      </c>
      <c r="J773">
        <v>687.65002440000001</v>
      </c>
      <c r="K773">
        <f t="shared" si="136"/>
        <v>6.9556301512412322E-3</v>
      </c>
      <c r="L773">
        <v>165.0500031</v>
      </c>
      <c r="M773">
        <f t="shared" si="137"/>
        <v>4.165355840407714E-2</v>
      </c>
      <c r="N773">
        <v>463.89999390000003</v>
      </c>
      <c r="O773">
        <f t="shared" si="138"/>
        <v>1.0776716469251824E-4</v>
      </c>
      <c r="P773">
        <v>76.300003050000001</v>
      </c>
      <c r="Q773">
        <f t="shared" si="139"/>
        <v>-9.7339386153340035E-3</v>
      </c>
      <c r="R773">
        <v>86.199996949999999</v>
      </c>
      <c r="S773">
        <f t="shared" si="140"/>
        <v>1.1614225525780064E-3</v>
      </c>
      <c r="T773">
        <v>2303.3500979999999</v>
      </c>
      <c r="U773">
        <f t="shared" si="141"/>
        <v>-4.4087877002741971E-3</v>
      </c>
      <c r="W773">
        <f t="shared" si="142"/>
        <v>9.7536762231270548E-4</v>
      </c>
      <c r="X773">
        <v>-2.4038078569875746E-4</v>
      </c>
    </row>
    <row r="774" spans="1:24" x14ac:dyDescent="0.35">
      <c r="A774" s="1">
        <v>43964</v>
      </c>
      <c r="B774">
        <v>1381.2229</v>
      </c>
      <c r="C774">
        <f t="shared" si="132"/>
        <v>2.1216801774260885E-2</v>
      </c>
      <c r="D774">
        <v>1949.650024</v>
      </c>
      <c r="E774">
        <f t="shared" si="133"/>
        <v>7.6955116696586501E-5</v>
      </c>
      <c r="F774">
        <v>927.65002440000001</v>
      </c>
      <c r="G774">
        <f t="shared" si="134"/>
        <v>2.8950182411615843E-2</v>
      </c>
      <c r="H774">
        <v>545.70440670000005</v>
      </c>
      <c r="I774">
        <f t="shared" si="135"/>
        <v>-6.9661480971063838E-3</v>
      </c>
      <c r="J774">
        <v>694.15002440000001</v>
      </c>
      <c r="K774">
        <f t="shared" si="136"/>
        <v>9.4524827591935257E-3</v>
      </c>
      <c r="L774">
        <v>165.3999939</v>
      </c>
      <c r="M774">
        <f t="shared" si="137"/>
        <v>2.1205137438740085E-3</v>
      </c>
      <c r="N774">
        <v>452.35000609999997</v>
      </c>
      <c r="O774">
        <f t="shared" si="138"/>
        <v>-2.4897581271557057E-2</v>
      </c>
      <c r="P774">
        <v>78.199996949999999</v>
      </c>
      <c r="Q774">
        <f t="shared" si="139"/>
        <v>2.4901622857798733E-2</v>
      </c>
      <c r="R774">
        <v>87.199996949999999</v>
      </c>
      <c r="S774">
        <f t="shared" si="140"/>
        <v>1.1600928484719608E-2</v>
      </c>
      <c r="T774">
        <v>2352.1499020000001</v>
      </c>
      <c r="U774">
        <f t="shared" si="141"/>
        <v>2.1186446664088532E-2</v>
      </c>
      <c r="W774">
        <f t="shared" si="142"/>
        <v>8.7642204443584282E-3</v>
      </c>
      <c r="X774">
        <v>-2.3746187137378984E-4</v>
      </c>
    </row>
    <row r="775" spans="1:24" x14ac:dyDescent="0.35">
      <c r="A775" s="1">
        <v>43965</v>
      </c>
      <c r="B775">
        <v>1325.3813479999999</v>
      </c>
      <c r="C775">
        <f t="shared" si="132"/>
        <v>-4.0429066155795779E-2</v>
      </c>
      <c r="D775">
        <v>1902.349976</v>
      </c>
      <c r="E775">
        <f t="shared" si="133"/>
        <v>-2.4260789073803579E-2</v>
      </c>
      <c r="F775">
        <v>893.70001219999995</v>
      </c>
      <c r="G775">
        <f t="shared" si="134"/>
        <v>-3.6597866983250293E-2</v>
      </c>
      <c r="H775">
        <v>529.90112299999998</v>
      </c>
      <c r="I775">
        <f t="shared" si="135"/>
        <v>-2.8959421082131565E-2</v>
      </c>
      <c r="J775">
        <v>658.15002440000001</v>
      </c>
      <c r="K775">
        <f t="shared" si="136"/>
        <v>-5.1861987660545283E-2</v>
      </c>
      <c r="L775">
        <v>163.8000031</v>
      </c>
      <c r="M775">
        <f t="shared" si="137"/>
        <v>-9.6734634764699123E-3</v>
      </c>
      <c r="N775">
        <v>455.9500122</v>
      </c>
      <c r="O775">
        <f t="shared" si="138"/>
        <v>7.9584526394460564E-3</v>
      </c>
      <c r="P775">
        <v>76.150001529999997</v>
      </c>
      <c r="Q775">
        <f t="shared" si="139"/>
        <v>-2.6214776214259161E-2</v>
      </c>
      <c r="R775">
        <v>83.800003050000001</v>
      </c>
      <c r="S775">
        <f t="shared" si="140"/>
        <v>-3.8990757097727147E-2</v>
      </c>
      <c r="T775">
        <v>2324.3999020000001</v>
      </c>
      <c r="U775">
        <f t="shared" si="141"/>
        <v>-1.179771747387548E-2</v>
      </c>
      <c r="W775">
        <f t="shared" si="142"/>
        <v>-2.6082739257841218E-2</v>
      </c>
      <c r="X775">
        <v>-2.3530078180720125E-4</v>
      </c>
    </row>
    <row r="776" spans="1:24" x14ac:dyDescent="0.35">
      <c r="A776" s="1">
        <v>43966</v>
      </c>
      <c r="B776">
        <v>1347.0257570000001</v>
      </c>
      <c r="C776">
        <f t="shared" si="132"/>
        <v>1.6330702882352721E-2</v>
      </c>
      <c r="D776">
        <v>1892.900024</v>
      </c>
      <c r="E776">
        <f t="shared" si="133"/>
        <v>-4.9675149784320638E-3</v>
      </c>
      <c r="F776">
        <v>888.15002440000001</v>
      </c>
      <c r="G776">
        <f t="shared" si="134"/>
        <v>-6.2101238941887349E-3</v>
      </c>
      <c r="H776">
        <v>543.8884888</v>
      </c>
      <c r="I776">
        <f t="shared" si="135"/>
        <v>2.6396180707848771E-2</v>
      </c>
      <c r="J776">
        <v>652.29998780000005</v>
      </c>
      <c r="K776">
        <f t="shared" si="136"/>
        <v>-8.8886065230083799E-3</v>
      </c>
      <c r="L776">
        <v>164.6499939</v>
      </c>
      <c r="M776">
        <f t="shared" si="137"/>
        <v>5.1891989249908121E-3</v>
      </c>
      <c r="N776">
        <v>448.60000609999997</v>
      </c>
      <c r="O776">
        <f t="shared" si="138"/>
        <v>-1.6120201564499559E-2</v>
      </c>
      <c r="P776">
        <v>76.150001529999997</v>
      </c>
      <c r="Q776">
        <f t="shared" si="139"/>
        <v>0</v>
      </c>
      <c r="R776">
        <v>84.349998470000003</v>
      </c>
      <c r="S776">
        <f t="shared" si="140"/>
        <v>6.5631909305761127E-3</v>
      </c>
      <c r="T776">
        <v>2333.8000489999999</v>
      </c>
      <c r="U776">
        <f t="shared" si="141"/>
        <v>4.0441177922574401E-3</v>
      </c>
      <c r="W776">
        <f t="shared" si="142"/>
        <v>2.2336944277897126E-3</v>
      </c>
      <c r="X776">
        <v>-2.2994254310382246E-4</v>
      </c>
    </row>
    <row r="777" spans="1:24" x14ac:dyDescent="0.35">
      <c r="A777" s="1">
        <v>43969</v>
      </c>
      <c r="B777">
        <v>1329.811768</v>
      </c>
      <c r="C777">
        <f t="shared" si="132"/>
        <v>-1.2779257494183183E-2</v>
      </c>
      <c r="D777">
        <v>1945.599976</v>
      </c>
      <c r="E777">
        <f t="shared" si="133"/>
        <v>2.7840853363526596E-2</v>
      </c>
      <c r="F777">
        <v>836.65002440000001</v>
      </c>
      <c r="G777">
        <f t="shared" si="134"/>
        <v>-5.7985699020603465E-2</v>
      </c>
      <c r="H777">
        <v>528.13427730000001</v>
      </c>
      <c r="I777">
        <f t="shared" si="135"/>
        <v>-2.8965885148183657E-2</v>
      </c>
      <c r="J777">
        <v>663.90002440000001</v>
      </c>
      <c r="K777">
        <f t="shared" si="136"/>
        <v>1.7783285017562545E-2</v>
      </c>
      <c r="L777">
        <v>164.75</v>
      </c>
      <c r="M777">
        <f t="shared" si="137"/>
        <v>6.0738599274245963E-4</v>
      </c>
      <c r="N777">
        <v>440.7000122</v>
      </c>
      <c r="O777">
        <f t="shared" si="138"/>
        <v>-1.7610329452913409E-2</v>
      </c>
      <c r="P777">
        <v>72.900001529999997</v>
      </c>
      <c r="Q777">
        <f t="shared" si="139"/>
        <v>-4.2678922320436574E-2</v>
      </c>
      <c r="R777">
        <v>80.650001529999997</v>
      </c>
      <c r="S777">
        <f t="shared" si="140"/>
        <v>-4.3864813362337496E-2</v>
      </c>
      <c r="T777">
        <v>2306.5500489999999</v>
      </c>
      <c r="U777">
        <f t="shared" si="141"/>
        <v>-1.1676235936183277E-2</v>
      </c>
      <c r="W777">
        <f t="shared" si="142"/>
        <v>-1.6932961836100945E-2</v>
      </c>
      <c r="X777">
        <v>-2.2694236121919518E-4</v>
      </c>
    </row>
    <row r="778" spans="1:24" x14ac:dyDescent="0.35">
      <c r="A778" s="1">
        <v>43970</v>
      </c>
      <c r="B778">
        <v>1300.4141850000001</v>
      </c>
      <c r="C778">
        <f t="shared" si="132"/>
        <v>-2.2106574559956793E-2</v>
      </c>
      <c r="D778">
        <v>1948.650024</v>
      </c>
      <c r="E778">
        <f t="shared" si="133"/>
        <v>1.5676644930222583E-3</v>
      </c>
      <c r="F778">
        <v>830.65002440000001</v>
      </c>
      <c r="G778">
        <f t="shared" si="134"/>
        <v>-7.1714573896091149E-3</v>
      </c>
      <c r="H778">
        <v>587.76470949999998</v>
      </c>
      <c r="I778">
        <f t="shared" si="135"/>
        <v>0.11290771071487882</v>
      </c>
      <c r="J778">
        <v>668.59997559999999</v>
      </c>
      <c r="K778">
        <f t="shared" si="136"/>
        <v>7.079305659383861E-3</v>
      </c>
      <c r="L778">
        <v>170.75</v>
      </c>
      <c r="M778">
        <f t="shared" si="137"/>
        <v>3.6418816388467334E-2</v>
      </c>
      <c r="N778">
        <v>441.7000122</v>
      </c>
      <c r="O778">
        <f t="shared" si="138"/>
        <v>2.2691172505486801E-3</v>
      </c>
      <c r="P778">
        <v>77.150001529999997</v>
      </c>
      <c r="Q778">
        <f t="shared" si="139"/>
        <v>5.829903855696128E-2</v>
      </c>
      <c r="R778">
        <v>81.800003050000001</v>
      </c>
      <c r="S778">
        <f t="shared" si="140"/>
        <v>1.4259163027693589E-2</v>
      </c>
      <c r="T778">
        <v>2337.5</v>
      </c>
      <c r="U778">
        <f t="shared" si="141"/>
        <v>1.3418287200582579E-2</v>
      </c>
      <c r="W778">
        <f t="shared" si="142"/>
        <v>2.1694107134197251E-2</v>
      </c>
      <c r="X778">
        <v>-2.2217383433086285E-4</v>
      </c>
    </row>
    <row r="779" spans="1:24" x14ac:dyDescent="0.35">
      <c r="A779" s="1">
        <v>43971</v>
      </c>
      <c r="B779">
        <v>1323.3046879999999</v>
      </c>
      <c r="C779">
        <f t="shared" si="132"/>
        <v>1.7602471015801591E-2</v>
      </c>
      <c r="D779">
        <v>1953.599976</v>
      </c>
      <c r="E779">
        <f t="shared" si="133"/>
        <v>2.5401954886896672E-3</v>
      </c>
      <c r="F779">
        <v>857.09997559999999</v>
      </c>
      <c r="G779">
        <f t="shared" si="134"/>
        <v>3.1842473271586957E-2</v>
      </c>
      <c r="H779">
        <v>583.10223389999999</v>
      </c>
      <c r="I779">
        <f t="shared" si="135"/>
        <v>-7.9325545148266619E-3</v>
      </c>
      <c r="J779">
        <v>669.54998780000005</v>
      </c>
      <c r="K779">
        <f t="shared" si="136"/>
        <v>1.4208977485341556E-3</v>
      </c>
      <c r="L779">
        <v>175.75</v>
      </c>
      <c r="M779">
        <f t="shared" si="137"/>
        <v>2.9282576866764165E-2</v>
      </c>
      <c r="N779">
        <v>455.75</v>
      </c>
      <c r="O779">
        <f t="shared" si="138"/>
        <v>3.1808891582367105E-2</v>
      </c>
      <c r="P779">
        <v>78</v>
      </c>
      <c r="Q779">
        <f t="shared" si="139"/>
        <v>1.101747832978961E-2</v>
      </c>
      <c r="R779">
        <v>83.449996949999999</v>
      </c>
      <c r="S779">
        <f t="shared" si="140"/>
        <v>2.0171073820027141E-2</v>
      </c>
      <c r="T779">
        <v>2454.3500979999999</v>
      </c>
      <c r="U779">
        <f t="shared" si="141"/>
        <v>4.9989346737967955E-2</v>
      </c>
      <c r="W779">
        <f t="shared" si="142"/>
        <v>1.8774285034670171E-2</v>
      </c>
      <c r="X779">
        <v>-2.1970488413655112E-4</v>
      </c>
    </row>
    <row r="780" spans="1:24" x14ac:dyDescent="0.35">
      <c r="A780" s="1">
        <v>43972</v>
      </c>
      <c r="B780">
        <v>1330.2733149999999</v>
      </c>
      <c r="C780">
        <f t="shared" si="132"/>
        <v>5.2660789787817297E-3</v>
      </c>
      <c r="D780">
        <v>1991.1999510000001</v>
      </c>
      <c r="E780">
        <f t="shared" si="133"/>
        <v>1.9246506686074971E-2</v>
      </c>
      <c r="F780">
        <v>859.54998780000005</v>
      </c>
      <c r="G780">
        <f t="shared" si="134"/>
        <v>2.8584905725670406E-3</v>
      </c>
      <c r="H780">
        <v>583.59301760000005</v>
      </c>
      <c r="I780">
        <f t="shared" si="135"/>
        <v>8.4167693324976867E-4</v>
      </c>
      <c r="J780">
        <v>672.20001219999995</v>
      </c>
      <c r="K780">
        <f t="shared" si="136"/>
        <v>3.9579186741640626E-3</v>
      </c>
      <c r="L780">
        <v>188.9499969</v>
      </c>
      <c r="M780">
        <f t="shared" si="137"/>
        <v>7.5106667994310206E-2</v>
      </c>
      <c r="N780">
        <v>466.4500122</v>
      </c>
      <c r="O780">
        <f t="shared" si="138"/>
        <v>2.3477810641799213E-2</v>
      </c>
      <c r="P780">
        <v>77</v>
      </c>
      <c r="Q780">
        <f t="shared" si="139"/>
        <v>-1.2820512820512775E-2</v>
      </c>
      <c r="R780">
        <v>84.099998470000003</v>
      </c>
      <c r="S780">
        <f t="shared" si="140"/>
        <v>7.7891137658094856E-3</v>
      </c>
      <c r="T780">
        <v>2470.25</v>
      </c>
      <c r="U780">
        <f t="shared" si="141"/>
        <v>6.4782534541247827E-3</v>
      </c>
      <c r="W780">
        <f t="shared" si="142"/>
        <v>1.322020048803685E-2</v>
      </c>
      <c r="X780">
        <v>-2.1617577605673698E-4</v>
      </c>
    </row>
    <row r="781" spans="1:24" x14ac:dyDescent="0.35">
      <c r="A781" s="1">
        <v>43973</v>
      </c>
      <c r="B781">
        <v>1321.3201899999999</v>
      </c>
      <c r="C781">
        <f t="shared" si="132"/>
        <v>-6.7302898577650261E-3</v>
      </c>
      <c r="D781">
        <v>2020.349976</v>
      </c>
      <c r="E781">
        <f t="shared" si="133"/>
        <v>1.4639426334537964E-2</v>
      </c>
      <c r="F781">
        <v>838.84997559999999</v>
      </c>
      <c r="G781">
        <f t="shared" si="134"/>
        <v>-2.4082383216572745E-2</v>
      </c>
      <c r="H781">
        <v>582.26794429999995</v>
      </c>
      <c r="I781">
        <f t="shared" si="135"/>
        <v>-2.2705434438702321E-3</v>
      </c>
      <c r="J781">
        <v>692.34997559999999</v>
      </c>
      <c r="K781">
        <f t="shared" si="136"/>
        <v>2.9976142568121311E-2</v>
      </c>
      <c r="L781">
        <v>186.3500061</v>
      </c>
      <c r="M781">
        <f t="shared" si="137"/>
        <v>-1.3760205571085704E-2</v>
      </c>
      <c r="N781">
        <v>469.39999390000003</v>
      </c>
      <c r="O781">
        <f t="shared" si="138"/>
        <v>6.3243254857825448E-3</v>
      </c>
      <c r="P781">
        <v>76.150001529999997</v>
      </c>
      <c r="Q781">
        <f t="shared" si="139"/>
        <v>-1.1038941168831196E-2</v>
      </c>
      <c r="R781">
        <v>82.800003050000001</v>
      </c>
      <c r="S781">
        <f t="shared" si="140"/>
        <v>-1.5457734169445181E-2</v>
      </c>
      <c r="T781">
        <v>2398.3000489999999</v>
      </c>
      <c r="U781">
        <f t="shared" si="141"/>
        <v>-2.9126586782714292E-2</v>
      </c>
      <c r="W781">
        <f t="shared" si="142"/>
        <v>-5.1526789821842549E-3</v>
      </c>
      <c r="X781">
        <v>-2.0665633823181402E-4</v>
      </c>
    </row>
    <row r="782" spans="1:24" x14ac:dyDescent="0.35">
      <c r="A782" s="1">
        <v>43977</v>
      </c>
      <c r="B782">
        <v>1314.3977050000001</v>
      </c>
      <c r="C782">
        <f t="shared" si="132"/>
        <v>-5.2390669970764359E-3</v>
      </c>
      <c r="D782">
        <v>1943</v>
      </c>
      <c r="E782">
        <f t="shared" si="133"/>
        <v>-3.8285434166778209E-2</v>
      </c>
      <c r="F782">
        <v>852.40002440000001</v>
      </c>
      <c r="G782">
        <f t="shared" si="134"/>
        <v>1.6153125343191688E-2</v>
      </c>
      <c r="H782">
        <v>548.94360349999999</v>
      </c>
      <c r="I782">
        <f t="shared" si="135"/>
        <v>-5.7231968763216678E-2</v>
      </c>
      <c r="J782">
        <v>680.54998780000005</v>
      </c>
      <c r="K782">
        <f t="shared" si="136"/>
        <v>-1.7043385882658413E-2</v>
      </c>
      <c r="L782">
        <v>191.6999969</v>
      </c>
      <c r="M782">
        <f t="shared" si="137"/>
        <v>2.8709367453033874E-2</v>
      </c>
      <c r="N782">
        <v>459.14999390000003</v>
      </c>
      <c r="O782">
        <f t="shared" si="138"/>
        <v>-2.183638716063474E-2</v>
      </c>
      <c r="P782">
        <v>77</v>
      </c>
      <c r="Q782">
        <f t="shared" si="139"/>
        <v>1.1162159591883158E-2</v>
      </c>
      <c r="R782">
        <v>83.099998470000003</v>
      </c>
      <c r="S782">
        <f t="shared" si="140"/>
        <v>3.6231329583267247E-3</v>
      </c>
      <c r="T782">
        <v>2283.25</v>
      </c>
      <c r="U782">
        <f t="shared" si="141"/>
        <v>-4.7971499249216731E-2</v>
      </c>
      <c r="W782">
        <f t="shared" si="142"/>
        <v>-1.2795995687314578E-2</v>
      </c>
      <c r="X782">
        <v>-2.0584886509000865E-4</v>
      </c>
    </row>
    <row r="783" spans="1:24" x14ac:dyDescent="0.35">
      <c r="A783" s="1">
        <v>43978</v>
      </c>
      <c r="B783">
        <v>1334.2421879999999</v>
      </c>
      <c r="C783">
        <f t="shared" si="132"/>
        <v>1.5097776665701002E-2</v>
      </c>
      <c r="D783">
        <v>2005.3000489999999</v>
      </c>
      <c r="E783">
        <f t="shared" si="133"/>
        <v>3.2063844055584045E-2</v>
      </c>
      <c r="F783">
        <v>903.65002440000001</v>
      </c>
      <c r="G783">
        <f t="shared" si="134"/>
        <v>6.0124353041958845E-2</v>
      </c>
      <c r="H783">
        <v>552.72265630000004</v>
      </c>
      <c r="I783">
        <f t="shared" si="135"/>
        <v>6.8842277711320676E-3</v>
      </c>
      <c r="J783">
        <v>705.45001219999995</v>
      </c>
      <c r="K783">
        <f t="shared" si="136"/>
        <v>3.6588090289287445E-2</v>
      </c>
      <c r="L783">
        <v>192.1499939</v>
      </c>
      <c r="M783">
        <f t="shared" si="137"/>
        <v>2.3474022288834107E-3</v>
      </c>
      <c r="N783">
        <v>450.89999390000003</v>
      </c>
      <c r="O783">
        <f t="shared" si="138"/>
        <v>-1.7967984557562211E-2</v>
      </c>
      <c r="P783">
        <v>77.949996949999999</v>
      </c>
      <c r="Q783">
        <f t="shared" si="139"/>
        <v>1.2337622727272679E-2</v>
      </c>
      <c r="R783">
        <v>84.550003050000001</v>
      </c>
      <c r="S783">
        <f t="shared" si="140"/>
        <v>1.7448912234618863E-2</v>
      </c>
      <c r="T783">
        <v>2200.1999510000001</v>
      </c>
      <c r="U783">
        <f t="shared" si="141"/>
        <v>-3.6373611737654632E-2</v>
      </c>
      <c r="W783">
        <f t="shared" si="142"/>
        <v>1.2855063271922151E-2</v>
      </c>
      <c r="X783">
        <v>-2.0208093443393484E-4</v>
      </c>
    </row>
    <row r="784" spans="1:24" x14ac:dyDescent="0.35">
      <c r="A784" s="1">
        <v>43979</v>
      </c>
      <c r="B784">
        <v>1358.8862300000001</v>
      </c>
      <c r="C784">
        <f t="shared" si="132"/>
        <v>1.8470441289928807E-2</v>
      </c>
      <c r="D784">
        <v>2004.3000489999999</v>
      </c>
      <c r="E784">
        <f t="shared" si="133"/>
        <v>-4.9867848978446538E-4</v>
      </c>
      <c r="F784">
        <v>945.25</v>
      </c>
      <c r="G784">
        <f t="shared" si="134"/>
        <v>4.6035494358140694E-2</v>
      </c>
      <c r="H784">
        <v>552.3790894</v>
      </c>
      <c r="I784">
        <f t="shared" si="135"/>
        <v>-6.2159004354900294E-4</v>
      </c>
      <c r="J784">
        <v>707.40002440000001</v>
      </c>
      <c r="K784">
        <f t="shared" si="136"/>
        <v>2.7642103143761254E-3</v>
      </c>
      <c r="L784">
        <v>190.6499939</v>
      </c>
      <c r="M784">
        <f t="shared" si="137"/>
        <v>-7.8064014968464157E-3</v>
      </c>
      <c r="N784">
        <v>459.10000609999997</v>
      </c>
      <c r="O784">
        <f t="shared" si="138"/>
        <v>1.8185877824204555E-2</v>
      </c>
      <c r="P784">
        <v>78.849998470000003</v>
      </c>
      <c r="Q784">
        <f t="shared" si="139"/>
        <v>1.1545882683963393E-2</v>
      </c>
      <c r="R784">
        <v>87</v>
      </c>
      <c r="S784">
        <f t="shared" si="140"/>
        <v>2.8976899605209328E-2</v>
      </c>
      <c r="T784">
        <v>2308.4499510000001</v>
      </c>
      <c r="U784">
        <f t="shared" si="141"/>
        <v>4.9200073816382028E-2</v>
      </c>
      <c r="W784">
        <f t="shared" si="142"/>
        <v>1.6625220986202508E-2</v>
      </c>
      <c r="X784">
        <v>-1.8723744400090964E-4</v>
      </c>
    </row>
    <row r="785" spans="1:24" x14ac:dyDescent="0.35">
      <c r="A785" s="1">
        <v>43980</v>
      </c>
      <c r="B785">
        <v>1351.6407469999999</v>
      </c>
      <c r="C785">
        <f t="shared" si="132"/>
        <v>-5.3319276036818408E-3</v>
      </c>
      <c r="D785">
        <v>1972.349976</v>
      </c>
      <c r="E785">
        <f t="shared" si="133"/>
        <v>-1.5940763467995112E-2</v>
      </c>
      <c r="F785">
        <v>951.65002440000001</v>
      </c>
      <c r="G785">
        <f t="shared" si="134"/>
        <v>6.7707213964560697E-3</v>
      </c>
      <c r="H785">
        <v>542.41613770000004</v>
      </c>
      <c r="I785">
        <f t="shared" si="135"/>
        <v>-1.8036438907964136E-2</v>
      </c>
      <c r="J785">
        <v>691</v>
      </c>
      <c r="K785">
        <f t="shared" si="136"/>
        <v>-2.3183522525193734E-2</v>
      </c>
      <c r="L785">
        <v>197.3500061</v>
      </c>
      <c r="M785">
        <f t="shared" si="137"/>
        <v>3.5142997190518166E-2</v>
      </c>
      <c r="N785">
        <v>474.25</v>
      </c>
      <c r="O785">
        <f t="shared" si="138"/>
        <v>3.2999332822269967E-2</v>
      </c>
      <c r="P785">
        <v>83.199996949999999</v>
      </c>
      <c r="Q785">
        <f t="shared" si="139"/>
        <v>5.5168022376754333E-2</v>
      </c>
      <c r="R785">
        <v>87</v>
      </c>
      <c r="S785">
        <f t="shared" si="140"/>
        <v>0</v>
      </c>
      <c r="T785">
        <v>2269.3500979999999</v>
      </c>
      <c r="U785">
        <f t="shared" si="141"/>
        <v>-1.6937708778595129E-2</v>
      </c>
      <c r="W785">
        <f t="shared" si="142"/>
        <v>5.0650712502568578E-3</v>
      </c>
      <c r="X785">
        <v>-1.7748524294781791E-4</v>
      </c>
    </row>
    <row r="786" spans="1:24" x14ac:dyDescent="0.35">
      <c r="A786" s="1">
        <v>43983</v>
      </c>
      <c r="B786">
        <v>1403.2825929999999</v>
      </c>
      <c r="C786">
        <f t="shared" si="132"/>
        <v>3.8206783951002077E-2</v>
      </c>
      <c r="D786">
        <v>2045.25</v>
      </c>
      <c r="E786">
        <f t="shared" si="133"/>
        <v>3.6960998244258914E-2</v>
      </c>
      <c r="F786">
        <v>987.65002440000001</v>
      </c>
      <c r="G786">
        <f t="shared" si="134"/>
        <v>3.7829032813504471E-2</v>
      </c>
      <c r="H786">
        <v>548.74725339999998</v>
      </c>
      <c r="I786">
        <f t="shared" si="135"/>
        <v>1.1672063679457834E-2</v>
      </c>
      <c r="J786">
        <v>699.54998780000005</v>
      </c>
      <c r="K786">
        <f t="shared" si="136"/>
        <v>1.2373354269175296E-2</v>
      </c>
      <c r="L786">
        <v>200.5500031</v>
      </c>
      <c r="M786">
        <f t="shared" si="137"/>
        <v>1.6214831016415188E-2</v>
      </c>
      <c r="N786">
        <v>465.39999390000003</v>
      </c>
      <c r="O786">
        <f t="shared" si="138"/>
        <v>-1.8661056615708937E-2</v>
      </c>
      <c r="P786">
        <v>83.949996949999999</v>
      </c>
      <c r="Q786">
        <f t="shared" si="139"/>
        <v>9.0144234073796792E-3</v>
      </c>
      <c r="R786">
        <v>89.550003050000001</v>
      </c>
      <c r="S786">
        <f t="shared" si="140"/>
        <v>2.931037988505758E-2</v>
      </c>
      <c r="T786">
        <v>2305.5</v>
      </c>
      <c r="U786">
        <f t="shared" si="141"/>
        <v>1.5929627619757358E-2</v>
      </c>
      <c r="W786">
        <f t="shared" si="142"/>
        <v>1.8885043827029949E-2</v>
      </c>
      <c r="X786">
        <v>-1.7732299137187516E-4</v>
      </c>
    </row>
    <row r="787" spans="1:24" x14ac:dyDescent="0.35">
      <c r="A787" s="1">
        <v>43984</v>
      </c>
      <c r="B787">
        <v>1417.450562</v>
      </c>
      <c r="C787">
        <f t="shared" si="132"/>
        <v>1.0096304957158519E-2</v>
      </c>
      <c r="D787">
        <v>2047.150024</v>
      </c>
      <c r="E787">
        <f t="shared" si="133"/>
        <v>9.2899352157438386E-4</v>
      </c>
      <c r="F787">
        <v>1001</v>
      </c>
      <c r="G787">
        <f t="shared" si="134"/>
        <v>1.3516909097541996E-2</v>
      </c>
      <c r="H787">
        <v>547.81475829999999</v>
      </c>
      <c r="I787">
        <f t="shared" si="135"/>
        <v>-1.6993162047231891E-3</v>
      </c>
      <c r="J787">
        <v>708.09997559999999</v>
      </c>
      <c r="K787">
        <f t="shared" si="136"/>
        <v>1.2222125579458121E-2</v>
      </c>
      <c r="L787">
        <v>197.25</v>
      </c>
      <c r="M787">
        <f t="shared" si="137"/>
        <v>-1.6454764642185093E-2</v>
      </c>
      <c r="N787">
        <v>473.10000609999997</v>
      </c>
      <c r="O787">
        <f t="shared" si="138"/>
        <v>1.6544934037223902E-2</v>
      </c>
      <c r="P787">
        <v>84.300003050000001</v>
      </c>
      <c r="Q787">
        <f t="shared" si="139"/>
        <v>4.1692211163326665E-3</v>
      </c>
      <c r="R787">
        <v>96.5</v>
      </c>
      <c r="S787">
        <f t="shared" si="140"/>
        <v>7.7610236887646789E-2</v>
      </c>
      <c r="T787">
        <v>2381.6999510000001</v>
      </c>
      <c r="U787">
        <f t="shared" si="141"/>
        <v>3.3051377575363361E-2</v>
      </c>
      <c r="W787">
        <f t="shared" si="142"/>
        <v>1.4998602192539148E-2</v>
      </c>
      <c r="X787">
        <v>-1.6884503393389512E-4</v>
      </c>
    </row>
    <row r="788" spans="1:24" x14ac:dyDescent="0.35">
      <c r="A788" s="1">
        <v>43985</v>
      </c>
      <c r="B788">
        <v>1422.942505</v>
      </c>
      <c r="C788">
        <f t="shared" si="132"/>
        <v>3.8745217274109844E-3</v>
      </c>
      <c r="D788">
        <v>2046.150024</v>
      </c>
      <c r="E788">
        <f t="shared" si="133"/>
        <v>-4.8848398421041939E-4</v>
      </c>
      <c r="F788">
        <v>1022.25</v>
      </c>
      <c r="G788">
        <f t="shared" si="134"/>
        <v>2.1228771228771315E-2</v>
      </c>
      <c r="H788">
        <v>541.48364260000005</v>
      </c>
      <c r="I788">
        <f t="shared" si="135"/>
        <v>-1.1557037491371935E-2</v>
      </c>
      <c r="J788">
        <v>701.54998780000005</v>
      </c>
      <c r="K788">
        <f t="shared" si="136"/>
        <v>-9.2500890067817032E-3</v>
      </c>
      <c r="L788">
        <v>196.6999969</v>
      </c>
      <c r="M788">
        <f t="shared" si="137"/>
        <v>-2.7883553865652999E-3</v>
      </c>
      <c r="N788">
        <v>476.14999390000003</v>
      </c>
      <c r="O788">
        <f t="shared" si="138"/>
        <v>6.4468141210620722E-3</v>
      </c>
      <c r="P788">
        <v>86.300003050000001</v>
      </c>
      <c r="Q788">
        <f t="shared" si="139"/>
        <v>2.3724791549696089E-2</v>
      </c>
      <c r="R788">
        <v>98.75</v>
      </c>
      <c r="S788">
        <f t="shared" si="140"/>
        <v>2.3316062176165886E-2</v>
      </c>
      <c r="T788">
        <v>2349.3000489999999</v>
      </c>
      <c r="U788">
        <f t="shared" si="141"/>
        <v>-1.3603687562069422E-2</v>
      </c>
      <c r="W788">
        <f t="shared" si="142"/>
        <v>4.0903307372107574E-3</v>
      </c>
      <c r="X788">
        <v>-1.5412464403220512E-4</v>
      </c>
    </row>
    <row r="789" spans="1:24" x14ac:dyDescent="0.35">
      <c r="A789" s="1">
        <v>43986</v>
      </c>
      <c r="B789">
        <v>1458.1549070000001</v>
      </c>
      <c r="C789">
        <f t="shared" si="132"/>
        <v>2.4746187478601023E-2</v>
      </c>
      <c r="D789">
        <v>2091.5500489999999</v>
      </c>
      <c r="E789">
        <f t="shared" si="133"/>
        <v>2.2188023589417849E-2</v>
      </c>
      <c r="F789">
        <v>1001.700012</v>
      </c>
      <c r="G789">
        <f t="shared" si="134"/>
        <v>-2.0102702861335309E-2</v>
      </c>
      <c r="H789">
        <v>561.90032959999996</v>
      </c>
      <c r="I789">
        <f t="shared" si="135"/>
        <v>3.7705085424126095E-2</v>
      </c>
      <c r="J789">
        <v>707.75</v>
      </c>
      <c r="K789">
        <f t="shared" si="136"/>
        <v>8.837591487162122E-3</v>
      </c>
      <c r="L789">
        <v>200.1499939</v>
      </c>
      <c r="M789">
        <f t="shared" si="137"/>
        <v>1.7539385126446927E-2</v>
      </c>
      <c r="N789">
        <v>494.85000609999997</v>
      </c>
      <c r="O789">
        <f t="shared" si="138"/>
        <v>3.9273364359062146E-2</v>
      </c>
      <c r="P789">
        <v>84.900001529999997</v>
      </c>
      <c r="Q789">
        <f t="shared" si="139"/>
        <v>-1.6222496761545635E-2</v>
      </c>
      <c r="R789">
        <v>98.5</v>
      </c>
      <c r="S789">
        <f t="shared" si="140"/>
        <v>-2.5316455696202667E-3</v>
      </c>
      <c r="T789">
        <v>2414.1999510000001</v>
      </c>
      <c r="U789">
        <f t="shared" si="141"/>
        <v>2.7625207783750438E-2</v>
      </c>
      <c r="W789">
        <f t="shared" si="142"/>
        <v>1.3905800005606541E-2</v>
      </c>
      <c r="X789">
        <v>-1.3024387033592211E-4</v>
      </c>
    </row>
    <row r="790" spans="1:24" x14ac:dyDescent="0.35">
      <c r="A790" s="1">
        <v>43987</v>
      </c>
      <c r="B790">
        <v>1459.9085689999999</v>
      </c>
      <c r="C790">
        <f t="shared" si="132"/>
        <v>1.2026582303301669E-3</v>
      </c>
      <c r="D790">
        <v>2048.25</v>
      </c>
      <c r="E790">
        <f t="shared" si="133"/>
        <v>-2.0702372874463304E-2</v>
      </c>
      <c r="F790">
        <v>1033.349976</v>
      </c>
      <c r="G790">
        <f t="shared" si="134"/>
        <v>3.1596249995851977E-2</v>
      </c>
      <c r="H790">
        <v>573.58099370000002</v>
      </c>
      <c r="I790">
        <f t="shared" si="135"/>
        <v>2.0787786524907759E-2</v>
      </c>
      <c r="J790">
        <v>703.54998780000005</v>
      </c>
      <c r="K790">
        <f t="shared" si="136"/>
        <v>-5.934316072059298E-3</v>
      </c>
      <c r="L790">
        <v>200</v>
      </c>
      <c r="M790">
        <f t="shared" si="137"/>
        <v>-7.4940746725649099E-4</v>
      </c>
      <c r="N790">
        <v>494.25</v>
      </c>
      <c r="O790">
        <f t="shared" si="138"/>
        <v>-1.2125009449402979E-3</v>
      </c>
      <c r="P790">
        <v>86.949996949999999</v>
      </c>
      <c r="Q790">
        <f t="shared" si="139"/>
        <v>2.4145999800431417E-2</v>
      </c>
      <c r="R790">
        <v>110.75</v>
      </c>
      <c r="S790">
        <f t="shared" si="140"/>
        <v>0.12436548223350252</v>
      </c>
      <c r="T790">
        <v>2499</v>
      </c>
      <c r="U790">
        <f t="shared" si="141"/>
        <v>3.5125528423971097E-2</v>
      </c>
      <c r="W790">
        <f t="shared" si="142"/>
        <v>2.0862510785027554E-2</v>
      </c>
      <c r="X790">
        <v>-1.2194021615613559E-4</v>
      </c>
    </row>
    <row r="791" spans="1:24" x14ac:dyDescent="0.35">
      <c r="A791" s="1">
        <v>43990</v>
      </c>
      <c r="B791">
        <v>1448.6479489999999</v>
      </c>
      <c r="C791">
        <f t="shared" si="132"/>
        <v>-7.7132364581661284E-3</v>
      </c>
      <c r="D791">
        <v>2071.75</v>
      </c>
      <c r="E791">
        <f t="shared" si="133"/>
        <v>1.147320883681191E-2</v>
      </c>
      <c r="F791">
        <v>1015.900024</v>
      </c>
      <c r="G791">
        <f t="shared" si="134"/>
        <v>-1.6886778347396936E-2</v>
      </c>
      <c r="H791">
        <v>574.36627199999998</v>
      </c>
      <c r="I791">
        <f t="shared" si="135"/>
        <v>1.3690800577863538E-3</v>
      </c>
      <c r="J791">
        <v>720.84997559999999</v>
      </c>
      <c r="K791">
        <f t="shared" si="136"/>
        <v>2.4589564494339688E-2</v>
      </c>
      <c r="L791">
        <v>197.6499939</v>
      </c>
      <c r="M791">
        <f t="shared" si="137"/>
        <v>-1.1750030500000008E-2</v>
      </c>
      <c r="N791">
        <v>489</v>
      </c>
      <c r="O791">
        <f t="shared" si="138"/>
        <v>-1.0622154779969639E-2</v>
      </c>
      <c r="P791">
        <v>90.949996949999999</v>
      </c>
      <c r="Q791">
        <f t="shared" si="139"/>
        <v>4.6003451872461465E-2</v>
      </c>
      <c r="R791">
        <v>115.4499969</v>
      </c>
      <c r="S791">
        <f t="shared" si="140"/>
        <v>4.2437895259593628E-2</v>
      </c>
      <c r="T791">
        <v>2459.5</v>
      </c>
      <c r="U791">
        <f t="shared" si="141"/>
        <v>-1.5806322529011596E-2</v>
      </c>
      <c r="W791">
        <f t="shared" si="142"/>
        <v>6.309467790644876E-3</v>
      </c>
      <c r="X791">
        <v>-1.1839310214627479E-4</v>
      </c>
    </row>
    <row r="792" spans="1:24" x14ac:dyDescent="0.35">
      <c r="A792" s="1">
        <v>43991</v>
      </c>
      <c r="B792">
        <v>1418.7889399999999</v>
      </c>
      <c r="C792">
        <f t="shared" si="132"/>
        <v>-2.0611639301744589E-2</v>
      </c>
      <c r="D792">
        <v>2072.0500489999999</v>
      </c>
      <c r="E792">
        <f t="shared" si="133"/>
        <v>1.4482876794974509E-4</v>
      </c>
      <c r="F792">
        <v>987.29998780000005</v>
      </c>
      <c r="G792">
        <f t="shared" si="134"/>
        <v>-2.815241217082598E-2</v>
      </c>
      <c r="H792">
        <v>557.33599849999996</v>
      </c>
      <c r="I792">
        <f t="shared" si="135"/>
        <v>-2.9650545880242851E-2</v>
      </c>
      <c r="J792">
        <v>717.59997559999999</v>
      </c>
      <c r="K792">
        <f t="shared" si="136"/>
        <v>-4.5085664285343663E-3</v>
      </c>
      <c r="L792">
        <v>198.5</v>
      </c>
      <c r="M792">
        <f t="shared" si="137"/>
        <v>4.3005622374572283E-3</v>
      </c>
      <c r="N792">
        <v>500.75</v>
      </c>
      <c r="O792">
        <f t="shared" si="138"/>
        <v>2.4028629856850614E-2</v>
      </c>
      <c r="P792">
        <v>90</v>
      </c>
      <c r="Q792">
        <f t="shared" si="139"/>
        <v>-1.0445266430544886E-2</v>
      </c>
      <c r="R792">
        <v>111.4499969</v>
      </c>
      <c r="S792">
        <f t="shared" si="140"/>
        <v>-3.4647034278092681E-2</v>
      </c>
      <c r="T792">
        <v>2390.1000979999999</v>
      </c>
      <c r="U792">
        <f t="shared" si="141"/>
        <v>-2.8217077454767314E-2</v>
      </c>
      <c r="W792">
        <f t="shared" si="142"/>
        <v>-1.2775852108249509E-2</v>
      </c>
      <c r="X792">
        <v>-1.1003237122819687E-4</v>
      </c>
    </row>
    <row r="793" spans="1:24" x14ac:dyDescent="0.35">
      <c r="A793" s="1">
        <v>43992</v>
      </c>
      <c r="B793">
        <v>1451.0939940000001</v>
      </c>
      <c r="C793">
        <f t="shared" si="132"/>
        <v>2.2769457168167806E-2</v>
      </c>
      <c r="D793">
        <v>2108.75</v>
      </c>
      <c r="E793">
        <f t="shared" si="133"/>
        <v>1.7711903734039636E-2</v>
      </c>
      <c r="F793">
        <v>991.84997559999999</v>
      </c>
      <c r="G793">
        <f t="shared" si="134"/>
        <v>4.6085160095450384E-3</v>
      </c>
      <c r="H793">
        <v>556.64892580000003</v>
      </c>
      <c r="I793">
        <f t="shared" si="135"/>
        <v>-1.2327800498247443E-3</v>
      </c>
      <c r="J793">
        <v>715.84997559999999</v>
      </c>
      <c r="K793">
        <f t="shared" si="136"/>
        <v>-2.4386845868226148E-3</v>
      </c>
      <c r="L793">
        <v>199.0500031</v>
      </c>
      <c r="M793">
        <f t="shared" si="137"/>
        <v>2.7707964735517177E-3</v>
      </c>
      <c r="N793">
        <v>499.14999390000003</v>
      </c>
      <c r="O793">
        <f t="shared" si="138"/>
        <v>-3.1952193709435806E-3</v>
      </c>
      <c r="P793">
        <v>88.25</v>
      </c>
      <c r="Q793">
        <f t="shared" si="139"/>
        <v>-1.9444444444444486E-2</v>
      </c>
      <c r="R793">
        <v>111.4000015</v>
      </c>
      <c r="S793">
        <f t="shared" si="140"/>
        <v>-4.485904117598194E-4</v>
      </c>
      <c r="T793">
        <v>2388.3500979999999</v>
      </c>
      <c r="U793">
        <f t="shared" si="141"/>
        <v>-7.3218690776355455E-4</v>
      </c>
      <c r="W793">
        <f t="shared" si="142"/>
        <v>2.0368767613745398E-3</v>
      </c>
      <c r="X793">
        <v>-1.0479796000512054E-4</v>
      </c>
    </row>
    <row r="794" spans="1:24" x14ac:dyDescent="0.35">
      <c r="A794" s="1">
        <v>43993</v>
      </c>
      <c r="B794">
        <v>1419.2966309999999</v>
      </c>
      <c r="C794">
        <f t="shared" si="132"/>
        <v>-2.1912683211064321E-2</v>
      </c>
      <c r="D794">
        <v>2067.6499020000001</v>
      </c>
      <c r="E794">
        <f t="shared" si="133"/>
        <v>-1.9490265797273199E-2</v>
      </c>
      <c r="F794">
        <v>968.59997559999999</v>
      </c>
      <c r="G794">
        <f t="shared" si="134"/>
        <v>-2.3441045089440449E-2</v>
      </c>
      <c r="H794">
        <v>541.67993160000003</v>
      </c>
      <c r="I794">
        <f t="shared" si="135"/>
        <v>-2.6891265762324035E-2</v>
      </c>
      <c r="J794">
        <v>703.95001219999995</v>
      </c>
      <c r="K794">
        <f t="shared" si="136"/>
        <v>-1.6623543767010585E-2</v>
      </c>
      <c r="L794">
        <v>194.25</v>
      </c>
      <c r="M794">
        <f t="shared" si="137"/>
        <v>-2.4114559282817694E-2</v>
      </c>
      <c r="N794">
        <v>473.64999390000003</v>
      </c>
      <c r="O794">
        <f t="shared" si="138"/>
        <v>-5.1086848265310625E-2</v>
      </c>
      <c r="P794">
        <v>86.900001529999997</v>
      </c>
      <c r="Q794">
        <f t="shared" si="139"/>
        <v>-1.5297433087818724E-2</v>
      </c>
      <c r="R794">
        <v>106.1500015</v>
      </c>
      <c r="S794">
        <f t="shared" si="140"/>
        <v>-4.7127467947116641E-2</v>
      </c>
      <c r="T794">
        <v>2406.5</v>
      </c>
      <c r="U794">
        <f t="shared" si="141"/>
        <v>7.5993473549789137E-3</v>
      </c>
      <c r="W794">
        <f t="shared" si="142"/>
        <v>-2.3838576485519736E-2</v>
      </c>
      <c r="X794">
        <v>-9.7581707044924141E-5</v>
      </c>
    </row>
    <row r="795" spans="1:24" x14ac:dyDescent="0.35">
      <c r="A795" s="1">
        <v>43994</v>
      </c>
      <c r="B795">
        <v>1466.461914</v>
      </c>
      <c r="C795">
        <f t="shared" si="132"/>
        <v>3.3231448570950617E-2</v>
      </c>
      <c r="D795">
        <v>2039.5</v>
      </c>
      <c r="E795">
        <f t="shared" si="133"/>
        <v>-1.3614443128293297E-2</v>
      </c>
      <c r="F795">
        <v>982.75</v>
      </c>
      <c r="G795">
        <f t="shared" si="134"/>
        <v>1.4608739166274365E-2</v>
      </c>
      <c r="H795">
        <v>549.77789310000003</v>
      </c>
      <c r="I795">
        <f t="shared" si="135"/>
        <v>1.4949716664009349E-2</v>
      </c>
      <c r="J795">
        <v>692.04998780000005</v>
      </c>
      <c r="K795">
        <f t="shared" si="136"/>
        <v>-1.6904644070975583E-2</v>
      </c>
      <c r="L795">
        <v>193.8999939</v>
      </c>
      <c r="M795">
        <f t="shared" si="137"/>
        <v>-1.8018332046332297E-3</v>
      </c>
      <c r="N795">
        <v>480.10000609999997</v>
      </c>
      <c r="O795">
        <f t="shared" si="138"/>
        <v>1.361767609641662E-2</v>
      </c>
      <c r="P795">
        <v>83.900001529999997</v>
      </c>
      <c r="Q795">
        <f t="shared" si="139"/>
        <v>-3.4522438977913295E-2</v>
      </c>
      <c r="R795">
        <v>105.3000031</v>
      </c>
      <c r="S795">
        <f t="shared" si="140"/>
        <v>-8.0075213187821292E-3</v>
      </c>
      <c r="T795">
        <v>2397.8000489999999</v>
      </c>
      <c r="U795">
        <f t="shared" si="141"/>
        <v>-3.615188447953499E-3</v>
      </c>
      <c r="W795">
        <f t="shared" si="142"/>
        <v>-2.0584886509000865E-4</v>
      </c>
      <c r="X795">
        <v>-9.7521821403745223E-5</v>
      </c>
    </row>
    <row r="796" spans="1:24" x14ac:dyDescent="0.35">
      <c r="A796" s="1">
        <v>43997</v>
      </c>
      <c r="B796">
        <v>1490.229126</v>
      </c>
      <c r="C796">
        <f t="shared" si="132"/>
        <v>1.6207179861337906E-2</v>
      </c>
      <c r="D796">
        <v>2029.900024</v>
      </c>
      <c r="E796">
        <f t="shared" si="133"/>
        <v>-4.7070242706545029E-3</v>
      </c>
      <c r="F796">
        <v>949.84997559999999</v>
      </c>
      <c r="G796">
        <f t="shared" si="134"/>
        <v>-3.3477511472907673E-2</v>
      </c>
      <c r="H796">
        <v>540.55114749999996</v>
      </c>
      <c r="I796">
        <f t="shared" si="135"/>
        <v>-1.6782678452154087E-2</v>
      </c>
      <c r="J796">
        <v>687.54998780000005</v>
      </c>
      <c r="K796">
        <f t="shared" si="136"/>
        <v>-6.5024204599805069E-3</v>
      </c>
      <c r="L796">
        <v>187.1999969</v>
      </c>
      <c r="M796">
        <f t="shared" si="137"/>
        <v>-3.4553879374825458E-2</v>
      </c>
      <c r="N796">
        <v>485.7999878</v>
      </c>
      <c r="O796">
        <f t="shared" si="138"/>
        <v>1.1872488289060179E-2</v>
      </c>
      <c r="P796">
        <v>84.099998470000003</v>
      </c>
      <c r="Q796">
        <f t="shared" si="139"/>
        <v>2.3837537109996365E-3</v>
      </c>
      <c r="R796">
        <v>100.5</v>
      </c>
      <c r="S796">
        <f t="shared" si="140"/>
        <v>-4.5584073681760429E-2</v>
      </c>
      <c r="T796">
        <v>2365.3000489999999</v>
      </c>
      <c r="U796">
        <f t="shared" si="141"/>
        <v>-1.3554090973329491E-2</v>
      </c>
      <c r="W796">
        <f t="shared" si="142"/>
        <v>-1.2469825682421443E-2</v>
      </c>
      <c r="X796">
        <v>-9.4376415201369128E-5</v>
      </c>
    </row>
    <row r="797" spans="1:24" x14ac:dyDescent="0.35">
      <c r="A797" s="1">
        <v>43998</v>
      </c>
      <c r="B797">
        <v>1493.1365969999999</v>
      </c>
      <c r="C797">
        <f t="shared" si="132"/>
        <v>1.9510227986243578E-3</v>
      </c>
      <c r="D797">
        <v>2045.8000489999999</v>
      </c>
      <c r="E797">
        <f t="shared" si="133"/>
        <v>7.8329103955909751E-3</v>
      </c>
      <c r="F797">
        <v>990.40002440000001</v>
      </c>
      <c r="G797">
        <f t="shared" si="134"/>
        <v>4.269100367601264E-2</v>
      </c>
      <c r="H797">
        <v>534.85803220000003</v>
      </c>
      <c r="I797">
        <f t="shared" si="135"/>
        <v>-1.053205663576906E-2</v>
      </c>
      <c r="J797">
        <v>701.20001219999995</v>
      </c>
      <c r="K797">
        <f t="shared" si="136"/>
        <v>1.9853137433216705E-2</v>
      </c>
      <c r="L797">
        <v>185</v>
      </c>
      <c r="M797">
        <f t="shared" si="137"/>
        <v>-1.1752120386920861E-2</v>
      </c>
      <c r="N797">
        <v>483.39999390000003</v>
      </c>
      <c r="O797">
        <f t="shared" si="138"/>
        <v>-4.9402922195791454E-3</v>
      </c>
      <c r="P797">
        <v>83.900001529999997</v>
      </c>
      <c r="Q797">
        <f t="shared" si="139"/>
        <v>-2.3780849421934924E-3</v>
      </c>
      <c r="R797">
        <v>94.75</v>
      </c>
      <c r="S797">
        <f t="shared" si="140"/>
        <v>-5.7213930348258724E-2</v>
      </c>
      <c r="T797">
        <v>2403.5500489999999</v>
      </c>
      <c r="U797">
        <f t="shared" si="141"/>
        <v>1.6171309858202365E-2</v>
      </c>
      <c r="W797">
        <f t="shared" si="142"/>
        <v>1.6828996289257499E-4</v>
      </c>
      <c r="X797">
        <v>-8.6465959474780422E-5</v>
      </c>
    </row>
    <row r="798" spans="1:24" x14ac:dyDescent="0.35">
      <c r="A798" s="1">
        <v>43999</v>
      </c>
      <c r="B798">
        <v>1490.967529</v>
      </c>
      <c r="C798">
        <f t="shared" si="132"/>
        <v>-1.4526922750122129E-3</v>
      </c>
      <c r="D798">
        <v>2047.8000489999999</v>
      </c>
      <c r="E798">
        <f t="shared" si="133"/>
        <v>9.7761264644491419E-4</v>
      </c>
      <c r="F798">
        <v>979.25</v>
      </c>
      <c r="G798">
        <f t="shared" si="134"/>
        <v>-1.1258101903576678E-2</v>
      </c>
      <c r="H798">
        <v>553.06616210000004</v>
      </c>
      <c r="I798">
        <f t="shared" si="135"/>
        <v>3.4042921305875495E-2</v>
      </c>
      <c r="J798">
        <v>703.65002440000001</v>
      </c>
      <c r="K798">
        <f t="shared" si="136"/>
        <v>3.4940276060650977E-3</v>
      </c>
      <c r="L798">
        <v>181.1999969</v>
      </c>
      <c r="M798">
        <f t="shared" si="137"/>
        <v>-2.0540557297297313E-2</v>
      </c>
      <c r="N798">
        <v>485.64999390000003</v>
      </c>
      <c r="O798">
        <f t="shared" si="138"/>
        <v>4.6545304683338617E-3</v>
      </c>
      <c r="P798">
        <v>84.199996949999999</v>
      </c>
      <c r="Q798">
        <f t="shared" si="139"/>
        <v>3.5756306856886688E-3</v>
      </c>
      <c r="R798">
        <v>95.400001529999997</v>
      </c>
      <c r="S798">
        <f t="shared" si="140"/>
        <v>6.860174459102808E-3</v>
      </c>
      <c r="T798">
        <v>2340.3999020000001</v>
      </c>
      <c r="U798">
        <f t="shared" si="141"/>
        <v>-2.6273697535973306E-2</v>
      </c>
      <c r="W798">
        <f t="shared" si="142"/>
        <v>-5.920151840348672E-4</v>
      </c>
      <c r="X798">
        <v>-7.8519393649467879E-5</v>
      </c>
    </row>
    <row r="799" spans="1:24" x14ac:dyDescent="0.35">
      <c r="A799" s="1">
        <v>44000</v>
      </c>
      <c r="B799">
        <v>1528.3951420000001</v>
      </c>
      <c r="C799">
        <f t="shared" si="132"/>
        <v>2.510290282787242E-2</v>
      </c>
      <c r="D799">
        <v>2038.099976</v>
      </c>
      <c r="E799">
        <f t="shared" si="133"/>
        <v>-4.7368262368862046E-3</v>
      </c>
      <c r="F799">
        <v>1019.950012</v>
      </c>
      <c r="G799">
        <f t="shared" si="134"/>
        <v>4.1562432473831956E-2</v>
      </c>
      <c r="H799">
        <v>550.56317139999999</v>
      </c>
      <c r="I799">
        <f t="shared" si="135"/>
        <v>-4.5256623375694582E-3</v>
      </c>
      <c r="J799">
        <v>713.90002440000001</v>
      </c>
      <c r="K799">
        <f t="shared" si="136"/>
        <v>1.4566900653119719E-2</v>
      </c>
      <c r="L799">
        <v>186.6000061</v>
      </c>
      <c r="M799">
        <f t="shared" si="137"/>
        <v>2.9801375785785122E-2</v>
      </c>
      <c r="N799">
        <v>484.25</v>
      </c>
      <c r="O799">
        <f t="shared" si="138"/>
        <v>-2.8827219552859384E-3</v>
      </c>
      <c r="P799">
        <v>83.599998470000003</v>
      </c>
      <c r="Q799">
        <f t="shared" si="139"/>
        <v>-7.1258729422079004E-3</v>
      </c>
      <c r="R799">
        <v>96.349998470000003</v>
      </c>
      <c r="S799">
        <f t="shared" si="140"/>
        <v>9.9580390436500021E-3</v>
      </c>
      <c r="T799">
        <v>2350.8500979999999</v>
      </c>
      <c r="U799">
        <f t="shared" si="141"/>
        <v>4.4651326429596683E-3</v>
      </c>
      <c r="W799">
        <f t="shared" si="142"/>
        <v>1.0618569995526937E-2</v>
      </c>
      <c r="X799">
        <v>-6.8813182362204364E-5</v>
      </c>
    </row>
    <row r="800" spans="1:24" x14ac:dyDescent="0.35">
      <c r="A800" s="1">
        <v>44001</v>
      </c>
      <c r="B800">
        <v>1623.925659</v>
      </c>
      <c r="C800">
        <f t="shared" si="132"/>
        <v>6.2503808324719135E-2</v>
      </c>
      <c r="D800">
        <v>2044.599976</v>
      </c>
      <c r="E800">
        <f t="shared" si="133"/>
        <v>3.1892449224972808E-3</v>
      </c>
      <c r="F800">
        <v>1033.349976</v>
      </c>
      <c r="G800">
        <f t="shared" si="134"/>
        <v>1.3137863466194943E-2</v>
      </c>
      <c r="H800">
        <v>561.9494019</v>
      </c>
      <c r="I800">
        <f t="shared" si="135"/>
        <v>2.068106094173805E-2</v>
      </c>
      <c r="J800">
        <v>705.54998780000005</v>
      </c>
      <c r="K800">
        <f t="shared" si="136"/>
        <v>-1.1696366878566455E-2</v>
      </c>
      <c r="L800">
        <v>184.0500031</v>
      </c>
      <c r="M800">
        <f t="shared" si="137"/>
        <v>-1.3665610485743773E-2</v>
      </c>
      <c r="N800">
        <v>488.10000609999997</v>
      </c>
      <c r="O800">
        <f t="shared" si="138"/>
        <v>7.9504514197210607E-3</v>
      </c>
      <c r="P800">
        <v>85.75</v>
      </c>
      <c r="Q800">
        <f t="shared" si="139"/>
        <v>2.5717722121388897E-2</v>
      </c>
      <c r="R800">
        <v>102.5</v>
      </c>
      <c r="S800">
        <f t="shared" si="140"/>
        <v>6.3829804127240264E-2</v>
      </c>
      <c r="T800">
        <v>2363.1499020000001</v>
      </c>
      <c r="U800">
        <f t="shared" si="141"/>
        <v>5.2320664811695838E-3</v>
      </c>
      <c r="W800">
        <f t="shared" si="142"/>
        <v>1.7688004444035899E-2</v>
      </c>
      <c r="X800">
        <v>-4.4951558309680494E-5</v>
      </c>
    </row>
    <row r="801" spans="1:24" x14ac:dyDescent="0.35">
      <c r="A801" s="1">
        <v>44004</v>
      </c>
      <c r="B801">
        <v>1611.695923</v>
      </c>
      <c r="C801">
        <f t="shared" si="132"/>
        <v>-7.5309703570611841E-3</v>
      </c>
      <c r="D801">
        <v>2027.9499510000001</v>
      </c>
      <c r="E801">
        <f t="shared" si="133"/>
        <v>-8.1434144553662602E-3</v>
      </c>
      <c r="F801">
        <v>1028.75</v>
      </c>
      <c r="G801">
        <f t="shared" si="134"/>
        <v>-4.4515179821322803E-3</v>
      </c>
      <c r="H801">
        <v>570.34185790000004</v>
      </c>
      <c r="I801">
        <f t="shared" si="135"/>
        <v>1.4934540319154088E-2</v>
      </c>
      <c r="J801">
        <v>703.70001219999995</v>
      </c>
      <c r="K801">
        <f t="shared" si="136"/>
        <v>-2.622033352687847E-3</v>
      </c>
      <c r="L801">
        <v>185</v>
      </c>
      <c r="M801">
        <f t="shared" si="137"/>
        <v>5.1616239282747944E-3</v>
      </c>
      <c r="N801">
        <v>493.2000122</v>
      </c>
      <c r="O801">
        <f t="shared" si="138"/>
        <v>1.0448690916334824E-2</v>
      </c>
      <c r="P801">
        <v>84.849998470000003</v>
      </c>
      <c r="Q801">
        <f t="shared" si="139"/>
        <v>-1.049564466472297E-2</v>
      </c>
      <c r="R801">
        <v>102.6500015</v>
      </c>
      <c r="S801">
        <f t="shared" si="140"/>
        <v>1.4634292682926819E-3</v>
      </c>
      <c r="T801">
        <v>2350.3999020000001</v>
      </c>
      <c r="U801">
        <f t="shared" si="141"/>
        <v>-5.3953411881358937E-3</v>
      </c>
      <c r="W801">
        <f t="shared" si="142"/>
        <v>-6.6306375680500471E-4</v>
      </c>
      <c r="X801">
        <v>-2.4013562594449192E-5</v>
      </c>
    </row>
    <row r="802" spans="1:24" x14ac:dyDescent="0.35">
      <c r="A802" s="1">
        <v>44005</v>
      </c>
      <c r="B802">
        <v>1588.3901370000001</v>
      </c>
      <c r="C802">
        <f t="shared" si="132"/>
        <v>-1.4460411339018986E-2</v>
      </c>
      <c r="D802">
        <v>2035.3000489999999</v>
      </c>
      <c r="E802">
        <f t="shared" si="133"/>
        <v>3.6243981250008162E-3</v>
      </c>
      <c r="F802">
        <v>1042.3000489999999</v>
      </c>
      <c r="G802">
        <f t="shared" si="134"/>
        <v>1.3171372053462971E-2</v>
      </c>
      <c r="H802">
        <v>568.13330080000003</v>
      </c>
      <c r="I802">
        <f t="shared" si="135"/>
        <v>-3.8723391408301833E-3</v>
      </c>
      <c r="J802">
        <v>720.65002440000001</v>
      </c>
      <c r="K802">
        <f t="shared" si="136"/>
        <v>2.4086985798122518E-2</v>
      </c>
      <c r="L802">
        <v>185.8500061</v>
      </c>
      <c r="M802">
        <f t="shared" si="137"/>
        <v>4.5946275675676773E-3</v>
      </c>
      <c r="N802">
        <v>500.4500122</v>
      </c>
      <c r="O802">
        <f t="shared" si="138"/>
        <v>1.4699918533375822E-2</v>
      </c>
      <c r="P802">
        <v>85.650001529999997</v>
      </c>
      <c r="Q802">
        <f t="shared" si="139"/>
        <v>9.4284392978845055E-3</v>
      </c>
      <c r="R802">
        <v>104.4000015</v>
      </c>
      <c r="S802">
        <f t="shared" si="140"/>
        <v>1.7048221864857993E-2</v>
      </c>
      <c r="T802">
        <v>2359.8999020000001</v>
      </c>
      <c r="U802">
        <f t="shared" si="141"/>
        <v>4.0418653829572548E-3</v>
      </c>
      <c r="W802">
        <f t="shared" si="142"/>
        <v>7.2363078143380397E-3</v>
      </c>
      <c r="X802">
        <v>-1.5769822730247324E-6</v>
      </c>
    </row>
    <row r="803" spans="1:24" x14ac:dyDescent="0.35">
      <c r="A803" s="1">
        <v>44006</v>
      </c>
      <c r="B803">
        <v>1594.804932</v>
      </c>
      <c r="C803">
        <f t="shared" si="132"/>
        <v>4.0385512668288381E-3</v>
      </c>
      <c r="D803">
        <v>2042.1999510000001</v>
      </c>
      <c r="E803">
        <f t="shared" si="133"/>
        <v>3.3901153804767326E-3</v>
      </c>
      <c r="F803">
        <v>1032.5</v>
      </c>
      <c r="G803">
        <f t="shared" si="134"/>
        <v>-9.4023299810858108E-3</v>
      </c>
      <c r="H803">
        <v>547.07861330000003</v>
      </c>
      <c r="I803">
        <f t="shared" si="135"/>
        <v>-3.7059414525345447E-2</v>
      </c>
      <c r="J803">
        <v>714.15002440000001</v>
      </c>
      <c r="K803">
        <f t="shared" si="136"/>
        <v>-9.0196347462997428E-3</v>
      </c>
      <c r="L803">
        <v>191.8500061</v>
      </c>
      <c r="M803">
        <f t="shared" si="137"/>
        <v>3.2284099021076207E-2</v>
      </c>
      <c r="N803">
        <v>484.39999390000003</v>
      </c>
      <c r="O803">
        <f t="shared" si="138"/>
        <v>-3.2071171762876771E-2</v>
      </c>
      <c r="P803">
        <v>83.099998470000003</v>
      </c>
      <c r="Q803">
        <f t="shared" si="139"/>
        <v>-2.9772364441894683E-2</v>
      </c>
      <c r="R803">
        <v>104.8000031</v>
      </c>
      <c r="S803">
        <f t="shared" si="140"/>
        <v>3.8314328951423171E-3</v>
      </c>
      <c r="T803">
        <v>2358.3500979999999</v>
      </c>
      <c r="U803">
        <f t="shared" si="141"/>
        <v>-6.567244647481818E-4</v>
      </c>
      <c r="W803">
        <f t="shared" si="142"/>
        <v>-7.4437441358726538E-3</v>
      </c>
      <c r="X803">
        <v>8.6870148042982021E-6</v>
      </c>
    </row>
    <row r="804" spans="1:24" x14ac:dyDescent="0.35">
      <c r="A804" s="1">
        <v>44007</v>
      </c>
      <c r="B804">
        <v>1585.6210940000001</v>
      </c>
      <c r="C804">
        <f t="shared" si="132"/>
        <v>-5.7585964375485021E-3</v>
      </c>
      <c r="D804">
        <v>2016.099976</v>
      </c>
      <c r="E804">
        <f t="shared" si="133"/>
        <v>-1.2780322997863025E-2</v>
      </c>
      <c r="F804">
        <v>1028.75</v>
      </c>
      <c r="G804">
        <f t="shared" si="134"/>
        <v>-3.6319612590799411E-3</v>
      </c>
      <c r="H804">
        <v>548.69818120000002</v>
      </c>
      <c r="I804">
        <f t="shared" si="135"/>
        <v>2.9603933705810714E-3</v>
      </c>
      <c r="J804">
        <v>700.5</v>
      </c>
      <c r="K804">
        <f t="shared" si="136"/>
        <v>-1.9113665103446809E-2</v>
      </c>
      <c r="L804">
        <v>202.1000061</v>
      </c>
      <c r="M804">
        <f t="shared" si="137"/>
        <v>5.3427154934033716E-2</v>
      </c>
      <c r="N804">
        <v>487.64999390000003</v>
      </c>
      <c r="O804">
        <f t="shared" si="138"/>
        <v>6.7093312157864293E-3</v>
      </c>
      <c r="P804">
        <v>81.599998470000003</v>
      </c>
      <c r="Q804">
        <f t="shared" si="139"/>
        <v>-1.8050541848584012E-2</v>
      </c>
      <c r="R804">
        <v>103.8000031</v>
      </c>
      <c r="S804">
        <f t="shared" si="140"/>
        <v>-9.5419844505710838E-3</v>
      </c>
      <c r="T804">
        <v>2305.5500489999999</v>
      </c>
      <c r="U804">
        <f t="shared" si="141"/>
        <v>-2.2388554203541355E-2</v>
      </c>
      <c r="W804">
        <f t="shared" si="142"/>
        <v>-2.8168746780233519E-3</v>
      </c>
      <c r="X804">
        <v>1.9873748856891649E-5</v>
      </c>
    </row>
    <row r="805" spans="1:24" x14ac:dyDescent="0.35">
      <c r="A805" s="1">
        <v>44008</v>
      </c>
      <c r="B805">
        <v>1607.5423579999999</v>
      </c>
      <c r="C805">
        <f t="shared" si="132"/>
        <v>1.3825033031504175E-2</v>
      </c>
      <c r="D805">
        <v>2118.8500979999999</v>
      </c>
      <c r="E805">
        <f t="shared" si="133"/>
        <v>5.0964795011733122E-2</v>
      </c>
      <c r="F805">
        <v>1056.4499510000001</v>
      </c>
      <c r="G805">
        <f t="shared" si="134"/>
        <v>2.6925833292831269E-2</v>
      </c>
      <c r="H805">
        <v>550.07238770000004</v>
      </c>
      <c r="I805">
        <f t="shared" si="135"/>
        <v>2.5044852472349E-3</v>
      </c>
      <c r="J805">
        <v>748.20001219999995</v>
      </c>
      <c r="K805">
        <f t="shared" si="136"/>
        <v>6.8094235831548833E-2</v>
      </c>
      <c r="L805">
        <v>195.1999969</v>
      </c>
      <c r="M805">
        <f t="shared" si="137"/>
        <v>-3.4141558593451249E-2</v>
      </c>
      <c r="N805">
        <v>479.9500122</v>
      </c>
      <c r="O805">
        <f t="shared" si="138"/>
        <v>-1.5789975999833672E-2</v>
      </c>
      <c r="P805">
        <v>84.150001529999997</v>
      </c>
      <c r="Q805">
        <f t="shared" si="139"/>
        <v>3.1250038085938181E-2</v>
      </c>
      <c r="R805">
        <v>101.4000015</v>
      </c>
      <c r="S805">
        <f t="shared" si="140"/>
        <v>-2.3121402006971548E-2</v>
      </c>
      <c r="T805">
        <v>2294.3999020000001</v>
      </c>
      <c r="U805">
        <f t="shared" si="141"/>
        <v>-4.8362198881070073E-3</v>
      </c>
      <c r="W805">
        <f t="shared" si="142"/>
        <v>1.1567526401242704E-2</v>
      </c>
      <c r="X805">
        <v>5.1285542093793121E-5</v>
      </c>
    </row>
    <row r="806" spans="1:24" x14ac:dyDescent="0.35">
      <c r="A806" s="1">
        <v>44011</v>
      </c>
      <c r="B806">
        <v>1590.466919</v>
      </c>
      <c r="C806">
        <f t="shared" si="132"/>
        <v>-1.0622077181993594E-2</v>
      </c>
      <c r="D806">
        <v>2101.6499020000001</v>
      </c>
      <c r="E806">
        <f t="shared" si="133"/>
        <v>-8.1177030957665375E-3</v>
      </c>
      <c r="F806">
        <v>1076.0500489999999</v>
      </c>
      <c r="G806">
        <f t="shared" si="134"/>
        <v>1.8552793704469384E-2</v>
      </c>
      <c r="H806">
        <v>556.64892580000003</v>
      </c>
      <c r="I806">
        <f t="shared" si="135"/>
        <v>1.1955768453490778E-2</v>
      </c>
      <c r="J806">
        <v>731.75</v>
      </c>
      <c r="K806">
        <f t="shared" si="136"/>
        <v>-2.1986115920568428E-2</v>
      </c>
      <c r="L806">
        <v>197.25</v>
      </c>
      <c r="M806">
        <f t="shared" si="137"/>
        <v>1.0502065228260138E-2</v>
      </c>
      <c r="N806">
        <v>482</v>
      </c>
      <c r="O806">
        <f t="shared" si="138"/>
        <v>4.2712527302650738E-3</v>
      </c>
      <c r="P806">
        <v>82.400001529999997</v>
      </c>
      <c r="Q806">
        <f t="shared" si="139"/>
        <v>-2.0796196888672847E-2</v>
      </c>
      <c r="R806">
        <v>99.449996949999999</v>
      </c>
      <c r="S806">
        <f t="shared" si="140"/>
        <v>-1.9230813818084669E-2</v>
      </c>
      <c r="T806">
        <v>2290.9499510000001</v>
      </c>
      <c r="U806">
        <f t="shared" si="141"/>
        <v>-1.5036397957447489E-3</v>
      </c>
      <c r="W806">
        <f t="shared" si="142"/>
        <v>-3.6974666584345455E-3</v>
      </c>
      <c r="X806">
        <v>6.0803458293290586E-5</v>
      </c>
    </row>
    <row r="807" spans="1:24" x14ac:dyDescent="0.35">
      <c r="A807" s="1">
        <v>44012</v>
      </c>
      <c r="B807">
        <v>1572.883789</v>
      </c>
      <c r="C807">
        <f t="shared" si="132"/>
        <v>-1.1055325822844075E-2</v>
      </c>
      <c r="D807">
        <v>2082.1499020000001</v>
      </c>
      <c r="E807">
        <f t="shared" si="133"/>
        <v>-9.2784245280068678E-3</v>
      </c>
      <c r="F807">
        <v>1065.849976</v>
      </c>
      <c r="G807">
        <f t="shared" si="134"/>
        <v>-9.4791808331584626E-3</v>
      </c>
      <c r="H807">
        <v>549.53253170000005</v>
      </c>
      <c r="I807">
        <f t="shared" si="135"/>
        <v>-1.2784348931909828E-2</v>
      </c>
      <c r="J807">
        <v>735.95001219999995</v>
      </c>
      <c r="K807">
        <f t="shared" si="136"/>
        <v>5.739681858558221E-3</v>
      </c>
      <c r="L807">
        <v>194.6499939</v>
      </c>
      <c r="M807">
        <f t="shared" si="137"/>
        <v>-1.3181273003802341E-2</v>
      </c>
      <c r="N807">
        <v>472.9500122</v>
      </c>
      <c r="O807">
        <f t="shared" si="138"/>
        <v>-1.8775908298755195E-2</v>
      </c>
      <c r="P807">
        <v>81.349998470000003</v>
      </c>
      <c r="Q807">
        <f t="shared" si="139"/>
        <v>-1.2742755345917178E-2</v>
      </c>
      <c r="R807">
        <v>98.25</v>
      </c>
      <c r="S807">
        <f t="shared" si="140"/>
        <v>-1.2066334708922266E-2</v>
      </c>
      <c r="T807">
        <v>2317.1499020000001</v>
      </c>
      <c r="U807">
        <f t="shared" si="141"/>
        <v>1.1436282572896861E-2</v>
      </c>
      <c r="W807">
        <f t="shared" si="142"/>
        <v>-8.2187587041861136E-3</v>
      </c>
      <c r="X807">
        <v>6.8640902400729682E-5</v>
      </c>
    </row>
    <row r="808" spans="1:24" x14ac:dyDescent="0.35">
      <c r="A808" s="1">
        <v>44013</v>
      </c>
      <c r="B808">
        <v>1603.8041989999999</v>
      </c>
      <c r="C808">
        <f t="shared" si="132"/>
        <v>1.965841991394579E-2</v>
      </c>
      <c r="D808">
        <v>2092.0500489999999</v>
      </c>
      <c r="E808">
        <f t="shared" si="133"/>
        <v>4.7547714938729335E-3</v>
      </c>
      <c r="F808">
        <v>1084.599976</v>
      </c>
      <c r="G808">
        <f t="shared" si="134"/>
        <v>1.759159395993648E-2</v>
      </c>
      <c r="H808">
        <v>549.82702640000002</v>
      </c>
      <c r="I808">
        <f t="shared" si="135"/>
        <v>5.3590039353812458E-4</v>
      </c>
      <c r="J808">
        <v>731.90002440000001</v>
      </c>
      <c r="K808">
        <f t="shared" si="136"/>
        <v>-5.5030745741727616E-3</v>
      </c>
      <c r="L808">
        <v>202.8999939</v>
      </c>
      <c r="M808">
        <f t="shared" si="137"/>
        <v>4.238376706160274E-2</v>
      </c>
      <c r="N808">
        <v>468.14999390000003</v>
      </c>
      <c r="O808">
        <f t="shared" si="138"/>
        <v>-1.0149102814633548E-2</v>
      </c>
      <c r="P808">
        <v>80.449996949999999</v>
      </c>
      <c r="Q808">
        <f t="shared" si="139"/>
        <v>-1.1063325592217454E-2</v>
      </c>
      <c r="R808">
        <v>100.75</v>
      </c>
      <c r="S808">
        <f t="shared" si="140"/>
        <v>2.5445292620865034E-2</v>
      </c>
      <c r="T808">
        <v>2289.3500979999999</v>
      </c>
      <c r="U808">
        <f t="shared" si="141"/>
        <v>-1.1997412845843658E-2</v>
      </c>
      <c r="W808">
        <f t="shared" si="142"/>
        <v>7.1656829616893684E-3</v>
      </c>
      <c r="X808">
        <v>6.9729465281320805E-5</v>
      </c>
    </row>
    <row r="809" spans="1:24" x14ac:dyDescent="0.35">
      <c r="A809" s="1">
        <v>44014</v>
      </c>
      <c r="B809">
        <v>1624.80249</v>
      </c>
      <c r="C809">
        <f t="shared" si="132"/>
        <v>1.3092802109567314E-2</v>
      </c>
      <c r="D809">
        <v>2157.1499020000001</v>
      </c>
      <c r="E809">
        <f t="shared" si="133"/>
        <v>3.1117732116933805E-2</v>
      </c>
      <c r="F809">
        <v>1089.400024</v>
      </c>
      <c r="G809">
        <f t="shared" si="134"/>
        <v>4.4256390431638426E-3</v>
      </c>
      <c r="H809">
        <v>548.15832520000004</v>
      </c>
      <c r="I809">
        <f t="shared" si="135"/>
        <v>-3.0349566679649387E-3</v>
      </c>
      <c r="J809">
        <v>756.59997559999999</v>
      </c>
      <c r="K809">
        <f t="shared" si="136"/>
        <v>3.3747711950479431E-2</v>
      </c>
      <c r="L809">
        <v>205.8500061</v>
      </c>
      <c r="M809">
        <f t="shared" si="137"/>
        <v>1.4539242428237564E-2</v>
      </c>
      <c r="N809">
        <v>473</v>
      </c>
      <c r="O809">
        <f t="shared" si="138"/>
        <v>1.0359940538706924E-2</v>
      </c>
      <c r="P809">
        <v>81.849998470000003</v>
      </c>
      <c r="Q809">
        <f t="shared" si="139"/>
        <v>1.7402132667203363E-2</v>
      </c>
      <c r="R809">
        <v>101.5500031</v>
      </c>
      <c r="S809">
        <f t="shared" si="140"/>
        <v>7.9404774193547745E-3</v>
      </c>
      <c r="T809">
        <v>2295.5</v>
      </c>
      <c r="U809">
        <f t="shared" si="141"/>
        <v>2.6863090994133643E-3</v>
      </c>
      <c r="W809">
        <f t="shared" si="142"/>
        <v>1.3227703070509545E-2</v>
      </c>
      <c r="X809">
        <v>9.3556638403269319E-5</v>
      </c>
    </row>
    <row r="810" spans="1:24" x14ac:dyDescent="0.35">
      <c r="A810" s="1">
        <v>44015</v>
      </c>
      <c r="B810">
        <v>1650.2310789999999</v>
      </c>
      <c r="C810">
        <f t="shared" si="132"/>
        <v>1.5650264666938085E-2</v>
      </c>
      <c r="D810">
        <v>2199.6499020000001</v>
      </c>
      <c r="E810">
        <f t="shared" si="133"/>
        <v>1.9701922411880624E-2</v>
      </c>
      <c r="F810">
        <v>1073.9499510000001</v>
      </c>
      <c r="G810">
        <f t="shared" si="134"/>
        <v>-1.4182185294315697E-2</v>
      </c>
      <c r="H810">
        <v>570.73443599999996</v>
      </c>
      <c r="I810">
        <f t="shared" si="135"/>
        <v>4.1185383423234301E-2</v>
      </c>
      <c r="J810">
        <v>762.70001219999995</v>
      </c>
      <c r="K810">
        <f t="shared" si="136"/>
        <v>8.0624329853600241E-3</v>
      </c>
      <c r="L810">
        <v>207.5500031</v>
      </c>
      <c r="M810">
        <f t="shared" si="137"/>
        <v>8.2584257936535455E-3</v>
      </c>
      <c r="N810">
        <v>476.85000609999997</v>
      </c>
      <c r="O810">
        <f t="shared" si="138"/>
        <v>8.1395477801267102E-3</v>
      </c>
      <c r="P810">
        <v>82.400001529999997</v>
      </c>
      <c r="Q810">
        <f t="shared" si="139"/>
        <v>6.719646551998304E-3</v>
      </c>
      <c r="R810">
        <v>103.4499969</v>
      </c>
      <c r="S810">
        <f t="shared" si="140"/>
        <v>1.8709933451493965E-2</v>
      </c>
      <c r="T810">
        <v>2290.1499020000001</v>
      </c>
      <c r="U810">
        <f t="shared" si="141"/>
        <v>-2.3306896101066288E-3</v>
      </c>
      <c r="W810">
        <f t="shared" si="142"/>
        <v>1.0991468216026324E-2</v>
      </c>
      <c r="X810">
        <v>9.9304115450427359E-5</v>
      </c>
    </row>
    <row r="811" spans="1:24" x14ac:dyDescent="0.35">
      <c r="A811" s="1">
        <v>44018</v>
      </c>
      <c r="B811">
        <v>1709.2108149999999</v>
      </c>
      <c r="C811">
        <f t="shared" si="132"/>
        <v>3.5740289193765706E-2</v>
      </c>
      <c r="D811">
        <v>2263.1999510000001</v>
      </c>
      <c r="E811">
        <f t="shared" si="133"/>
        <v>2.8890983488880639E-2</v>
      </c>
      <c r="F811">
        <v>1103</v>
      </c>
      <c r="G811">
        <f t="shared" si="134"/>
        <v>2.7049723288268934E-2</v>
      </c>
      <c r="H811">
        <v>565.97381589999998</v>
      </c>
      <c r="I811">
        <f t="shared" si="135"/>
        <v>-8.3412175605959149E-3</v>
      </c>
      <c r="J811">
        <v>764</v>
      </c>
      <c r="K811">
        <f t="shared" si="136"/>
        <v>1.7044549353686378E-3</v>
      </c>
      <c r="L811">
        <v>199.8000031</v>
      </c>
      <c r="M811">
        <f t="shared" si="137"/>
        <v>-3.7340399345915487E-2</v>
      </c>
      <c r="N811">
        <v>480.2000122</v>
      </c>
      <c r="O811">
        <f t="shared" si="138"/>
        <v>7.0252827034618104E-3</v>
      </c>
      <c r="P811">
        <v>83.75</v>
      </c>
      <c r="Q811">
        <f t="shared" si="139"/>
        <v>1.6383476273462261E-2</v>
      </c>
      <c r="R811">
        <v>109</v>
      </c>
      <c r="S811">
        <f t="shared" si="140"/>
        <v>5.364913742206201E-2</v>
      </c>
      <c r="T811">
        <v>2323</v>
      </c>
      <c r="U811">
        <f t="shared" si="141"/>
        <v>1.4344082005859793E-2</v>
      </c>
      <c r="W811">
        <f t="shared" si="142"/>
        <v>1.391058124046184E-2</v>
      </c>
      <c r="X811">
        <v>1.0169597783391554E-4</v>
      </c>
    </row>
    <row r="812" spans="1:24" x14ac:dyDescent="0.35">
      <c r="A812" s="1">
        <v>44019</v>
      </c>
      <c r="B812">
        <v>1683.0437010000001</v>
      </c>
      <c r="C812">
        <f t="shared" si="132"/>
        <v>-1.5309471348038395E-2</v>
      </c>
      <c r="D812">
        <v>2269.8999020000001</v>
      </c>
      <c r="E812">
        <f t="shared" si="133"/>
        <v>2.9603884522177992E-3</v>
      </c>
      <c r="F812">
        <v>1105.150024</v>
      </c>
      <c r="G812">
        <f t="shared" si="134"/>
        <v>1.9492511332728224E-3</v>
      </c>
      <c r="H812">
        <v>556.69799799999998</v>
      </c>
      <c r="I812">
        <f t="shared" si="135"/>
        <v>-1.6389129036384453E-2</v>
      </c>
      <c r="J812">
        <v>794.15002440000001</v>
      </c>
      <c r="K812">
        <f t="shared" si="136"/>
        <v>3.9463382722513041E-2</v>
      </c>
      <c r="L812">
        <v>194.25</v>
      </c>
      <c r="M812">
        <f t="shared" si="137"/>
        <v>-2.7777792862306527E-2</v>
      </c>
      <c r="N812">
        <v>479.25</v>
      </c>
      <c r="O812">
        <f t="shared" si="138"/>
        <v>-1.9783677131693933E-3</v>
      </c>
      <c r="P812">
        <v>81.949996949999999</v>
      </c>
      <c r="Q812">
        <f t="shared" si="139"/>
        <v>-2.1492573731343279E-2</v>
      </c>
      <c r="R812">
        <v>109.0500031</v>
      </c>
      <c r="S812">
        <f t="shared" si="140"/>
        <v>4.5874403669721175E-4</v>
      </c>
      <c r="T812">
        <v>2361.6999510000001</v>
      </c>
      <c r="U812">
        <f t="shared" si="141"/>
        <v>1.6659470942746557E-2</v>
      </c>
      <c r="W812">
        <f t="shared" si="142"/>
        <v>-2.1456097403794614E-3</v>
      </c>
      <c r="X812">
        <v>1.0551143404052788E-4</v>
      </c>
    </row>
    <row r="813" spans="1:24" x14ac:dyDescent="0.35">
      <c r="A813" s="1">
        <v>44020</v>
      </c>
      <c r="B813">
        <v>1659.553467</v>
      </c>
      <c r="C813">
        <f t="shared" si="132"/>
        <v>-1.3956995879574108E-2</v>
      </c>
      <c r="D813">
        <v>2218.8999020000001</v>
      </c>
      <c r="E813">
        <f t="shared" si="133"/>
        <v>-2.246795109998645E-2</v>
      </c>
      <c r="F813">
        <v>1110.349976</v>
      </c>
      <c r="G813">
        <f t="shared" si="134"/>
        <v>4.705200096887463E-3</v>
      </c>
      <c r="H813">
        <v>550.95581049999998</v>
      </c>
      <c r="I813">
        <f t="shared" si="135"/>
        <v>-1.031472633389996E-2</v>
      </c>
      <c r="J813">
        <v>774.70001219999995</v>
      </c>
      <c r="K813">
        <f t="shared" si="136"/>
        <v>-2.449160939671946E-2</v>
      </c>
      <c r="L813">
        <v>196.3000031</v>
      </c>
      <c r="M813">
        <f t="shared" si="137"/>
        <v>1.055342651222646E-2</v>
      </c>
      <c r="N813">
        <v>482.5</v>
      </c>
      <c r="O813">
        <f t="shared" si="138"/>
        <v>6.7814293166406081E-3</v>
      </c>
      <c r="P813">
        <v>81.300003050000001</v>
      </c>
      <c r="Q813">
        <f t="shared" si="139"/>
        <v>-7.93159150935141E-3</v>
      </c>
      <c r="R813">
        <v>105.3499985</v>
      </c>
      <c r="S813">
        <f t="shared" si="140"/>
        <v>-3.3929431405949173E-2</v>
      </c>
      <c r="T813">
        <v>2319.5500489999999</v>
      </c>
      <c r="U813">
        <f t="shared" si="141"/>
        <v>-1.7847272250716251E-2</v>
      </c>
      <c r="W813">
        <f t="shared" si="142"/>
        <v>-1.0889952195044229E-2</v>
      </c>
      <c r="X813">
        <v>1.2365654332188193E-4</v>
      </c>
    </row>
    <row r="814" spans="1:24" x14ac:dyDescent="0.35">
      <c r="A814" s="1">
        <v>44021</v>
      </c>
      <c r="B814">
        <v>1683.7821039999999</v>
      </c>
      <c r="C814">
        <f t="shared" si="132"/>
        <v>1.4599491659523567E-2</v>
      </c>
      <c r="D814">
        <v>2204.3500979999999</v>
      </c>
      <c r="E814">
        <f t="shared" si="133"/>
        <v>-6.5572151257863309E-3</v>
      </c>
      <c r="F814">
        <v>1124.9499510000001</v>
      </c>
      <c r="G814">
        <f t="shared" si="134"/>
        <v>1.3148984838632582E-2</v>
      </c>
      <c r="H814">
        <v>558.17034909999995</v>
      </c>
      <c r="I814">
        <f t="shared" si="135"/>
        <v>1.309458664834251E-2</v>
      </c>
      <c r="J814">
        <v>781.70001219999995</v>
      </c>
      <c r="K814">
        <f t="shared" si="136"/>
        <v>9.0357556341342793E-3</v>
      </c>
      <c r="L814">
        <v>195.4499969</v>
      </c>
      <c r="M814">
        <f t="shared" si="137"/>
        <v>-4.3301384950410471E-3</v>
      </c>
      <c r="N814">
        <v>481.9500122</v>
      </c>
      <c r="O814">
        <f t="shared" si="138"/>
        <v>-1.1398710880828888E-3</v>
      </c>
      <c r="P814">
        <v>80.199996949999999</v>
      </c>
      <c r="Q814">
        <f t="shared" si="139"/>
        <v>-1.3530209824512474E-2</v>
      </c>
      <c r="R814">
        <v>106.9499969</v>
      </c>
      <c r="S814">
        <f t="shared" si="140"/>
        <v>1.5187455365744507E-2</v>
      </c>
      <c r="T814">
        <v>2320.3500979999999</v>
      </c>
      <c r="U814">
        <f t="shared" si="141"/>
        <v>3.4491560134464194E-4</v>
      </c>
      <c r="W814">
        <f t="shared" si="142"/>
        <v>3.985375521429935E-3</v>
      </c>
      <c r="X814">
        <v>1.324866631638548E-4</v>
      </c>
    </row>
    <row r="815" spans="1:24" x14ac:dyDescent="0.35">
      <c r="A815" s="1">
        <v>44022</v>
      </c>
      <c r="B815">
        <v>1733.4395750000001</v>
      </c>
      <c r="C815">
        <f t="shared" si="132"/>
        <v>2.9491625360569929E-2</v>
      </c>
      <c r="D815">
        <v>2222.3500979999999</v>
      </c>
      <c r="E815">
        <f t="shared" si="133"/>
        <v>8.165672057415696E-3</v>
      </c>
      <c r="F815">
        <v>1105.099976</v>
      </c>
      <c r="G815">
        <f t="shared" si="134"/>
        <v>-1.7645207222201198E-2</v>
      </c>
      <c r="H815">
        <v>564.10882570000001</v>
      </c>
      <c r="I815">
        <f t="shared" si="135"/>
        <v>1.06391831984185E-2</v>
      </c>
      <c r="J815">
        <v>781.84997559999999</v>
      </c>
      <c r="K815">
        <f t="shared" si="136"/>
        <v>1.9184264763927317E-4</v>
      </c>
      <c r="L815">
        <v>194.3500061</v>
      </c>
      <c r="M815">
        <f t="shared" si="137"/>
        <v>-5.6279908797480793E-3</v>
      </c>
      <c r="N815">
        <v>493.89999390000003</v>
      </c>
      <c r="O815">
        <f t="shared" si="138"/>
        <v>2.4795064628073904E-2</v>
      </c>
      <c r="P815">
        <v>78.550003050000001</v>
      </c>
      <c r="Q815">
        <f t="shared" si="139"/>
        <v>-2.057349080734594E-2</v>
      </c>
      <c r="R815">
        <v>107.5999985</v>
      </c>
      <c r="S815">
        <f t="shared" si="140"/>
        <v>6.0776214945359452E-3</v>
      </c>
      <c r="T815">
        <v>2322.6999510000001</v>
      </c>
      <c r="U815">
        <f t="shared" si="141"/>
        <v>1.012714849377927E-3</v>
      </c>
      <c r="W815">
        <f t="shared" si="142"/>
        <v>3.652703532673596E-3</v>
      </c>
      <c r="X815">
        <v>1.668411290657424E-4</v>
      </c>
    </row>
    <row r="816" spans="1:24" x14ac:dyDescent="0.35">
      <c r="A816" s="1">
        <v>44025</v>
      </c>
      <c r="B816">
        <v>1786.0043949999999</v>
      </c>
      <c r="C816">
        <f t="shared" si="132"/>
        <v>3.032399903527061E-2</v>
      </c>
      <c r="D816">
        <v>2220</v>
      </c>
      <c r="E816">
        <f t="shared" si="133"/>
        <v>-1.0574832480781948E-3</v>
      </c>
      <c r="F816">
        <v>1080.25</v>
      </c>
      <c r="G816">
        <f t="shared" si="134"/>
        <v>-2.248663156246411E-2</v>
      </c>
      <c r="H816">
        <v>575.98583980000001</v>
      </c>
      <c r="I816">
        <f t="shared" si="135"/>
        <v>2.1054473106783655E-2</v>
      </c>
      <c r="J816">
        <v>797.04998780000005</v>
      </c>
      <c r="K816">
        <f t="shared" si="136"/>
        <v>1.9441085469543484E-2</v>
      </c>
      <c r="L816">
        <v>197.5500031</v>
      </c>
      <c r="M816">
        <f t="shared" si="137"/>
        <v>1.6465124258105091E-2</v>
      </c>
      <c r="N816">
        <v>499.7000122</v>
      </c>
      <c r="O816">
        <f t="shared" si="138"/>
        <v>1.1743305065061937E-2</v>
      </c>
      <c r="P816">
        <v>78.900001529999997</v>
      </c>
      <c r="Q816">
        <f t="shared" si="139"/>
        <v>4.4557411382557532E-3</v>
      </c>
      <c r="R816">
        <v>108</v>
      </c>
      <c r="S816">
        <f t="shared" si="140"/>
        <v>3.717486111303181E-3</v>
      </c>
      <c r="T816">
        <v>2233.9499510000001</v>
      </c>
      <c r="U816">
        <f t="shared" si="141"/>
        <v>-3.8209842800310923E-2</v>
      </c>
      <c r="W816">
        <f t="shared" si="142"/>
        <v>4.5447256573470486E-3</v>
      </c>
      <c r="X816">
        <v>1.6828996289257499E-4</v>
      </c>
    </row>
    <row r="817" spans="1:24" x14ac:dyDescent="0.35">
      <c r="A817" s="1">
        <v>44026</v>
      </c>
      <c r="B817">
        <v>1769.3903809999999</v>
      </c>
      <c r="C817">
        <f t="shared" si="132"/>
        <v>-9.3023365712378014E-3</v>
      </c>
      <c r="D817">
        <v>2171.9499510000001</v>
      </c>
      <c r="E817">
        <f t="shared" si="133"/>
        <v>-2.1644166216216232E-2</v>
      </c>
      <c r="F817">
        <v>1058.849976</v>
      </c>
      <c r="G817">
        <f t="shared" si="134"/>
        <v>-1.981025133071046E-2</v>
      </c>
      <c r="H817">
        <v>578.48889159999999</v>
      </c>
      <c r="I817">
        <f t="shared" si="135"/>
        <v>4.3456828745462861E-3</v>
      </c>
      <c r="J817">
        <v>783.25</v>
      </c>
      <c r="K817">
        <f t="shared" si="136"/>
        <v>-1.7313829761280708E-2</v>
      </c>
      <c r="L817">
        <v>195.8999939</v>
      </c>
      <c r="M817">
        <f t="shared" si="137"/>
        <v>-8.3523623088214149E-3</v>
      </c>
      <c r="N817">
        <v>492.10000609999997</v>
      </c>
      <c r="O817">
        <f t="shared" si="138"/>
        <v>-1.5209137311283927E-2</v>
      </c>
      <c r="P817">
        <v>77.349998470000003</v>
      </c>
      <c r="Q817">
        <f t="shared" si="139"/>
        <v>-1.9645158807894858E-2</v>
      </c>
      <c r="R817">
        <v>105.1500015</v>
      </c>
      <c r="S817">
        <f t="shared" si="140"/>
        <v>-2.6388874999999978E-2</v>
      </c>
      <c r="T817">
        <v>2154.8500979999999</v>
      </c>
      <c r="U817">
        <f t="shared" si="141"/>
        <v>-3.5408068548980709E-2</v>
      </c>
      <c r="W817">
        <f t="shared" si="142"/>
        <v>-1.6872850298187983E-2</v>
      </c>
      <c r="X817">
        <v>1.8433390500068817E-4</v>
      </c>
    </row>
    <row r="818" spans="1:24" x14ac:dyDescent="0.35">
      <c r="A818" s="1">
        <v>44027</v>
      </c>
      <c r="B818">
        <v>1702.0113530000001</v>
      </c>
      <c r="C818">
        <f t="shared" si="132"/>
        <v>-3.8080363001589013E-2</v>
      </c>
      <c r="D818">
        <v>2233.8999020000001</v>
      </c>
      <c r="E818">
        <f t="shared" si="133"/>
        <v>2.8522734131823491E-2</v>
      </c>
      <c r="F818">
        <v>1053.150024</v>
      </c>
      <c r="G818">
        <f t="shared" si="134"/>
        <v>-5.3831535431795308E-3</v>
      </c>
      <c r="H818">
        <v>553.21343990000003</v>
      </c>
      <c r="I818">
        <f t="shared" si="135"/>
        <v>-4.3692198877133936E-2</v>
      </c>
      <c r="J818">
        <v>830.95001219999995</v>
      </c>
      <c r="K818">
        <f t="shared" si="136"/>
        <v>6.0900111330992601E-2</v>
      </c>
      <c r="L818">
        <v>198.6999969</v>
      </c>
      <c r="M818">
        <f t="shared" si="137"/>
        <v>1.4293022395035493E-2</v>
      </c>
      <c r="N818">
        <v>495.10000609999997</v>
      </c>
      <c r="O818">
        <f t="shared" si="138"/>
        <v>6.0963218102263461E-3</v>
      </c>
      <c r="P818">
        <v>76.25</v>
      </c>
      <c r="Q818">
        <f t="shared" si="139"/>
        <v>-1.4221053545678264E-2</v>
      </c>
      <c r="R818">
        <v>103.1999969</v>
      </c>
      <c r="S818">
        <f t="shared" si="140"/>
        <v>-1.8544979288469099E-2</v>
      </c>
      <c r="T818">
        <v>2146.3500979999999</v>
      </c>
      <c r="U818">
        <f t="shared" si="141"/>
        <v>-3.944589931285325E-3</v>
      </c>
      <c r="W818">
        <f t="shared" si="142"/>
        <v>-1.4054148519257242E-3</v>
      </c>
      <c r="X818">
        <v>1.8571671511957716E-4</v>
      </c>
    </row>
    <row r="819" spans="1:24" x14ac:dyDescent="0.35">
      <c r="A819" s="1">
        <v>44028</v>
      </c>
      <c r="B819">
        <v>1701.4576420000001</v>
      </c>
      <c r="C819">
        <f t="shared" si="132"/>
        <v>-3.2532744216073883E-4</v>
      </c>
      <c r="D819">
        <v>2234.75</v>
      </c>
      <c r="E819">
        <f t="shared" si="133"/>
        <v>3.8054435619017113E-4</v>
      </c>
      <c r="F819">
        <v>1062.5500489999999</v>
      </c>
      <c r="G819">
        <f t="shared" si="134"/>
        <v>8.9256276748657104E-3</v>
      </c>
      <c r="H819">
        <v>552.3790894</v>
      </c>
      <c r="I819">
        <f t="shared" si="135"/>
        <v>-1.5081891360969601E-3</v>
      </c>
      <c r="J819">
        <v>911</v>
      </c>
      <c r="K819">
        <f t="shared" si="136"/>
        <v>9.6335503489628715E-2</v>
      </c>
      <c r="L819">
        <v>193.8500061</v>
      </c>
      <c r="M819">
        <f t="shared" si="137"/>
        <v>-2.4408610345579729E-2</v>
      </c>
      <c r="N819">
        <v>499.7000122</v>
      </c>
      <c r="O819">
        <f t="shared" si="138"/>
        <v>9.2910645189345775E-3</v>
      </c>
      <c r="P819">
        <v>76.150001529999997</v>
      </c>
      <c r="Q819">
        <f t="shared" si="139"/>
        <v>-1.3114553442623578E-3</v>
      </c>
      <c r="R819">
        <v>102.9499969</v>
      </c>
      <c r="S819">
        <f t="shared" si="140"/>
        <v>-2.42248069292339E-3</v>
      </c>
      <c r="T819">
        <v>2007.0500489999999</v>
      </c>
      <c r="U819">
        <f t="shared" si="141"/>
        <v>-6.4900898101293847E-2</v>
      </c>
      <c r="W819">
        <f t="shared" si="142"/>
        <v>2.0055778977302145E-3</v>
      </c>
      <c r="X819">
        <v>1.859139219577921E-4</v>
      </c>
    </row>
    <row r="820" spans="1:24" x14ac:dyDescent="0.35">
      <c r="A820" s="1">
        <v>44029</v>
      </c>
      <c r="B820">
        <v>1764.4985349999999</v>
      </c>
      <c r="C820">
        <f t="shared" si="132"/>
        <v>3.7051109262936199E-2</v>
      </c>
      <c r="D820">
        <v>2200.75</v>
      </c>
      <c r="E820">
        <f t="shared" si="133"/>
        <v>-1.5214229779617394E-2</v>
      </c>
      <c r="F820">
        <v>1098.4499510000001</v>
      </c>
      <c r="G820">
        <f t="shared" si="134"/>
        <v>3.3786551545300636E-2</v>
      </c>
      <c r="H820">
        <v>556.30535889999999</v>
      </c>
      <c r="I820">
        <f t="shared" si="135"/>
        <v>7.1079256534940516E-3</v>
      </c>
      <c r="J820">
        <v>903.15002440000001</v>
      </c>
      <c r="K820">
        <f t="shared" si="136"/>
        <v>-8.6168777167947574E-3</v>
      </c>
      <c r="L820">
        <v>194.0500031</v>
      </c>
      <c r="M820">
        <f t="shared" si="137"/>
        <v>1.0317100526517908E-3</v>
      </c>
      <c r="N820">
        <v>503.60000609999997</v>
      </c>
      <c r="O820">
        <f t="shared" si="138"/>
        <v>7.8046704118130972E-3</v>
      </c>
      <c r="P820">
        <v>80.349998470000003</v>
      </c>
      <c r="Q820">
        <f t="shared" si="139"/>
        <v>5.515425943025587E-2</v>
      </c>
      <c r="R820">
        <v>106.4000015</v>
      </c>
      <c r="S820">
        <f t="shared" si="140"/>
        <v>3.3511458998402466E-2</v>
      </c>
      <c r="T820">
        <v>1989.75</v>
      </c>
      <c r="U820">
        <f t="shared" si="141"/>
        <v>-8.6196400576157295E-3</v>
      </c>
      <c r="W820">
        <f t="shared" si="142"/>
        <v>1.4299693780082624E-2</v>
      </c>
      <c r="X820">
        <v>2.1618188546498342E-4</v>
      </c>
    </row>
    <row r="821" spans="1:24" x14ac:dyDescent="0.35">
      <c r="A821" s="1">
        <v>44032</v>
      </c>
      <c r="B821">
        <v>1772.0670170000001</v>
      </c>
      <c r="C821">
        <f t="shared" si="132"/>
        <v>4.2893104470613785E-3</v>
      </c>
      <c r="D821">
        <v>2207.8999020000001</v>
      </c>
      <c r="E821">
        <f t="shared" si="133"/>
        <v>3.2488478927639175E-3</v>
      </c>
      <c r="F821">
        <v>1133.0500489999999</v>
      </c>
      <c r="G821">
        <f t="shared" si="134"/>
        <v>3.1499020932634014E-2</v>
      </c>
      <c r="H821">
        <v>565.13952640000002</v>
      </c>
      <c r="I821">
        <f t="shared" si="135"/>
        <v>1.5880069028038957E-2</v>
      </c>
      <c r="J821">
        <v>934.29998780000005</v>
      </c>
      <c r="K821">
        <f t="shared" si="136"/>
        <v>3.4490353272917496E-2</v>
      </c>
      <c r="L821">
        <v>192.6999969</v>
      </c>
      <c r="M821">
        <f t="shared" si="137"/>
        <v>-6.9570016925188938E-3</v>
      </c>
      <c r="N821">
        <v>483.7999878</v>
      </c>
      <c r="O821">
        <f t="shared" si="138"/>
        <v>-3.9316954051164754E-2</v>
      </c>
      <c r="P821">
        <v>80.300003050000001</v>
      </c>
      <c r="Q821">
        <f t="shared" si="139"/>
        <v>-6.2222054700689089E-4</v>
      </c>
      <c r="R821">
        <v>105.0500031</v>
      </c>
      <c r="S821">
        <f t="shared" si="140"/>
        <v>-1.2687954708346494E-2</v>
      </c>
      <c r="T821">
        <v>2019</v>
      </c>
      <c r="U821">
        <f t="shared" si="141"/>
        <v>1.4700339238597815E-2</v>
      </c>
      <c r="W821">
        <f t="shared" si="142"/>
        <v>4.4523809812976548E-3</v>
      </c>
      <c r="X821">
        <v>2.1789918104511154E-4</v>
      </c>
    </row>
    <row r="822" spans="1:24" x14ac:dyDescent="0.35">
      <c r="A822" s="1">
        <v>44033</v>
      </c>
      <c r="B822">
        <v>1819.73999</v>
      </c>
      <c r="C822">
        <f t="shared" si="132"/>
        <v>2.6902466183647666E-2</v>
      </c>
      <c r="D822">
        <v>2225.0500489999999</v>
      </c>
      <c r="E822">
        <f t="shared" si="133"/>
        <v>7.7676288605585952E-3</v>
      </c>
      <c r="F822">
        <v>1138.5500489999999</v>
      </c>
      <c r="G822">
        <f t="shared" si="134"/>
        <v>4.8541545052260826E-3</v>
      </c>
      <c r="H822">
        <v>557.2869263</v>
      </c>
      <c r="I822">
        <f t="shared" si="135"/>
        <v>-1.3894975900946016E-2</v>
      </c>
      <c r="J822">
        <v>936.75</v>
      </c>
      <c r="K822">
        <f t="shared" si="136"/>
        <v>2.6222971550808882E-3</v>
      </c>
      <c r="L822">
        <v>192.25</v>
      </c>
      <c r="M822">
        <f t="shared" si="137"/>
        <v>-2.3352200687035696E-3</v>
      </c>
      <c r="N822">
        <v>477.25</v>
      </c>
      <c r="O822">
        <f t="shared" si="138"/>
        <v>-1.353862746004808E-2</v>
      </c>
      <c r="P822">
        <v>82.449996949999999</v>
      </c>
      <c r="Q822">
        <f t="shared" si="139"/>
        <v>2.6774518285650251E-2</v>
      </c>
      <c r="R822">
        <v>108.4499969</v>
      </c>
      <c r="S822">
        <f t="shared" si="140"/>
        <v>3.236548024433139E-2</v>
      </c>
      <c r="T822">
        <v>2040.8000489999999</v>
      </c>
      <c r="U822">
        <f t="shared" si="141"/>
        <v>1.0797448736998394E-2</v>
      </c>
      <c r="W822">
        <f t="shared" si="142"/>
        <v>8.2315170541795608E-3</v>
      </c>
      <c r="X822">
        <v>2.2186221947105805E-4</v>
      </c>
    </row>
    <row r="823" spans="1:24" x14ac:dyDescent="0.35">
      <c r="A823" s="1">
        <v>44034</v>
      </c>
      <c r="B823">
        <v>1849.6914059999999</v>
      </c>
      <c r="C823">
        <f t="shared" si="132"/>
        <v>1.6459173378939651E-2</v>
      </c>
      <c r="D823">
        <v>2190.9499510000001</v>
      </c>
      <c r="E823">
        <f t="shared" si="133"/>
        <v>-1.5325542009864246E-2</v>
      </c>
      <c r="F823">
        <v>1126.349976</v>
      </c>
      <c r="G823">
        <f t="shared" si="134"/>
        <v>-1.0715447257426569E-2</v>
      </c>
      <c r="H823">
        <v>558.66113280000002</v>
      </c>
      <c r="I823">
        <f t="shared" si="135"/>
        <v>2.4658868441860271E-3</v>
      </c>
      <c r="J823">
        <v>917.90002440000001</v>
      </c>
      <c r="K823">
        <f t="shared" si="136"/>
        <v>-2.0122738831064857E-2</v>
      </c>
      <c r="L823">
        <v>196.5500031</v>
      </c>
      <c r="M823">
        <f t="shared" si="137"/>
        <v>2.2366726137841297E-2</v>
      </c>
      <c r="N823">
        <v>474.2999878</v>
      </c>
      <c r="O823">
        <f t="shared" si="138"/>
        <v>-6.1812722891566585E-3</v>
      </c>
      <c r="P823">
        <v>82.599998470000003</v>
      </c>
      <c r="Q823">
        <f t="shared" si="139"/>
        <v>1.8193029175122E-3</v>
      </c>
      <c r="R823">
        <v>105.1500015</v>
      </c>
      <c r="S823">
        <f t="shared" si="140"/>
        <v>-3.042872747191383E-2</v>
      </c>
      <c r="T823">
        <v>2110</v>
      </c>
      <c r="U823">
        <f t="shared" si="141"/>
        <v>3.3908246441834544E-2</v>
      </c>
      <c r="W823">
        <f t="shared" si="142"/>
        <v>-5.7543921391124426E-4</v>
      </c>
      <c r="X823">
        <v>2.2627923209629365E-4</v>
      </c>
    </row>
    <row r="824" spans="1:24" x14ac:dyDescent="0.35">
      <c r="A824" s="1">
        <v>44035</v>
      </c>
      <c r="B824">
        <v>1899.348755</v>
      </c>
      <c r="C824">
        <f t="shared" si="132"/>
        <v>2.6846288434342336E-2</v>
      </c>
      <c r="D824">
        <v>2171.1999510000001</v>
      </c>
      <c r="E824">
        <f t="shared" si="133"/>
        <v>-9.0143547053577189E-3</v>
      </c>
      <c r="F824">
        <v>1130.400024</v>
      </c>
      <c r="G824">
        <f t="shared" si="134"/>
        <v>3.5957278699316753E-3</v>
      </c>
      <c r="H824">
        <v>556.74707030000002</v>
      </c>
      <c r="I824">
        <f t="shared" si="135"/>
        <v>-3.4261601311098566E-3</v>
      </c>
      <c r="J824">
        <v>907.95001219999995</v>
      </c>
      <c r="K824">
        <f t="shared" si="136"/>
        <v>-1.0839973783096979E-2</v>
      </c>
      <c r="L824">
        <v>200.6999969</v>
      </c>
      <c r="M824">
        <f t="shared" si="137"/>
        <v>2.1114188423027258E-2</v>
      </c>
      <c r="N824">
        <v>476</v>
      </c>
      <c r="O824">
        <f t="shared" si="138"/>
        <v>3.5842552049925036E-3</v>
      </c>
      <c r="P824">
        <v>82.650001529999997</v>
      </c>
      <c r="Q824">
        <f t="shared" si="139"/>
        <v>6.053639337313399E-4</v>
      </c>
      <c r="R824">
        <v>106.0500031</v>
      </c>
      <c r="S824">
        <f t="shared" si="140"/>
        <v>8.5592162354841683E-3</v>
      </c>
      <c r="T824">
        <v>2100.3500979999999</v>
      </c>
      <c r="U824">
        <f t="shared" si="141"/>
        <v>-4.5734132701422681E-3</v>
      </c>
      <c r="W824">
        <f t="shared" si="142"/>
        <v>3.6451138211802451E-3</v>
      </c>
      <c r="X824">
        <v>2.2891208908324377E-4</v>
      </c>
    </row>
    <row r="825" spans="1:24" x14ac:dyDescent="0.35">
      <c r="A825" s="1">
        <v>44036</v>
      </c>
      <c r="B825">
        <v>1980.8957519999999</v>
      </c>
      <c r="C825">
        <f t="shared" si="132"/>
        <v>4.293418825022477E-2</v>
      </c>
      <c r="D825">
        <v>2157.3999020000001</v>
      </c>
      <c r="E825">
        <f t="shared" si="133"/>
        <v>-6.3559549149970751E-3</v>
      </c>
      <c r="F825">
        <v>1119.099976</v>
      </c>
      <c r="G825">
        <f t="shared" si="134"/>
        <v>-9.9965036801875629E-3</v>
      </c>
      <c r="H825">
        <v>549.13989260000005</v>
      </c>
      <c r="I825">
        <f t="shared" si="135"/>
        <v>-1.3663615141972563E-2</v>
      </c>
      <c r="J825">
        <v>922.84997559999999</v>
      </c>
      <c r="K825">
        <f t="shared" si="136"/>
        <v>1.6410554766001839E-2</v>
      </c>
      <c r="L825">
        <v>199.6000061</v>
      </c>
      <c r="M825">
        <f t="shared" si="137"/>
        <v>-5.4807713851040551E-3</v>
      </c>
      <c r="N825">
        <v>485.60000609999997</v>
      </c>
      <c r="O825">
        <f t="shared" si="138"/>
        <v>2.0168080042016756E-2</v>
      </c>
      <c r="P825">
        <v>81</v>
      </c>
      <c r="Q825">
        <f t="shared" si="139"/>
        <v>-1.9963720501579019E-2</v>
      </c>
      <c r="R825">
        <v>103.75</v>
      </c>
      <c r="S825">
        <f t="shared" si="140"/>
        <v>-2.1687911671546156E-2</v>
      </c>
      <c r="T825">
        <v>2031.400024</v>
      </c>
      <c r="U825">
        <f t="shared" si="141"/>
        <v>-3.2827895723506084E-2</v>
      </c>
      <c r="W825">
        <f t="shared" si="142"/>
        <v>-3.0463549960649157E-3</v>
      </c>
      <c r="X825">
        <v>2.444485087401027E-4</v>
      </c>
    </row>
    <row r="826" spans="1:24" x14ac:dyDescent="0.35">
      <c r="A826" s="1">
        <v>44039</v>
      </c>
      <c r="B826">
        <v>1990.171875</v>
      </c>
      <c r="C826">
        <f t="shared" si="132"/>
        <v>4.682792110909606E-3</v>
      </c>
      <c r="D826">
        <v>2206.8000489999999</v>
      </c>
      <c r="E826">
        <f t="shared" si="133"/>
        <v>2.2898001874480434E-2</v>
      </c>
      <c r="F826">
        <v>1079.5</v>
      </c>
      <c r="G826">
        <f t="shared" si="134"/>
        <v>-3.5385557009430246E-2</v>
      </c>
      <c r="H826">
        <v>549.18896480000001</v>
      </c>
      <c r="I826">
        <f t="shared" si="135"/>
        <v>8.9361928829578829E-5</v>
      </c>
      <c r="J826">
        <v>948.45001219999995</v>
      </c>
      <c r="K826">
        <f t="shared" si="136"/>
        <v>2.7740193180755934E-2</v>
      </c>
      <c r="L826">
        <v>196.3999939</v>
      </c>
      <c r="M826">
        <f t="shared" si="137"/>
        <v>-1.6032124760541278E-2</v>
      </c>
      <c r="N826">
        <v>475.5</v>
      </c>
      <c r="O826">
        <f t="shared" si="138"/>
        <v>-2.0799023832631658E-2</v>
      </c>
      <c r="P826">
        <v>80.800003050000001</v>
      </c>
      <c r="Q826">
        <f t="shared" si="139"/>
        <v>-2.4690981481481078E-3</v>
      </c>
      <c r="R826">
        <v>101.6999969</v>
      </c>
      <c r="S826">
        <f t="shared" si="140"/>
        <v>-1.9759066024096383E-2</v>
      </c>
      <c r="T826">
        <v>2026.099976</v>
      </c>
      <c r="U826">
        <f t="shared" si="141"/>
        <v>-2.6090617000013028E-3</v>
      </c>
      <c r="W826">
        <f t="shared" si="142"/>
        <v>-4.1643582379873425E-3</v>
      </c>
      <c r="X826">
        <v>2.578426333519567E-4</v>
      </c>
    </row>
    <row r="827" spans="1:24" x14ac:dyDescent="0.35">
      <c r="A827" s="1">
        <v>44040</v>
      </c>
      <c r="B827">
        <v>2010.016357</v>
      </c>
      <c r="C827">
        <f t="shared" si="132"/>
        <v>9.9712402980269843E-3</v>
      </c>
      <c r="D827">
        <v>2309.75</v>
      </c>
      <c r="E827">
        <f t="shared" si="133"/>
        <v>4.665123650266878E-2</v>
      </c>
      <c r="F827">
        <v>1086.650024</v>
      </c>
      <c r="G827">
        <f t="shared" si="134"/>
        <v>6.6234590088003475E-3</v>
      </c>
      <c r="H827">
        <v>554.19500730000004</v>
      </c>
      <c r="I827">
        <f t="shared" si="135"/>
        <v>9.1153370166916492E-3</v>
      </c>
      <c r="J827">
        <v>962.84997559999999</v>
      </c>
      <c r="K827">
        <f t="shared" si="136"/>
        <v>1.518262767122347E-2</v>
      </c>
      <c r="L827">
        <v>195.3999939</v>
      </c>
      <c r="M827">
        <f t="shared" si="137"/>
        <v>-5.0916498526428766E-3</v>
      </c>
      <c r="N827">
        <v>482.60000609999997</v>
      </c>
      <c r="O827">
        <f t="shared" si="138"/>
        <v>1.4931663722397515E-2</v>
      </c>
      <c r="P827">
        <v>79.900001529999997</v>
      </c>
      <c r="Q827">
        <f t="shared" si="139"/>
        <v>-1.1138632252811531E-2</v>
      </c>
      <c r="R827">
        <v>106.4499969</v>
      </c>
      <c r="S827">
        <f t="shared" si="140"/>
        <v>4.6705999457115066E-2</v>
      </c>
      <c r="T827">
        <v>2051.3999020000001</v>
      </c>
      <c r="U827">
        <f t="shared" si="141"/>
        <v>1.2487007699367503E-2</v>
      </c>
      <c r="W827">
        <f t="shared" si="142"/>
        <v>1.4543828927083691E-2</v>
      </c>
      <c r="X827">
        <v>2.8046062594956362E-4</v>
      </c>
    </row>
    <row r="828" spans="1:24" x14ac:dyDescent="0.35">
      <c r="A828" s="1">
        <v>44041</v>
      </c>
      <c r="B828">
        <v>1935.207275</v>
      </c>
      <c r="C828">
        <f t="shared" si="132"/>
        <v>-3.7218145881984022E-2</v>
      </c>
      <c r="D828">
        <v>2276.0500489999999</v>
      </c>
      <c r="E828">
        <f t="shared" si="133"/>
        <v>-1.45903024136812E-2</v>
      </c>
      <c r="F828">
        <v>1064.599976</v>
      </c>
      <c r="G828">
        <f t="shared" si="134"/>
        <v>-2.029176598996707E-2</v>
      </c>
      <c r="H828">
        <v>555.7655029</v>
      </c>
      <c r="I828">
        <f t="shared" si="135"/>
        <v>2.8338320975702658E-3</v>
      </c>
      <c r="J828">
        <v>954.15002440000001</v>
      </c>
      <c r="K828">
        <f t="shared" si="136"/>
        <v>-9.035624884944915E-3</v>
      </c>
      <c r="L828">
        <v>196.6999969</v>
      </c>
      <c r="M828">
        <f t="shared" si="137"/>
        <v>6.6530350081039913E-3</v>
      </c>
      <c r="N828">
        <v>493</v>
      </c>
      <c r="O828">
        <f t="shared" si="138"/>
        <v>2.1549924924462172E-2</v>
      </c>
      <c r="P828">
        <v>79.5</v>
      </c>
      <c r="Q828">
        <f t="shared" si="139"/>
        <v>-5.0062768753491582E-3</v>
      </c>
      <c r="R828">
        <v>105.75</v>
      </c>
      <c r="S828">
        <f t="shared" si="140"/>
        <v>-6.5758282798034084E-3</v>
      </c>
      <c r="T828">
        <v>2049.6999510000001</v>
      </c>
      <c r="U828">
        <f t="shared" si="141"/>
        <v>-8.2867850307621893E-4</v>
      </c>
      <c r="W828">
        <f t="shared" si="142"/>
        <v>-6.250983079866955E-3</v>
      </c>
      <c r="X828">
        <v>2.84389454073064E-4</v>
      </c>
    </row>
    <row r="829" spans="1:24" x14ac:dyDescent="0.35">
      <c r="A829" s="1">
        <v>44042</v>
      </c>
      <c r="B829">
        <v>1946.4678960000001</v>
      </c>
      <c r="C829">
        <f t="shared" si="132"/>
        <v>5.8188190719776767E-3</v>
      </c>
      <c r="D829">
        <v>2279.5</v>
      </c>
      <c r="E829">
        <f t="shared" si="133"/>
        <v>1.5157623627457539E-3</v>
      </c>
      <c r="F829">
        <v>1050.650024</v>
      </c>
      <c r="G829">
        <f t="shared" si="134"/>
        <v>-1.3103468264590634E-2</v>
      </c>
      <c r="H829">
        <v>542.51428220000003</v>
      </c>
      <c r="I829">
        <f t="shared" si="135"/>
        <v>-2.384318679524855E-2</v>
      </c>
      <c r="J829">
        <v>961.45001219999995</v>
      </c>
      <c r="K829">
        <f t="shared" si="136"/>
        <v>7.6507756781649672E-3</v>
      </c>
      <c r="L829">
        <v>193.3500061</v>
      </c>
      <c r="M829">
        <f t="shared" si="137"/>
        <v>-1.7030965189608449E-2</v>
      </c>
      <c r="N829">
        <v>509.9500122</v>
      </c>
      <c r="O829">
        <f t="shared" si="138"/>
        <v>3.4381363488843908E-2</v>
      </c>
      <c r="P829">
        <v>77.699996949999999</v>
      </c>
      <c r="Q829">
        <f t="shared" si="139"/>
        <v>-2.2641547798742168E-2</v>
      </c>
      <c r="R829">
        <v>103.6500015</v>
      </c>
      <c r="S829">
        <f t="shared" si="140"/>
        <v>-1.9858141843971611E-2</v>
      </c>
      <c r="T829">
        <v>2040.1999510000001</v>
      </c>
      <c r="U829">
        <f t="shared" si="141"/>
        <v>-4.6348247192791181E-3</v>
      </c>
      <c r="W829">
        <f t="shared" si="142"/>
        <v>-5.1745414009708229E-3</v>
      </c>
      <c r="X829">
        <v>3.0700005171077063E-4</v>
      </c>
    </row>
    <row r="830" spans="1:24" x14ac:dyDescent="0.35">
      <c r="A830" s="1">
        <v>44043</v>
      </c>
      <c r="B830">
        <v>1907.9326169999999</v>
      </c>
      <c r="C830">
        <f t="shared" si="132"/>
        <v>-1.9797541525956031E-2</v>
      </c>
      <c r="D830">
        <v>2281.3999020000001</v>
      </c>
      <c r="E830">
        <f t="shared" si="133"/>
        <v>8.3347313007253732E-4</v>
      </c>
      <c r="F830">
        <v>1032.8000489999999</v>
      </c>
      <c r="G830">
        <f t="shared" si="134"/>
        <v>-1.6989458518301137E-2</v>
      </c>
      <c r="H830">
        <v>544.62469480000004</v>
      </c>
      <c r="I830">
        <f t="shared" si="135"/>
        <v>3.8900590624857401E-3</v>
      </c>
      <c r="J830">
        <v>966</v>
      </c>
      <c r="K830">
        <f t="shared" si="136"/>
        <v>4.7324226348375298E-3</v>
      </c>
      <c r="L830">
        <v>194.1499939</v>
      </c>
      <c r="M830">
        <f t="shared" si="137"/>
        <v>4.1375111184958069E-3</v>
      </c>
      <c r="N830">
        <v>531.70001219999995</v>
      </c>
      <c r="O830">
        <f t="shared" si="138"/>
        <v>4.2651239297293531E-2</v>
      </c>
      <c r="P830">
        <v>78.300003050000001</v>
      </c>
      <c r="Q830">
        <f t="shared" si="139"/>
        <v>7.7220865322054077E-3</v>
      </c>
      <c r="R830">
        <v>104.6500015</v>
      </c>
      <c r="S830">
        <f t="shared" si="140"/>
        <v>9.6478532130075401E-3</v>
      </c>
      <c r="T830">
        <v>2063.4499510000001</v>
      </c>
      <c r="U830">
        <f t="shared" si="141"/>
        <v>1.1395941848054703E-2</v>
      </c>
      <c r="W830">
        <f t="shared" si="142"/>
        <v>4.8223586792195631E-3</v>
      </c>
      <c r="X830">
        <v>3.3458542055405651E-4</v>
      </c>
    </row>
    <row r="831" spans="1:24" x14ac:dyDescent="0.35">
      <c r="A831" s="1">
        <v>44046</v>
      </c>
      <c r="B831">
        <v>1854.3063959999999</v>
      </c>
      <c r="C831">
        <f t="shared" si="132"/>
        <v>-2.8106978476169053E-2</v>
      </c>
      <c r="D831">
        <v>2254.1499020000001</v>
      </c>
      <c r="E831">
        <f t="shared" si="133"/>
        <v>-1.1944420606010864E-2</v>
      </c>
      <c r="F831">
        <v>1002</v>
      </c>
      <c r="G831">
        <f t="shared" si="134"/>
        <v>-2.9821889561122528E-2</v>
      </c>
      <c r="H831">
        <v>537.26287839999998</v>
      </c>
      <c r="I831">
        <f t="shared" si="135"/>
        <v>-1.3517228414887672E-2</v>
      </c>
      <c r="J831">
        <v>956.90002440000001</v>
      </c>
      <c r="K831">
        <f t="shared" si="136"/>
        <v>-9.42026459627332E-3</v>
      </c>
      <c r="L831">
        <v>192.6000061</v>
      </c>
      <c r="M831">
        <f t="shared" si="137"/>
        <v>-7.983455311352472E-3</v>
      </c>
      <c r="N831">
        <v>519.40002440000001</v>
      </c>
      <c r="O831">
        <f t="shared" si="138"/>
        <v>-2.3133322395661904E-2</v>
      </c>
      <c r="P831">
        <v>75.900001529999997</v>
      </c>
      <c r="Q831">
        <f t="shared" si="139"/>
        <v>-3.0651359214729945E-2</v>
      </c>
      <c r="R831">
        <v>113.0500031</v>
      </c>
      <c r="S831">
        <f t="shared" si="140"/>
        <v>8.0267572666972153E-2</v>
      </c>
      <c r="T831">
        <v>2093.1499020000001</v>
      </c>
      <c r="U831">
        <f t="shared" si="141"/>
        <v>1.439334692155092E-2</v>
      </c>
      <c r="W831">
        <f t="shared" si="142"/>
        <v>-5.9917998987684684E-3</v>
      </c>
      <c r="X831">
        <v>3.4844817070096514E-4</v>
      </c>
    </row>
    <row r="832" spans="1:24" x14ac:dyDescent="0.35">
      <c r="A832" s="1">
        <v>44047</v>
      </c>
      <c r="B832">
        <v>1985.003052</v>
      </c>
      <c r="C832">
        <f t="shared" si="132"/>
        <v>7.0482772578432051E-2</v>
      </c>
      <c r="D832">
        <v>2249.6999510000001</v>
      </c>
      <c r="E832">
        <f t="shared" si="133"/>
        <v>-1.9741149406486969E-3</v>
      </c>
      <c r="F832">
        <v>1041.650024</v>
      </c>
      <c r="G832">
        <f t="shared" si="134"/>
        <v>3.9570882235528959E-2</v>
      </c>
      <c r="H832">
        <v>538.88250730000004</v>
      </c>
      <c r="I832">
        <f t="shared" si="135"/>
        <v>3.0145929769489488E-3</v>
      </c>
      <c r="J832">
        <v>949.84997559999999</v>
      </c>
      <c r="K832">
        <f t="shared" si="136"/>
        <v>-7.3675918280183827E-3</v>
      </c>
      <c r="L832">
        <v>193.6499939</v>
      </c>
      <c r="M832">
        <f t="shared" si="137"/>
        <v>5.4516498792571699E-3</v>
      </c>
      <c r="N832">
        <v>528.95001219999995</v>
      </c>
      <c r="O832">
        <f t="shared" si="138"/>
        <v>1.8386575570595864E-2</v>
      </c>
      <c r="P832">
        <v>76.099998470000003</v>
      </c>
      <c r="Q832">
        <f t="shared" si="139"/>
        <v>2.6350057439847863E-3</v>
      </c>
      <c r="R832">
        <v>111.4499969</v>
      </c>
      <c r="S832">
        <f t="shared" si="140"/>
        <v>-1.4153084087796808E-2</v>
      </c>
      <c r="T832">
        <v>2165.1000979999999</v>
      </c>
      <c r="U832">
        <f t="shared" si="141"/>
        <v>3.4374124820803154E-2</v>
      </c>
      <c r="W832">
        <f t="shared" si="142"/>
        <v>1.5042081294908707E-2</v>
      </c>
      <c r="X832">
        <v>3.5203733755425623E-4</v>
      </c>
    </row>
    <row r="833" spans="1:24" x14ac:dyDescent="0.35">
      <c r="A833" s="1">
        <v>44048</v>
      </c>
      <c r="B833">
        <v>1962.7126459999999</v>
      </c>
      <c r="C833">
        <f t="shared" si="132"/>
        <v>-1.1229406412015974E-2</v>
      </c>
      <c r="D833">
        <v>2259.5</v>
      </c>
      <c r="E833">
        <f t="shared" si="133"/>
        <v>4.356158249300579E-3</v>
      </c>
      <c r="F833">
        <v>1027.5500489999999</v>
      </c>
      <c r="G833">
        <f t="shared" si="134"/>
        <v>-1.3536192267202485E-2</v>
      </c>
      <c r="H833">
        <v>548.64910889999999</v>
      </c>
      <c r="I833">
        <f t="shared" si="135"/>
        <v>1.812380522228163E-2</v>
      </c>
      <c r="J833">
        <v>944.70001219999995</v>
      </c>
      <c r="K833">
        <f t="shared" si="136"/>
        <v>-5.4218703293085202E-3</v>
      </c>
      <c r="L833">
        <v>192.8000031</v>
      </c>
      <c r="M833">
        <f t="shared" si="137"/>
        <v>-4.3893148813571869E-3</v>
      </c>
      <c r="N833">
        <v>528.84997559999999</v>
      </c>
      <c r="O833">
        <f t="shared" si="138"/>
        <v>-1.891229751255219E-4</v>
      </c>
      <c r="P833">
        <v>76.949996949999999</v>
      </c>
      <c r="Q833">
        <f t="shared" si="139"/>
        <v>1.1169494048479889E-2</v>
      </c>
      <c r="R833">
        <v>115.4000015</v>
      </c>
      <c r="S833">
        <f t="shared" si="140"/>
        <v>3.5441944458232566E-2</v>
      </c>
      <c r="T833">
        <v>2163.4499510000001</v>
      </c>
      <c r="U833">
        <f t="shared" si="141"/>
        <v>-7.6215737162643737E-4</v>
      </c>
      <c r="W833">
        <f t="shared" si="142"/>
        <v>3.3563337741658542E-3</v>
      </c>
      <c r="X833">
        <v>3.5958828821951454E-4</v>
      </c>
    </row>
    <row r="834" spans="1:24" x14ac:dyDescent="0.35">
      <c r="A834" s="1">
        <v>44049</v>
      </c>
      <c r="B834">
        <v>1969.7735600000001</v>
      </c>
      <c r="C834">
        <f t="shared" si="132"/>
        <v>3.5975281528808356E-3</v>
      </c>
      <c r="D834">
        <v>2308.1000979999999</v>
      </c>
      <c r="E834">
        <f t="shared" si="133"/>
        <v>2.150922682009293E-2</v>
      </c>
      <c r="F834">
        <v>1040.6999510000001</v>
      </c>
      <c r="G834">
        <f t="shared" si="134"/>
        <v>1.2797334799212301E-2</v>
      </c>
      <c r="H834">
        <v>545.06640630000004</v>
      </c>
      <c r="I834">
        <f t="shared" si="135"/>
        <v>-6.5300435959569914E-3</v>
      </c>
      <c r="J834">
        <v>970.84997559999999</v>
      </c>
      <c r="K834">
        <f t="shared" si="136"/>
        <v>2.7680706110188913E-2</v>
      </c>
      <c r="L834">
        <v>195.3500061</v>
      </c>
      <c r="M834">
        <f t="shared" si="137"/>
        <v>1.322615642634295E-2</v>
      </c>
      <c r="N834">
        <v>532.25</v>
      </c>
      <c r="O834">
        <f t="shared" si="138"/>
        <v>6.4290905868769066E-3</v>
      </c>
      <c r="P834">
        <v>78.050003050000001</v>
      </c>
      <c r="Q834">
        <f t="shared" si="139"/>
        <v>1.4295076589993405E-2</v>
      </c>
      <c r="R834">
        <v>116.8000031</v>
      </c>
      <c r="S834">
        <f t="shared" si="140"/>
        <v>1.2131729478356945E-2</v>
      </c>
      <c r="T834">
        <v>2150.5500489999999</v>
      </c>
      <c r="U834">
        <f t="shared" si="141"/>
        <v>-5.9626533047539843E-3</v>
      </c>
      <c r="W834">
        <f t="shared" si="142"/>
        <v>9.9174152063234225E-3</v>
      </c>
      <c r="X834">
        <v>3.6170723660913242E-4</v>
      </c>
    </row>
    <row r="835" spans="1:24" x14ac:dyDescent="0.35">
      <c r="A835" s="1">
        <v>44050</v>
      </c>
      <c r="B835">
        <v>1981.172607</v>
      </c>
      <c r="C835">
        <f t="shared" si="132"/>
        <v>5.7869834540777987E-3</v>
      </c>
      <c r="D835">
        <v>2295.3500979999999</v>
      </c>
      <c r="E835">
        <f t="shared" si="133"/>
        <v>-5.5240238545321008E-3</v>
      </c>
      <c r="F835">
        <v>1043.849976</v>
      </c>
      <c r="G835">
        <f t="shared" si="134"/>
        <v>3.0268330434464197E-3</v>
      </c>
      <c r="H835">
        <v>550.4650269</v>
      </c>
      <c r="I835">
        <f t="shared" si="135"/>
        <v>9.9045190413524775E-3</v>
      </c>
      <c r="J835">
        <v>950.90002440000001</v>
      </c>
      <c r="K835">
        <f t="shared" si="136"/>
        <v>-2.0548953701801986E-2</v>
      </c>
      <c r="L835">
        <v>196.0500031</v>
      </c>
      <c r="M835">
        <f t="shared" si="137"/>
        <v>3.5832965351516588E-3</v>
      </c>
      <c r="N835">
        <v>525.95001219999995</v>
      </c>
      <c r="O835">
        <f t="shared" si="138"/>
        <v>-1.1836520056364597E-2</v>
      </c>
      <c r="P835">
        <v>78.650001529999997</v>
      </c>
      <c r="Q835">
        <f t="shared" si="139"/>
        <v>7.6873601095905908E-3</v>
      </c>
      <c r="R835">
        <v>119.0999985</v>
      </c>
      <c r="S835">
        <f t="shared" si="140"/>
        <v>1.9691740915715794E-2</v>
      </c>
      <c r="T835">
        <v>2138.3999020000001</v>
      </c>
      <c r="U835">
        <f t="shared" si="141"/>
        <v>-5.6497857400015228E-3</v>
      </c>
      <c r="W835">
        <f t="shared" si="142"/>
        <v>6.1214497466345337E-4</v>
      </c>
      <c r="X835">
        <v>3.6934787645397381E-4</v>
      </c>
    </row>
    <row r="836" spans="1:24" x14ac:dyDescent="0.35">
      <c r="A836" s="1">
        <v>44053</v>
      </c>
      <c r="B836">
        <v>1956.62085</v>
      </c>
      <c r="C836">
        <f t="shared" ref="C836:C899" si="143">B836/B835 - 1</f>
        <v>-1.2392538092467098E-2</v>
      </c>
      <c r="D836">
        <v>2282.8000489999999</v>
      </c>
      <c r="E836">
        <f t="shared" ref="E836:E899" si="144">D836/D835 - 1</f>
        <v>-5.4675968650426121E-3</v>
      </c>
      <c r="F836">
        <v>1050.650024</v>
      </c>
      <c r="G836">
        <f t="shared" ref="G836:G899" si="145">F836/F835 - 1</f>
        <v>6.5143920643249142E-3</v>
      </c>
      <c r="H836">
        <v>548.5509644</v>
      </c>
      <c r="I836">
        <f t="shared" ref="I836:I899" si="146">H836/H835 - 1</f>
        <v>-3.4771736740102366E-3</v>
      </c>
      <c r="J836">
        <v>951.34997559999999</v>
      </c>
      <c r="K836">
        <f t="shared" ref="K836:K899" si="147">J836/J835 -1</f>
        <v>4.7318454985201264E-4</v>
      </c>
      <c r="L836">
        <v>198.8500061</v>
      </c>
      <c r="M836">
        <f t="shared" ref="M836:M899" si="148">L836/L835 -1</f>
        <v>1.4282085976666803E-2</v>
      </c>
      <c r="N836">
        <v>543.84997559999999</v>
      </c>
      <c r="O836">
        <f t="shared" ref="O836:O899" si="149">N836/N835-1</f>
        <v>3.4033583011294555E-2</v>
      </c>
      <c r="P836">
        <v>79.050003050000001</v>
      </c>
      <c r="Q836">
        <f t="shared" ref="Q836:Q899" si="150">P836/P835 -1</f>
        <v>5.0858424948336811E-3</v>
      </c>
      <c r="R836">
        <v>123.8499985</v>
      </c>
      <c r="S836">
        <f t="shared" ref="S836:S899" si="151">R836/R835 - 1</f>
        <v>3.9882452223540588E-2</v>
      </c>
      <c r="T836">
        <v>2116.5</v>
      </c>
      <c r="U836">
        <f t="shared" ref="U836:U899" si="152">T836/T835 - 1</f>
        <v>-1.0241256548654709E-2</v>
      </c>
      <c r="W836">
        <f t="shared" ref="W836:W899" si="153">0.1*C836+0.1*E836+0.1*G836+0.1*I836+0.1*K836+0.1*M836+0.1*O836+0.1*Q836+0.1*S836+0.1*U836</f>
        <v>6.8692975140337903E-3</v>
      </c>
      <c r="X836">
        <v>3.8195862333716406E-4</v>
      </c>
    </row>
    <row r="837" spans="1:24" x14ac:dyDescent="0.35">
      <c r="A837" s="1">
        <v>44054</v>
      </c>
      <c r="B837">
        <v>1969.4967039999999</v>
      </c>
      <c r="C837">
        <f t="shared" si="143"/>
        <v>6.5806586902106279E-3</v>
      </c>
      <c r="D837">
        <v>2279.8999020000001</v>
      </c>
      <c r="E837">
        <f t="shared" si="144"/>
        <v>-1.2704340887281784E-3</v>
      </c>
      <c r="F837">
        <v>1066.650024</v>
      </c>
      <c r="G837">
        <f t="shared" si="145"/>
        <v>1.5228667619580305E-2</v>
      </c>
      <c r="H837">
        <v>540.94378659999995</v>
      </c>
      <c r="I837">
        <f t="shared" si="146"/>
        <v>-1.3867768527798918E-2</v>
      </c>
      <c r="J837">
        <v>948.45001219999995</v>
      </c>
      <c r="K837">
        <f t="shared" si="147"/>
        <v>-3.0482613910522982E-3</v>
      </c>
      <c r="L837">
        <v>203.0500031</v>
      </c>
      <c r="M837">
        <f t="shared" si="148"/>
        <v>2.1121432593207201E-2</v>
      </c>
      <c r="N837">
        <v>541.04998780000005</v>
      </c>
      <c r="O837">
        <f t="shared" si="149"/>
        <v>-5.148456239077448E-3</v>
      </c>
      <c r="P837">
        <v>78.449996949999999</v>
      </c>
      <c r="Q837">
        <f t="shared" si="150"/>
        <v>-7.5902097008204716E-3</v>
      </c>
      <c r="R837">
        <v>122.3000031</v>
      </c>
      <c r="S837">
        <f t="shared" si="151"/>
        <v>-1.2515102291260849E-2</v>
      </c>
      <c r="T837">
        <v>2131.9499510000001</v>
      </c>
      <c r="U837">
        <f t="shared" si="152"/>
        <v>7.2997642334042823E-3</v>
      </c>
      <c r="W837">
        <f t="shared" si="153"/>
        <v>6.7902908976642546E-4</v>
      </c>
      <c r="X837">
        <v>4.0270219170355235E-4</v>
      </c>
    </row>
    <row r="838" spans="1:24" x14ac:dyDescent="0.35">
      <c r="A838" s="1">
        <v>44055</v>
      </c>
      <c r="B838">
        <v>1963.774048</v>
      </c>
      <c r="C838">
        <f t="shared" si="143"/>
        <v>-2.9056438573252796E-3</v>
      </c>
      <c r="D838">
        <v>2257.3500979999999</v>
      </c>
      <c r="E838">
        <f t="shared" si="144"/>
        <v>-9.8906991400011801E-3</v>
      </c>
      <c r="F838">
        <v>1063.6999510000001</v>
      </c>
      <c r="G838">
        <f t="shared" si="145"/>
        <v>-2.7657365899050879E-3</v>
      </c>
      <c r="H838">
        <v>537.60644530000002</v>
      </c>
      <c r="I838">
        <f t="shared" si="146"/>
        <v>-6.1694789415664975E-3</v>
      </c>
      <c r="J838">
        <v>954.95001219999995</v>
      </c>
      <c r="K838">
        <f t="shared" si="147"/>
        <v>6.8532868536981262E-3</v>
      </c>
      <c r="L838">
        <v>204.1999969</v>
      </c>
      <c r="M838">
        <f t="shared" si="148"/>
        <v>5.6635990270517134E-3</v>
      </c>
      <c r="N838">
        <v>532.15002440000001</v>
      </c>
      <c r="O838">
        <f t="shared" si="149"/>
        <v>-1.6449429074361088E-2</v>
      </c>
      <c r="P838">
        <v>78.099998470000003</v>
      </c>
      <c r="Q838">
        <f t="shared" si="150"/>
        <v>-4.4614212059570502E-3</v>
      </c>
      <c r="R838">
        <v>125.3499985</v>
      </c>
      <c r="S838">
        <f t="shared" si="151"/>
        <v>2.493863714382849E-2</v>
      </c>
      <c r="T838">
        <v>2169.1999510000001</v>
      </c>
      <c r="U838">
        <f t="shared" si="152"/>
        <v>1.7472267574821787E-2</v>
      </c>
      <c r="W838">
        <f t="shared" si="153"/>
        <v>1.2285381790283936E-3</v>
      </c>
      <c r="X838">
        <v>4.0803349172927603E-4</v>
      </c>
    </row>
    <row r="839" spans="1:24" x14ac:dyDescent="0.35">
      <c r="A839" s="1">
        <v>44056</v>
      </c>
      <c r="B839">
        <v>1958.6514890000001</v>
      </c>
      <c r="C839">
        <f t="shared" si="143"/>
        <v>-2.6085276996185014E-3</v>
      </c>
      <c r="D839">
        <v>2254.4499510000001</v>
      </c>
      <c r="E839">
        <f t="shared" si="144"/>
        <v>-1.2847572924418182E-3</v>
      </c>
      <c r="F839">
        <v>1059.0500489999999</v>
      </c>
      <c r="G839">
        <f t="shared" si="145"/>
        <v>-4.3714413971991384E-3</v>
      </c>
      <c r="H839">
        <v>525.48400879999997</v>
      </c>
      <c r="I839">
        <f t="shared" si="146"/>
        <v>-2.2548904697813565E-2</v>
      </c>
      <c r="J839">
        <v>951.20001219999995</v>
      </c>
      <c r="K839">
        <f t="shared" si="147"/>
        <v>-3.9269071177462367E-3</v>
      </c>
      <c r="L839">
        <v>201.4499969</v>
      </c>
      <c r="M839">
        <f t="shared" si="148"/>
        <v>-1.3467189234810384E-2</v>
      </c>
      <c r="N839">
        <v>520.79998780000005</v>
      </c>
      <c r="O839">
        <f t="shared" si="149"/>
        <v>-2.1328640570480339E-2</v>
      </c>
      <c r="P839">
        <v>78.599998470000003</v>
      </c>
      <c r="Q839">
        <f t="shared" si="150"/>
        <v>6.4020487809877125E-3</v>
      </c>
      <c r="R839">
        <v>131.1499939</v>
      </c>
      <c r="S839">
        <f t="shared" si="151"/>
        <v>4.6270406616718107E-2</v>
      </c>
      <c r="T839">
        <v>2207.1000979999999</v>
      </c>
      <c r="U839">
        <f t="shared" si="152"/>
        <v>1.7471947195337068E-2</v>
      </c>
      <c r="W839">
        <f t="shared" si="153"/>
        <v>6.0803458293290586E-5</v>
      </c>
      <c r="X839">
        <v>4.196183124227195E-4</v>
      </c>
    </row>
    <row r="840" spans="1:24" x14ac:dyDescent="0.35">
      <c r="A840" s="1">
        <v>44057</v>
      </c>
      <c r="B840">
        <v>1951.0367429999999</v>
      </c>
      <c r="C840">
        <f t="shared" si="143"/>
        <v>-3.8877493228199889E-3</v>
      </c>
      <c r="D840">
        <v>2242.1499020000001</v>
      </c>
      <c r="E840">
        <f t="shared" si="144"/>
        <v>-5.4558980094209231E-3</v>
      </c>
      <c r="F840">
        <v>1034.4499510000001</v>
      </c>
      <c r="G840">
        <f t="shared" si="145"/>
        <v>-2.322845650517491E-2</v>
      </c>
      <c r="H840">
        <v>518.85845949999998</v>
      </c>
      <c r="I840">
        <f t="shared" si="146"/>
        <v>-1.2608469884992646E-2</v>
      </c>
      <c r="J840">
        <v>953.59997559999999</v>
      </c>
      <c r="K840">
        <f t="shared" si="147"/>
        <v>2.5230901694894836E-3</v>
      </c>
      <c r="L840">
        <v>196.3999939</v>
      </c>
      <c r="M840">
        <f t="shared" si="148"/>
        <v>-2.5068270427955563E-2</v>
      </c>
      <c r="N840">
        <v>531.34997559999999</v>
      </c>
      <c r="O840">
        <f t="shared" si="149"/>
        <v>2.0257273516011365E-2</v>
      </c>
      <c r="P840">
        <v>77.099998470000003</v>
      </c>
      <c r="Q840">
        <f t="shared" si="150"/>
        <v>-1.9083969837130677E-2</v>
      </c>
      <c r="R840">
        <v>124.5999985</v>
      </c>
      <c r="S840">
        <f t="shared" si="151"/>
        <v>-4.9942780820823152E-2</v>
      </c>
      <c r="T840">
        <v>2178</v>
      </c>
      <c r="U840">
        <f t="shared" si="152"/>
        <v>-1.318476585016215E-2</v>
      </c>
      <c r="W840">
        <f t="shared" si="153"/>
        <v>-1.2967999697297915E-2</v>
      </c>
      <c r="X840">
        <v>4.3691985464959764E-4</v>
      </c>
    </row>
    <row r="841" spans="1:24" x14ac:dyDescent="0.35">
      <c r="A841" s="1">
        <v>44060</v>
      </c>
      <c r="B841">
        <v>1930.3154300000001</v>
      </c>
      <c r="C841">
        <f t="shared" si="143"/>
        <v>-1.0620667742083478E-2</v>
      </c>
      <c r="D841">
        <v>2253.3999020000001</v>
      </c>
      <c r="E841">
        <f t="shared" si="144"/>
        <v>5.0175057385615229E-3</v>
      </c>
      <c r="F841">
        <v>1032.75</v>
      </c>
      <c r="G841">
        <f t="shared" si="145"/>
        <v>-1.6433380835454425E-3</v>
      </c>
      <c r="H841">
        <v>511.7911072</v>
      </c>
      <c r="I841">
        <f t="shared" si="146"/>
        <v>-1.3620963811229903E-2</v>
      </c>
      <c r="J841">
        <v>957.5</v>
      </c>
      <c r="K841">
        <f t="shared" si="147"/>
        <v>4.0897907925658838E-3</v>
      </c>
      <c r="L841">
        <v>198.75</v>
      </c>
      <c r="M841">
        <f t="shared" si="148"/>
        <v>1.196540821277492E-2</v>
      </c>
      <c r="N841">
        <v>528.34997559999999</v>
      </c>
      <c r="O841">
        <f t="shared" si="149"/>
        <v>-5.6459963070712993E-3</v>
      </c>
      <c r="P841">
        <v>79.300003050000001</v>
      </c>
      <c r="Q841">
        <f t="shared" si="150"/>
        <v>2.8534430916441922E-2</v>
      </c>
      <c r="R841">
        <v>123.5500031</v>
      </c>
      <c r="S841">
        <f t="shared" si="151"/>
        <v>-8.4269294754445445E-3</v>
      </c>
      <c r="T841">
        <v>2189.75</v>
      </c>
      <c r="U841">
        <f t="shared" si="152"/>
        <v>5.3948576675848514E-3</v>
      </c>
      <c r="W841">
        <f t="shared" si="153"/>
        <v>1.5044097908554436E-3</v>
      </c>
      <c r="X841">
        <v>4.7097061983519828E-4</v>
      </c>
    </row>
    <row r="842" spans="1:24" x14ac:dyDescent="0.35">
      <c r="A842" s="1">
        <v>44061</v>
      </c>
      <c r="B842">
        <v>1955.4210210000001</v>
      </c>
      <c r="C842">
        <f t="shared" si="143"/>
        <v>1.3005952607445082E-2</v>
      </c>
      <c r="D842">
        <v>2269.75</v>
      </c>
      <c r="E842">
        <f t="shared" si="144"/>
        <v>7.2557462993978472E-3</v>
      </c>
      <c r="F842">
        <v>1056.5</v>
      </c>
      <c r="G842">
        <f t="shared" si="145"/>
        <v>2.2996853062212441E-2</v>
      </c>
      <c r="H842">
        <v>516.60083010000005</v>
      </c>
      <c r="I842">
        <f t="shared" si="146"/>
        <v>9.3978242926375799E-3</v>
      </c>
      <c r="J842">
        <v>967.54998780000005</v>
      </c>
      <c r="K842">
        <f t="shared" si="147"/>
        <v>1.0496070809399516E-2</v>
      </c>
      <c r="L842">
        <v>198.5500031</v>
      </c>
      <c r="M842">
        <f t="shared" si="148"/>
        <v>-1.0062737106918407E-3</v>
      </c>
      <c r="N842">
        <v>526</v>
      </c>
      <c r="O842">
        <f t="shared" si="149"/>
        <v>-4.4477632412708301E-3</v>
      </c>
      <c r="P842">
        <v>80.650001529999997</v>
      </c>
      <c r="Q842">
        <f t="shared" si="150"/>
        <v>1.7023939824426071E-2</v>
      </c>
      <c r="R842">
        <v>125.5999985</v>
      </c>
      <c r="S842">
        <f t="shared" si="151"/>
        <v>1.65924350349127E-2</v>
      </c>
      <c r="T842">
        <v>2259.4499510000001</v>
      </c>
      <c r="U842">
        <f t="shared" si="152"/>
        <v>3.183009521634883E-2</v>
      </c>
      <c r="W842">
        <f t="shared" si="153"/>
        <v>1.2314488019481741E-2</v>
      </c>
      <c r="X842">
        <v>4.7413365941798621E-4</v>
      </c>
    </row>
    <row r="843" spans="1:24" x14ac:dyDescent="0.35">
      <c r="A843" s="1">
        <v>44062</v>
      </c>
      <c r="B843">
        <v>1967.419922</v>
      </c>
      <c r="C843">
        <f t="shared" si="143"/>
        <v>6.1362237958675347E-3</v>
      </c>
      <c r="D843">
        <v>2256.6000979999999</v>
      </c>
      <c r="E843">
        <f t="shared" si="144"/>
        <v>-5.7935464258178637E-3</v>
      </c>
      <c r="F843">
        <v>1066.599976</v>
      </c>
      <c r="G843">
        <f t="shared" si="145"/>
        <v>9.5598447704685618E-3</v>
      </c>
      <c r="H843">
        <v>525.97479250000004</v>
      </c>
      <c r="I843">
        <f t="shared" si="146"/>
        <v>1.8145465229286284E-2</v>
      </c>
      <c r="J843">
        <v>959.29998780000005</v>
      </c>
      <c r="K843">
        <f t="shared" si="147"/>
        <v>-8.5266912345880463E-3</v>
      </c>
      <c r="L843">
        <v>198.4499969</v>
      </c>
      <c r="M843">
        <f t="shared" si="148"/>
        <v>-5.0368269170775193E-4</v>
      </c>
      <c r="N843">
        <v>525.40002440000001</v>
      </c>
      <c r="O843">
        <f t="shared" si="149"/>
        <v>-1.1406380228137225E-3</v>
      </c>
      <c r="P843">
        <v>79.550003050000001</v>
      </c>
      <c r="Q843">
        <f t="shared" si="150"/>
        <v>-1.3639162543485184E-2</v>
      </c>
      <c r="R843">
        <v>125.1500015</v>
      </c>
      <c r="S843">
        <f t="shared" si="151"/>
        <v>-3.5827787052082893E-3</v>
      </c>
      <c r="T843">
        <v>2266.6000979999999</v>
      </c>
      <c r="U843">
        <f t="shared" si="152"/>
        <v>3.1645520613701184E-3</v>
      </c>
      <c r="W843">
        <f t="shared" si="153"/>
        <v>3.8195862333716406E-4</v>
      </c>
      <c r="X843">
        <v>4.8320923222795455E-4</v>
      </c>
    </row>
    <row r="844" spans="1:24" x14ac:dyDescent="0.35">
      <c r="A844" s="1">
        <v>44063</v>
      </c>
      <c r="B844">
        <v>1935.5764160000001</v>
      </c>
      <c r="C844">
        <f t="shared" si="143"/>
        <v>-1.6185414025709943E-2</v>
      </c>
      <c r="D844">
        <v>2252.8500979999999</v>
      </c>
      <c r="E844">
        <f t="shared" si="144"/>
        <v>-1.661792004406748E-3</v>
      </c>
      <c r="F844">
        <v>1059</v>
      </c>
      <c r="G844">
        <f t="shared" si="145"/>
        <v>-7.1254229992594453E-3</v>
      </c>
      <c r="H844">
        <v>515.86462400000005</v>
      </c>
      <c r="I844">
        <f t="shared" si="146"/>
        <v>-1.9221773826737065E-2</v>
      </c>
      <c r="J844">
        <v>955.15002440000001</v>
      </c>
      <c r="K844">
        <f t="shared" si="147"/>
        <v>-4.3260329957027777E-3</v>
      </c>
      <c r="L844">
        <v>195.8000031</v>
      </c>
      <c r="M844">
        <f t="shared" si="148"/>
        <v>-1.3353458510434457E-2</v>
      </c>
      <c r="N844">
        <v>522.29998780000005</v>
      </c>
      <c r="O844">
        <f t="shared" si="149"/>
        <v>-5.900335850840821E-3</v>
      </c>
      <c r="P844">
        <v>82.150001529999997</v>
      </c>
      <c r="Q844">
        <f t="shared" si="150"/>
        <v>3.2683826276735717E-2</v>
      </c>
      <c r="R844">
        <v>121.6999969</v>
      </c>
      <c r="S844">
        <f t="shared" si="151"/>
        <v>-2.7566956121850339E-2</v>
      </c>
      <c r="T844">
        <v>2285.8999020000001</v>
      </c>
      <c r="U844">
        <f t="shared" si="152"/>
        <v>8.514869480959586E-3</v>
      </c>
      <c r="W844">
        <f t="shared" si="153"/>
        <v>-5.4142490577246292E-3</v>
      </c>
      <c r="X844">
        <v>5.0158784518391521E-4</v>
      </c>
    </row>
    <row r="845" spans="1:24" x14ac:dyDescent="0.35">
      <c r="A845" s="1">
        <v>44064</v>
      </c>
      <c r="B845">
        <v>1921.546875</v>
      </c>
      <c r="C845">
        <f t="shared" si="143"/>
        <v>-7.2482496087615811E-3</v>
      </c>
      <c r="D845">
        <v>2248.6000979999999</v>
      </c>
      <c r="E845">
        <f t="shared" si="144"/>
        <v>-1.8864992410160264E-3</v>
      </c>
      <c r="F845">
        <v>1085.650024</v>
      </c>
      <c r="G845">
        <f t="shared" si="145"/>
        <v>2.5165272898961311E-2</v>
      </c>
      <c r="H845">
        <v>510.66232300000001</v>
      </c>
      <c r="I845">
        <f t="shared" si="146"/>
        <v>-1.0084624449844148E-2</v>
      </c>
      <c r="J845">
        <v>948.79998780000005</v>
      </c>
      <c r="K845">
        <f t="shared" si="147"/>
        <v>-6.648208593188154E-3</v>
      </c>
      <c r="L845">
        <v>196.8000031</v>
      </c>
      <c r="M845">
        <f t="shared" si="148"/>
        <v>5.1072522174031576E-3</v>
      </c>
      <c r="N845">
        <v>532.34997559999999</v>
      </c>
      <c r="O845">
        <f t="shared" si="149"/>
        <v>1.9241792140053171E-2</v>
      </c>
      <c r="P845">
        <v>81.050003050000001</v>
      </c>
      <c r="Q845">
        <f t="shared" si="150"/>
        <v>-1.3390121235704378E-2</v>
      </c>
      <c r="R845">
        <v>120.9000015</v>
      </c>
      <c r="S845">
        <f t="shared" si="151"/>
        <v>-6.5735038650605038E-3</v>
      </c>
      <c r="T845">
        <v>2259.4499510000001</v>
      </c>
      <c r="U845">
        <f t="shared" si="152"/>
        <v>-1.1570913921846837E-2</v>
      </c>
      <c r="W845">
        <f t="shared" si="153"/>
        <v>-7.8878036590039895E-4</v>
      </c>
      <c r="X845">
        <v>5.0319383500878638E-4</v>
      </c>
    </row>
    <row r="846" spans="1:24" x14ac:dyDescent="0.35">
      <c r="A846" s="1">
        <v>44067</v>
      </c>
      <c r="B846">
        <v>1934.376587</v>
      </c>
      <c r="C846">
        <f t="shared" si="143"/>
        <v>6.6767624391155245E-3</v>
      </c>
      <c r="D846">
        <v>2248.1000979999999</v>
      </c>
      <c r="E846">
        <f t="shared" si="144"/>
        <v>-2.2236057022528843E-4</v>
      </c>
      <c r="F846">
        <v>1117.0500489999999</v>
      </c>
      <c r="G846">
        <f t="shared" si="145"/>
        <v>2.8922787552022378E-2</v>
      </c>
      <c r="H846">
        <v>517.18975829999999</v>
      </c>
      <c r="I846">
        <f t="shared" si="146"/>
        <v>1.2782292732412825E-2</v>
      </c>
      <c r="J846">
        <v>947.40002440000001</v>
      </c>
      <c r="K846">
        <f t="shared" si="147"/>
        <v>-1.4755095046388167E-3</v>
      </c>
      <c r="L846">
        <v>196.6999969</v>
      </c>
      <c r="M846">
        <f t="shared" si="148"/>
        <v>-5.0816157736122136E-4</v>
      </c>
      <c r="N846">
        <v>533.45001219999995</v>
      </c>
      <c r="O846">
        <f t="shared" si="149"/>
        <v>2.0663786050898469E-3</v>
      </c>
      <c r="P846">
        <v>81.25</v>
      </c>
      <c r="Q846">
        <f t="shared" si="150"/>
        <v>2.4675748608746773E-3</v>
      </c>
      <c r="R846">
        <v>121.1999969</v>
      </c>
      <c r="S846">
        <f t="shared" si="151"/>
        <v>2.4813514994042052E-3</v>
      </c>
      <c r="T846">
        <v>2250.3000489999999</v>
      </c>
      <c r="U846">
        <f t="shared" si="152"/>
        <v>-4.0496148170711121E-3</v>
      </c>
      <c r="W846">
        <f t="shared" si="153"/>
        <v>4.9141501219623004E-3</v>
      </c>
      <c r="X846">
        <v>5.0935088601994371E-4</v>
      </c>
    </row>
    <row r="847" spans="1:24" x14ac:dyDescent="0.35">
      <c r="A847" s="1">
        <v>44068</v>
      </c>
      <c r="B847">
        <v>1921.7775879999999</v>
      </c>
      <c r="C847">
        <f t="shared" si="143"/>
        <v>-6.5132090021517985E-3</v>
      </c>
      <c r="D847">
        <v>2242.6499020000001</v>
      </c>
      <c r="E847">
        <f t="shared" si="144"/>
        <v>-2.4243564620848312E-3</v>
      </c>
      <c r="F847">
        <v>1119.6999510000001</v>
      </c>
      <c r="G847">
        <f t="shared" si="145"/>
        <v>2.3722321147314762E-3</v>
      </c>
      <c r="H847">
        <v>518.90753170000005</v>
      </c>
      <c r="I847">
        <f t="shared" si="146"/>
        <v>3.3213600471253546E-3</v>
      </c>
      <c r="J847">
        <v>938.09997559999999</v>
      </c>
      <c r="K847">
        <f t="shared" si="147"/>
        <v>-9.8163907119274141E-3</v>
      </c>
      <c r="L847">
        <v>195.3999939</v>
      </c>
      <c r="M847">
        <f t="shared" si="148"/>
        <v>-6.6090646694870747E-3</v>
      </c>
      <c r="N847">
        <v>525.09997559999999</v>
      </c>
      <c r="O847">
        <f t="shared" si="149"/>
        <v>-1.5652894196334532E-2</v>
      </c>
      <c r="P847">
        <v>80.5</v>
      </c>
      <c r="Q847">
        <f t="shared" si="150"/>
        <v>-9.2307692307692646E-3</v>
      </c>
      <c r="R847">
        <v>127.0999985</v>
      </c>
      <c r="S847">
        <f t="shared" si="151"/>
        <v>4.8679882433231292E-2</v>
      </c>
      <c r="T847">
        <v>2341.1499020000001</v>
      </c>
      <c r="U847">
        <f t="shared" si="152"/>
        <v>4.0372328588079931E-2</v>
      </c>
      <c r="W847">
        <f t="shared" si="153"/>
        <v>4.4499118910413136E-3</v>
      </c>
      <c r="X847">
        <v>5.2692328312780039E-4</v>
      </c>
    </row>
    <row r="848" spans="1:24" x14ac:dyDescent="0.35">
      <c r="A848" s="1">
        <v>44069</v>
      </c>
      <c r="B848">
        <v>1972.727173</v>
      </c>
      <c r="C848">
        <f t="shared" si="143"/>
        <v>2.6511696940447527E-2</v>
      </c>
      <c r="D848">
        <v>2253.5</v>
      </c>
      <c r="E848">
        <f t="shared" si="144"/>
        <v>4.8380703516512913E-3</v>
      </c>
      <c r="F848">
        <v>1118.4499510000001</v>
      </c>
      <c r="G848">
        <f t="shared" si="145"/>
        <v>-1.1163705052265049E-3</v>
      </c>
      <c r="H848">
        <v>505.01828</v>
      </c>
      <c r="I848">
        <f t="shared" si="146"/>
        <v>-2.6766332827155681E-2</v>
      </c>
      <c r="J848">
        <v>950.79998780000005</v>
      </c>
      <c r="K848">
        <f t="shared" si="147"/>
        <v>1.3538015702299955E-2</v>
      </c>
      <c r="L848">
        <v>194.9499969</v>
      </c>
      <c r="M848">
        <f t="shared" si="148"/>
        <v>-2.3029529889867506E-3</v>
      </c>
      <c r="N848">
        <v>525.15002440000001</v>
      </c>
      <c r="O848">
        <f t="shared" si="149"/>
        <v>9.5312897211208281E-5</v>
      </c>
      <c r="P848">
        <v>81.400001529999997</v>
      </c>
      <c r="Q848">
        <f t="shared" si="150"/>
        <v>1.1180143229813533E-2</v>
      </c>
      <c r="R848">
        <v>137.8999939</v>
      </c>
      <c r="S848">
        <f t="shared" si="151"/>
        <v>8.4972427438698928E-2</v>
      </c>
      <c r="T848">
        <v>2410.1000979999999</v>
      </c>
      <c r="U848">
        <f t="shared" si="152"/>
        <v>2.9451422970010244E-2</v>
      </c>
      <c r="W848">
        <f t="shared" si="153"/>
        <v>1.4040143320876374E-2</v>
      </c>
      <c r="X848">
        <v>5.3217714656716996E-4</v>
      </c>
    </row>
    <row r="849" spans="1:24" x14ac:dyDescent="0.35">
      <c r="A849" s="1">
        <v>44070</v>
      </c>
      <c r="B849">
        <v>1948.08313</v>
      </c>
      <c r="C849">
        <f t="shared" si="143"/>
        <v>-1.2492372659176687E-2</v>
      </c>
      <c r="D849">
        <v>2248.3999020000001</v>
      </c>
      <c r="E849">
        <f t="shared" si="144"/>
        <v>-2.2631897049034677E-3</v>
      </c>
      <c r="F849">
        <v>1112.099976</v>
      </c>
      <c r="G849">
        <f t="shared" si="145"/>
        <v>-5.6774780081331189E-3</v>
      </c>
      <c r="H849">
        <v>501.73001099999999</v>
      </c>
      <c r="I849">
        <f t="shared" si="146"/>
        <v>-6.5111880702615199E-3</v>
      </c>
      <c r="J849">
        <v>947.04998780000005</v>
      </c>
      <c r="K849">
        <f t="shared" si="147"/>
        <v>-3.9440471688234613E-3</v>
      </c>
      <c r="L849">
        <v>194.25</v>
      </c>
      <c r="M849">
        <f t="shared" si="148"/>
        <v>-3.5906484284740081E-3</v>
      </c>
      <c r="N849">
        <v>532.25</v>
      </c>
      <c r="O849">
        <f t="shared" si="149"/>
        <v>1.3519899590811013E-2</v>
      </c>
      <c r="P849">
        <v>80.150001529999997</v>
      </c>
      <c r="Q849">
        <f t="shared" si="150"/>
        <v>-1.5356265067627994E-2</v>
      </c>
      <c r="R849">
        <v>144.25</v>
      </c>
      <c r="S849">
        <f t="shared" si="151"/>
        <v>4.6047907040552838E-2</v>
      </c>
      <c r="T849">
        <v>2380.8500979999999</v>
      </c>
      <c r="U849">
        <f t="shared" si="152"/>
        <v>-1.2136425380951166E-2</v>
      </c>
      <c r="W849">
        <f t="shared" si="153"/>
        <v>-2.4038078569875746E-4</v>
      </c>
      <c r="X849">
        <v>5.4086828360291319E-4</v>
      </c>
    </row>
    <row r="850" spans="1:24" x14ac:dyDescent="0.35">
      <c r="A850" s="1">
        <v>44071</v>
      </c>
      <c r="B850">
        <v>1953.205811</v>
      </c>
      <c r="C850">
        <f t="shared" si="143"/>
        <v>2.6296008220141331E-3</v>
      </c>
      <c r="D850">
        <v>2238.5500489999999</v>
      </c>
      <c r="E850">
        <f t="shared" si="144"/>
        <v>-4.3808278906427578E-3</v>
      </c>
      <c r="F850">
        <v>1114.5</v>
      </c>
      <c r="G850">
        <f t="shared" si="145"/>
        <v>2.1581009367812598E-3</v>
      </c>
      <c r="H850">
        <v>513.80334470000003</v>
      </c>
      <c r="I850">
        <f t="shared" si="146"/>
        <v>2.4063407480721777E-2</v>
      </c>
      <c r="J850">
        <v>935.25</v>
      </c>
      <c r="K850">
        <f t="shared" si="147"/>
        <v>-1.2459730692158555E-2</v>
      </c>
      <c r="L850">
        <v>195.5500031</v>
      </c>
      <c r="M850">
        <f t="shared" si="148"/>
        <v>6.692422651222607E-3</v>
      </c>
      <c r="N850">
        <v>555.75</v>
      </c>
      <c r="O850">
        <f t="shared" si="149"/>
        <v>4.4152184124001792E-2</v>
      </c>
      <c r="P850">
        <v>80.349998470000003</v>
      </c>
      <c r="Q850">
        <f t="shared" si="150"/>
        <v>2.495283046565433E-3</v>
      </c>
      <c r="R850">
        <v>142.8000031</v>
      </c>
      <c r="S850">
        <f t="shared" si="151"/>
        <v>-1.005197157712312E-2</v>
      </c>
      <c r="T850">
        <v>2319.3999020000001</v>
      </c>
      <c r="U850">
        <f t="shared" si="152"/>
        <v>-2.5810191095869572E-2</v>
      </c>
      <c r="W850">
        <f t="shared" si="153"/>
        <v>2.9488277805512996E-3</v>
      </c>
      <c r="X850">
        <v>5.6380190903283507E-4</v>
      </c>
    </row>
    <row r="851" spans="1:24" x14ac:dyDescent="0.35">
      <c r="A851" s="1">
        <v>44074</v>
      </c>
      <c r="B851">
        <v>1920.4854740000001</v>
      </c>
      <c r="C851">
        <f t="shared" si="143"/>
        <v>-1.6752119421172496E-2</v>
      </c>
      <c r="D851">
        <v>2257.25</v>
      </c>
      <c r="E851">
        <f t="shared" si="144"/>
        <v>8.3535996920656164E-3</v>
      </c>
      <c r="F851">
        <v>1115.849976</v>
      </c>
      <c r="G851">
        <f t="shared" si="145"/>
        <v>1.2112839838491762E-3</v>
      </c>
      <c r="H851">
        <v>503.64407349999999</v>
      </c>
      <c r="I851">
        <f t="shared" si="146"/>
        <v>-1.9772684052751455E-2</v>
      </c>
      <c r="J851">
        <v>928.59997559999999</v>
      </c>
      <c r="K851">
        <f t="shared" si="147"/>
        <v>-7.1104243785083954E-3</v>
      </c>
      <c r="L851">
        <v>191.1000061</v>
      </c>
      <c r="M851">
        <f t="shared" si="148"/>
        <v>-2.2756312602686957E-2</v>
      </c>
      <c r="N851">
        <v>520.25</v>
      </c>
      <c r="O851">
        <f t="shared" si="149"/>
        <v>-6.3877642825011294E-2</v>
      </c>
      <c r="P851">
        <v>81.949996949999999</v>
      </c>
      <c r="Q851">
        <f t="shared" si="150"/>
        <v>1.9912862606928039E-2</v>
      </c>
      <c r="R851">
        <v>143.1999969</v>
      </c>
      <c r="S851">
        <f t="shared" si="151"/>
        <v>2.8010769700046456E-3</v>
      </c>
      <c r="T851">
        <v>2251.25</v>
      </c>
      <c r="U851">
        <f t="shared" si="152"/>
        <v>-2.9382557937178033E-2</v>
      </c>
      <c r="W851">
        <f t="shared" si="153"/>
        <v>-1.2737291796446115E-2</v>
      </c>
      <c r="X851">
        <v>5.6605148881496716E-4</v>
      </c>
    </row>
    <row r="852" spans="1:24" x14ac:dyDescent="0.35">
      <c r="A852" s="1">
        <v>44075</v>
      </c>
      <c r="B852">
        <v>1926.5311280000001</v>
      </c>
      <c r="C852">
        <f t="shared" si="143"/>
        <v>3.1479821544331266E-3</v>
      </c>
      <c r="D852">
        <v>2246.3500979999999</v>
      </c>
      <c r="E852">
        <f t="shared" si="144"/>
        <v>-4.8288412891793753E-3</v>
      </c>
      <c r="F852">
        <v>1127.3000489999999</v>
      </c>
      <c r="G852">
        <f t="shared" si="145"/>
        <v>1.0261301470870787E-2</v>
      </c>
      <c r="H852">
        <v>536.18316649999997</v>
      </c>
      <c r="I852">
        <f t="shared" si="146"/>
        <v>6.4607318366469269E-2</v>
      </c>
      <c r="J852">
        <v>914.15002440000001</v>
      </c>
      <c r="K852">
        <f t="shared" si="147"/>
        <v>-1.5561007516356473E-2</v>
      </c>
      <c r="L852">
        <v>190.1999969</v>
      </c>
      <c r="M852">
        <f t="shared" si="148"/>
        <v>-4.7096241301480823E-3</v>
      </c>
      <c r="N852">
        <v>521.45001219999995</v>
      </c>
      <c r="O852">
        <f t="shared" si="149"/>
        <v>2.3066068236423654E-3</v>
      </c>
      <c r="P852">
        <v>79.349998470000003</v>
      </c>
      <c r="Q852">
        <f t="shared" si="150"/>
        <v>-3.1726645232047157E-2</v>
      </c>
      <c r="R852">
        <v>143.8000031</v>
      </c>
      <c r="S852">
        <f t="shared" si="151"/>
        <v>4.1899875208726289E-3</v>
      </c>
      <c r="T852">
        <v>2241.6000979999999</v>
      </c>
      <c r="U852">
        <f t="shared" si="152"/>
        <v>-4.2864639644641933E-3</v>
      </c>
      <c r="W852">
        <f t="shared" si="153"/>
        <v>2.3400614204092895E-3</v>
      </c>
      <c r="X852">
        <v>5.8078069995846091E-4</v>
      </c>
    </row>
    <row r="853" spans="1:24" x14ac:dyDescent="0.35">
      <c r="A853" s="1">
        <v>44076</v>
      </c>
      <c r="B853">
        <v>1964.3278809999999</v>
      </c>
      <c r="C853">
        <f t="shared" si="143"/>
        <v>1.9619072046470398E-2</v>
      </c>
      <c r="D853">
        <v>2265.1499020000001</v>
      </c>
      <c r="E853">
        <f t="shared" si="144"/>
        <v>8.3690445299413607E-3</v>
      </c>
      <c r="F853">
        <v>1134.150024</v>
      </c>
      <c r="G853">
        <f t="shared" si="145"/>
        <v>6.0764434509485987E-3</v>
      </c>
      <c r="H853">
        <v>540.40393070000005</v>
      </c>
      <c r="I853">
        <f t="shared" si="146"/>
        <v>7.8718700319362345E-3</v>
      </c>
      <c r="J853">
        <v>924</v>
      </c>
      <c r="K853">
        <f t="shared" si="147"/>
        <v>1.0775009940479974E-2</v>
      </c>
      <c r="L853">
        <v>191.3500061</v>
      </c>
      <c r="M853">
        <f t="shared" si="148"/>
        <v>6.0463155559600246E-3</v>
      </c>
      <c r="N853">
        <v>514.5</v>
      </c>
      <c r="O853">
        <f t="shared" si="149"/>
        <v>-1.3328242472711471E-2</v>
      </c>
      <c r="P853">
        <v>80.300003050000001</v>
      </c>
      <c r="Q853">
        <f t="shared" si="150"/>
        <v>1.1972332682012254E-2</v>
      </c>
      <c r="R853">
        <v>150.3000031</v>
      </c>
      <c r="S853">
        <f t="shared" si="151"/>
        <v>4.5201668010256046E-2</v>
      </c>
      <c r="T853">
        <v>2218.4499510000001</v>
      </c>
      <c r="U853">
        <f t="shared" si="152"/>
        <v>-1.0327509809022084E-2</v>
      </c>
      <c r="W853">
        <f t="shared" si="153"/>
        <v>9.2276003966271346E-3</v>
      </c>
      <c r="X853">
        <v>5.8273879443212508E-4</v>
      </c>
    </row>
    <row r="854" spans="1:24" x14ac:dyDescent="0.35">
      <c r="A854" s="1">
        <v>44077</v>
      </c>
      <c r="B854">
        <v>1949.4676509999999</v>
      </c>
      <c r="C854">
        <f t="shared" si="143"/>
        <v>-7.5650456035043501E-3</v>
      </c>
      <c r="D854">
        <v>2299.5</v>
      </c>
      <c r="E854">
        <f t="shared" si="144"/>
        <v>1.5164602558828788E-2</v>
      </c>
      <c r="F854">
        <v>1130.900024</v>
      </c>
      <c r="G854">
        <f t="shared" si="145"/>
        <v>-2.8655820933968235E-3</v>
      </c>
      <c r="H854">
        <v>528.08520510000005</v>
      </c>
      <c r="I854">
        <f t="shared" si="146"/>
        <v>-2.2795403401383862E-2</v>
      </c>
      <c r="J854">
        <v>935.54998780000005</v>
      </c>
      <c r="K854">
        <f t="shared" si="147"/>
        <v>1.2499986796536744E-2</v>
      </c>
      <c r="L854">
        <v>191.6000061</v>
      </c>
      <c r="M854">
        <f t="shared" si="148"/>
        <v>1.3065063602315519E-3</v>
      </c>
      <c r="N854">
        <v>523.45001219999995</v>
      </c>
      <c r="O854">
        <f t="shared" si="149"/>
        <v>1.7395553352769655E-2</v>
      </c>
      <c r="P854">
        <v>79.050003050000001</v>
      </c>
      <c r="Q854">
        <f t="shared" si="150"/>
        <v>-1.556662456440594E-2</v>
      </c>
      <c r="R854">
        <v>151.8500061</v>
      </c>
      <c r="S854">
        <f t="shared" si="151"/>
        <v>1.0312727664874011E-2</v>
      </c>
      <c r="T854">
        <v>2278.3999020000001</v>
      </c>
      <c r="U854">
        <f t="shared" si="152"/>
        <v>2.702335068365036E-2</v>
      </c>
      <c r="W854">
        <f t="shared" si="153"/>
        <v>3.4910071754200135E-3</v>
      </c>
      <c r="X854">
        <v>5.9092440433519103E-4</v>
      </c>
    </row>
    <row r="855" spans="1:24" x14ac:dyDescent="0.35">
      <c r="A855" s="1">
        <v>44078</v>
      </c>
      <c r="B855">
        <v>1917.301025</v>
      </c>
      <c r="C855">
        <f t="shared" si="143"/>
        <v>-1.6500210189945852E-2</v>
      </c>
      <c r="D855">
        <v>2288.8000489999999</v>
      </c>
      <c r="E855">
        <f t="shared" si="144"/>
        <v>-4.6531641661230472E-3</v>
      </c>
      <c r="F855">
        <v>1119.3000489999999</v>
      </c>
      <c r="G855">
        <f t="shared" si="145"/>
        <v>-1.0257294857038635E-2</v>
      </c>
      <c r="H855">
        <v>513.50885010000002</v>
      </c>
      <c r="I855">
        <f t="shared" si="146"/>
        <v>-2.7602278683872217E-2</v>
      </c>
      <c r="J855">
        <v>919.15002440000001</v>
      </c>
      <c r="K855">
        <f t="shared" si="147"/>
        <v>-1.7529756414796704E-2</v>
      </c>
      <c r="L855">
        <v>186.6999969</v>
      </c>
      <c r="M855">
        <f t="shared" si="148"/>
        <v>-2.5574159937357122E-2</v>
      </c>
      <c r="N855">
        <v>512.45001219999995</v>
      </c>
      <c r="O855">
        <f t="shared" si="149"/>
        <v>-2.1014423046373132E-2</v>
      </c>
      <c r="P855">
        <v>77.900001529999997</v>
      </c>
      <c r="Q855">
        <f t="shared" si="150"/>
        <v>-1.454777325274248E-2</v>
      </c>
      <c r="R855">
        <v>147.8000031</v>
      </c>
      <c r="S855">
        <f t="shared" si="151"/>
        <v>-2.6671075649038145E-2</v>
      </c>
      <c r="T855">
        <v>2251.4499510000001</v>
      </c>
      <c r="U855">
        <f t="shared" si="152"/>
        <v>-1.1828455126048354E-2</v>
      </c>
      <c r="W855">
        <f t="shared" si="153"/>
        <v>-1.7617859132333571E-2</v>
      </c>
      <c r="X855">
        <v>6.0467524712827297E-4</v>
      </c>
    </row>
    <row r="856" spans="1:24" x14ac:dyDescent="0.35">
      <c r="A856" s="1">
        <v>44081</v>
      </c>
      <c r="B856">
        <v>1922.2852780000001</v>
      </c>
      <c r="C856">
        <f t="shared" si="143"/>
        <v>2.5996194311741494E-3</v>
      </c>
      <c r="D856">
        <v>2327.0500489999999</v>
      </c>
      <c r="E856">
        <f t="shared" si="144"/>
        <v>1.6711813693254696E-2</v>
      </c>
      <c r="F856">
        <v>1110.5</v>
      </c>
      <c r="G856">
        <f t="shared" si="145"/>
        <v>-7.8621000757232995E-3</v>
      </c>
      <c r="H856">
        <v>505.95077509999999</v>
      </c>
      <c r="I856">
        <f t="shared" si="146"/>
        <v>-1.4718490243212368E-2</v>
      </c>
      <c r="J856">
        <v>925.04998780000005</v>
      </c>
      <c r="K856">
        <f t="shared" si="147"/>
        <v>6.4189340623164171E-3</v>
      </c>
      <c r="L856">
        <v>189.1000061</v>
      </c>
      <c r="M856">
        <f t="shared" si="148"/>
        <v>1.2854896839047614E-2</v>
      </c>
      <c r="N856">
        <v>513.25</v>
      </c>
      <c r="O856">
        <f t="shared" si="149"/>
        <v>1.5611040705523216E-3</v>
      </c>
      <c r="P856">
        <v>76.449996949999999</v>
      </c>
      <c r="Q856">
        <f t="shared" si="150"/>
        <v>-1.8613665616445285E-2</v>
      </c>
      <c r="R856">
        <v>149.3999939</v>
      </c>
      <c r="S856">
        <f t="shared" si="151"/>
        <v>1.0825377310157869E-2</v>
      </c>
      <c r="T856">
        <v>2261.3999020000001</v>
      </c>
      <c r="U856">
        <f t="shared" si="152"/>
        <v>4.4193525135127754E-3</v>
      </c>
      <c r="W856">
        <f t="shared" si="153"/>
        <v>1.4196841984634892E-3</v>
      </c>
      <c r="X856">
        <v>6.050272753068684E-4</v>
      </c>
    </row>
    <row r="857" spans="1:24" x14ac:dyDescent="0.35">
      <c r="A857" s="1">
        <v>44082</v>
      </c>
      <c r="B857">
        <v>1944.8526609999999</v>
      </c>
      <c r="C857">
        <f t="shared" si="143"/>
        <v>1.173987194214976E-2</v>
      </c>
      <c r="D857">
        <v>2348.1999510000001</v>
      </c>
      <c r="E857">
        <f t="shared" si="144"/>
        <v>9.0887181429935016E-3</v>
      </c>
      <c r="F857">
        <v>1112.4499510000001</v>
      </c>
      <c r="G857">
        <f t="shared" si="145"/>
        <v>1.7559216569114078E-3</v>
      </c>
      <c r="H857">
        <v>488.92053220000003</v>
      </c>
      <c r="I857">
        <f t="shared" si="146"/>
        <v>-3.3659881036122496E-2</v>
      </c>
      <c r="J857">
        <v>939.29998780000005</v>
      </c>
      <c r="K857">
        <f t="shared" si="147"/>
        <v>1.5404572928961358E-2</v>
      </c>
      <c r="L857">
        <v>188.1499939</v>
      </c>
      <c r="M857">
        <f t="shared" si="148"/>
        <v>-5.0238612869087929E-3</v>
      </c>
      <c r="N857">
        <v>501.89999390000003</v>
      </c>
      <c r="O857">
        <f t="shared" si="149"/>
        <v>-2.2113991427179736E-2</v>
      </c>
      <c r="P857">
        <v>74.449996949999999</v>
      </c>
      <c r="Q857">
        <f t="shared" si="150"/>
        <v>-2.6160890513939994E-2</v>
      </c>
      <c r="R857">
        <v>142.3000031</v>
      </c>
      <c r="S857">
        <f t="shared" si="151"/>
        <v>-4.7523367402225847E-2</v>
      </c>
      <c r="T857">
        <v>2246.6000979999999</v>
      </c>
      <c r="U857">
        <f t="shared" si="152"/>
        <v>-6.5445319896366705E-3</v>
      </c>
      <c r="W857">
        <f t="shared" si="153"/>
        <v>-1.0303743898499751E-2</v>
      </c>
      <c r="X857">
        <v>6.0509244281489218E-4</v>
      </c>
    </row>
    <row r="858" spans="1:24" x14ac:dyDescent="0.35">
      <c r="A858" s="1">
        <v>44083</v>
      </c>
      <c r="B858">
        <v>1994.925293</v>
      </c>
      <c r="C858">
        <f t="shared" si="143"/>
        <v>2.5746234151359237E-2</v>
      </c>
      <c r="D858">
        <v>2327.6499020000001</v>
      </c>
      <c r="E858">
        <f t="shared" si="144"/>
        <v>-8.7514050885013628E-3</v>
      </c>
      <c r="F858">
        <v>1096.5</v>
      </c>
      <c r="G858">
        <f t="shared" si="145"/>
        <v>-1.4337679628339539E-2</v>
      </c>
      <c r="H858">
        <v>494.9571838</v>
      </c>
      <c r="I858">
        <f t="shared" si="146"/>
        <v>1.234689730217875E-2</v>
      </c>
      <c r="J858">
        <v>927.75</v>
      </c>
      <c r="K858">
        <f t="shared" si="147"/>
        <v>-1.2296378100730143E-2</v>
      </c>
      <c r="L858">
        <v>183.8000031</v>
      </c>
      <c r="M858">
        <f t="shared" si="148"/>
        <v>-2.3119803034976294E-2</v>
      </c>
      <c r="N858">
        <v>509.2999878</v>
      </c>
      <c r="O858">
        <f t="shared" si="149"/>
        <v>1.4743960928348621E-2</v>
      </c>
      <c r="P858">
        <v>72.699996949999999</v>
      </c>
      <c r="Q858">
        <f t="shared" si="150"/>
        <v>-2.3505709492174787E-2</v>
      </c>
      <c r="R858">
        <v>140.1000061</v>
      </c>
      <c r="S858">
        <f t="shared" si="151"/>
        <v>-1.5460273732067042E-2</v>
      </c>
      <c r="T858">
        <v>2222.6999510000001</v>
      </c>
      <c r="U858">
        <f t="shared" si="152"/>
        <v>-1.0638362840488025E-2</v>
      </c>
      <c r="W858">
        <f t="shared" si="153"/>
        <v>-5.5272519535390589E-3</v>
      </c>
      <c r="X858">
        <v>6.1214497466345337E-4</v>
      </c>
    </row>
    <row r="859" spans="1:24" x14ac:dyDescent="0.35">
      <c r="A859" s="1">
        <v>44084</v>
      </c>
      <c r="B859">
        <v>2135.821289</v>
      </c>
      <c r="C859">
        <f t="shared" si="143"/>
        <v>7.0627204183730807E-2</v>
      </c>
      <c r="D859">
        <v>2331.1499020000001</v>
      </c>
      <c r="E859">
        <f t="shared" si="144"/>
        <v>1.5036625555211458E-3</v>
      </c>
      <c r="F859">
        <v>1090.5500489999999</v>
      </c>
      <c r="G859">
        <f t="shared" si="145"/>
        <v>-5.4263119015048877E-3</v>
      </c>
      <c r="H859">
        <v>488.18432619999999</v>
      </c>
      <c r="I859">
        <f t="shared" si="146"/>
        <v>-1.3683724212267934E-2</v>
      </c>
      <c r="J859">
        <v>940.04998780000005</v>
      </c>
      <c r="K859">
        <f t="shared" si="147"/>
        <v>1.325786882241986E-2</v>
      </c>
      <c r="L859">
        <v>184.8999939</v>
      </c>
      <c r="M859">
        <f t="shared" si="148"/>
        <v>5.9847158947081702E-3</v>
      </c>
      <c r="N859">
        <v>507.9500122</v>
      </c>
      <c r="O859">
        <f t="shared" si="149"/>
        <v>-2.6506491897465567E-3</v>
      </c>
      <c r="P859">
        <v>73.650001529999997</v>
      </c>
      <c r="Q859">
        <f t="shared" si="150"/>
        <v>1.3067463821949898E-2</v>
      </c>
      <c r="R859">
        <v>143.3000031</v>
      </c>
      <c r="S859">
        <f t="shared" si="151"/>
        <v>2.2840805572241774E-2</v>
      </c>
      <c r="T859">
        <v>2237.75</v>
      </c>
      <c r="U859">
        <f t="shared" si="152"/>
        <v>6.7710664200217874E-3</v>
      </c>
      <c r="W859">
        <f t="shared" si="153"/>
        <v>1.1229210196707407E-2</v>
      </c>
      <c r="X859">
        <v>6.4477648492562451E-4</v>
      </c>
    </row>
    <row r="860" spans="1:24" x14ac:dyDescent="0.35">
      <c r="A860" s="1">
        <v>44085</v>
      </c>
      <c r="B860">
        <v>2141.1284179999998</v>
      </c>
      <c r="C860">
        <f t="shared" si="143"/>
        <v>2.4848188504031921E-3</v>
      </c>
      <c r="D860">
        <v>2374.1000979999999</v>
      </c>
      <c r="E860">
        <f t="shared" si="144"/>
        <v>1.8424467668574529E-2</v>
      </c>
      <c r="F860">
        <v>1078.650024</v>
      </c>
      <c r="G860">
        <f t="shared" si="145"/>
        <v>-1.0911947609293038E-2</v>
      </c>
      <c r="H860">
        <v>482.58938599999999</v>
      </c>
      <c r="I860">
        <f t="shared" si="146"/>
        <v>-1.1460712480367174E-2</v>
      </c>
      <c r="J860">
        <v>945.70001219999995</v>
      </c>
      <c r="K860">
        <f t="shared" si="147"/>
        <v>6.0103446341430722E-3</v>
      </c>
      <c r="L860">
        <v>183.9499969</v>
      </c>
      <c r="M860">
        <f t="shared" si="148"/>
        <v>-5.1378963295898306E-3</v>
      </c>
      <c r="N860">
        <v>505.5499878</v>
      </c>
      <c r="O860">
        <f t="shared" si="149"/>
        <v>-4.7249224182615013E-3</v>
      </c>
      <c r="P860">
        <v>73.300003050000001</v>
      </c>
      <c r="Q860">
        <f t="shared" si="150"/>
        <v>-4.7521856446591793E-3</v>
      </c>
      <c r="R860">
        <v>144.3000031</v>
      </c>
      <c r="S860">
        <f t="shared" si="151"/>
        <v>6.9783669111449509E-3</v>
      </c>
      <c r="T860">
        <v>2239.3500979999999</v>
      </c>
      <c r="U860">
        <f t="shared" si="152"/>
        <v>7.1504770416708219E-4</v>
      </c>
      <c r="W860">
        <f t="shared" si="153"/>
        <v>-2.3746187137378984E-4</v>
      </c>
      <c r="X860">
        <v>6.5879324245966559E-4</v>
      </c>
    </row>
    <row r="861" spans="1:24" x14ac:dyDescent="0.35">
      <c r="A861" s="1">
        <v>44088</v>
      </c>
      <c r="B861">
        <v>2125.2529300000001</v>
      </c>
      <c r="C861">
        <f t="shared" si="143"/>
        <v>-7.4145426619617316E-3</v>
      </c>
      <c r="D861">
        <v>2491.3999020000001</v>
      </c>
      <c r="E861">
        <f t="shared" si="144"/>
        <v>4.9408112193254361E-2</v>
      </c>
      <c r="F861">
        <v>1057.9499510000001</v>
      </c>
      <c r="G861">
        <f t="shared" si="145"/>
        <v>-1.9190722235593261E-2</v>
      </c>
      <c r="H861">
        <v>465.36282349999999</v>
      </c>
      <c r="I861">
        <f t="shared" si="146"/>
        <v>-3.5696107290681289E-2</v>
      </c>
      <c r="J861">
        <v>978.40002440000001</v>
      </c>
      <c r="K861">
        <f t="shared" si="147"/>
        <v>3.4577574049015292E-2</v>
      </c>
      <c r="L861">
        <v>183.3500061</v>
      </c>
      <c r="M861">
        <f t="shared" si="148"/>
        <v>-3.261705953309546E-3</v>
      </c>
      <c r="N861">
        <v>495.7999878</v>
      </c>
      <c r="O861">
        <f t="shared" si="149"/>
        <v>-1.9285926684380006E-2</v>
      </c>
      <c r="P861">
        <v>73.650001529999997</v>
      </c>
      <c r="Q861">
        <f t="shared" si="150"/>
        <v>4.7748767453836827E-3</v>
      </c>
      <c r="R861">
        <v>148.5500031</v>
      </c>
      <c r="S861">
        <f t="shared" si="151"/>
        <v>2.9452528819800206E-2</v>
      </c>
      <c r="T861">
        <v>2162.6999510000001</v>
      </c>
      <c r="U861">
        <f t="shared" si="152"/>
        <v>-3.4228746576275504E-2</v>
      </c>
      <c r="W861">
        <f t="shared" si="153"/>
        <v>-8.6465959474780422E-5</v>
      </c>
      <c r="X861">
        <v>6.6186968556701791E-4</v>
      </c>
    </row>
    <row r="862" spans="1:24" x14ac:dyDescent="0.35">
      <c r="A862" s="1">
        <v>44089</v>
      </c>
      <c r="B862">
        <v>2140.2978520000001</v>
      </c>
      <c r="C862">
        <f t="shared" si="143"/>
        <v>7.0791206955305164E-3</v>
      </c>
      <c r="D862">
        <v>2491.3999020000001</v>
      </c>
      <c r="E862">
        <f t="shared" si="144"/>
        <v>0</v>
      </c>
      <c r="F862">
        <v>1070.5</v>
      </c>
      <c r="G862">
        <f t="shared" si="145"/>
        <v>1.1862611258819378E-2</v>
      </c>
      <c r="H862">
        <v>476.60180659999997</v>
      </c>
      <c r="I862">
        <f t="shared" si="146"/>
        <v>2.4151011925429344E-2</v>
      </c>
      <c r="J862">
        <v>982.45001219999995</v>
      </c>
      <c r="K862">
        <f t="shared" si="147"/>
        <v>4.1393987111597585E-3</v>
      </c>
      <c r="L862">
        <v>181.8000031</v>
      </c>
      <c r="M862">
        <f t="shared" si="148"/>
        <v>-8.4537930102638326E-3</v>
      </c>
      <c r="N862">
        <v>506.39999390000003</v>
      </c>
      <c r="O862">
        <f t="shared" si="149"/>
        <v>2.1379601373197277E-2</v>
      </c>
      <c r="P862">
        <v>73.800003050000001</v>
      </c>
      <c r="Q862">
        <f t="shared" si="150"/>
        <v>2.0366804736440258E-3</v>
      </c>
      <c r="R862">
        <v>148.3999939</v>
      </c>
      <c r="S862">
        <f t="shared" si="151"/>
        <v>-1.0098229341605203E-3</v>
      </c>
      <c r="T862">
        <v>2136.1499020000001</v>
      </c>
      <c r="U862">
        <f t="shared" si="152"/>
        <v>-1.2276344200092826E-2</v>
      </c>
      <c r="W862">
        <f t="shared" si="153"/>
        <v>4.8908464293263123E-3</v>
      </c>
      <c r="X862">
        <v>6.6545125739397881E-4</v>
      </c>
    </row>
    <row r="863" spans="1:24" x14ac:dyDescent="0.35">
      <c r="A863" s="1">
        <v>44090</v>
      </c>
      <c r="B863">
        <v>2145.5588379999999</v>
      </c>
      <c r="C863">
        <f t="shared" si="143"/>
        <v>2.4580625519403654E-3</v>
      </c>
      <c r="D863">
        <v>2503</v>
      </c>
      <c r="E863">
        <f t="shared" si="144"/>
        <v>4.6560562159001506E-3</v>
      </c>
      <c r="F863">
        <v>1093.650024</v>
      </c>
      <c r="G863">
        <f t="shared" si="145"/>
        <v>2.162543110695947E-2</v>
      </c>
      <c r="H863">
        <v>472.87182619999999</v>
      </c>
      <c r="I863">
        <f t="shared" si="146"/>
        <v>-7.8261986176868525E-3</v>
      </c>
      <c r="J863">
        <v>1001.75</v>
      </c>
      <c r="K863">
        <f t="shared" si="147"/>
        <v>1.9644752975046087E-2</v>
      </c>
      <c r="L863">
        <v>180.6499939</v>
      </c>
      <c r="M863">
        <f t="shared" si="148"/>
        <v>-6.3256830604531133E-3</v>
      </c>
      <c r="N863">
        <v>518.5</v>
      </c>
      <c r="O863">
        <f t="shared" si="149"/>
        <v>2.3894167151963686E-2</v>
      </c>
      <c r="P863">
        <v>73.050003050000001</v>
      </c>
      <c r="Q863">
        <f t="shared" si="150"/>
        <v>-1.0162601206017197E-2</v>
      </c>
      <c r="R863">
        <v>151.4499969</v>
      </c>
      <c r="S863">
        <f t="shared" si="151"/>
        <v>2.0552581707350193E-2</v>
      </c>
      <c r="T863">
        <v>2135.9499510000001</v>
      </c>
      <c r="U863">
        <f t="shared" si="152"/>
        <v>-9.3603449745183198E-5</v>
      </c>
      <c r="W863">
        <f t="shared" si="153"/>
        <v>6.8422965375257603E-3</v>
      </c>
      <c r="X863">
        <v>6.7902908976642546E-4</v>
      </c>
    </row>
    <row r="864" spans="1:24" x14ac:dyDescent="0.35">
      <c r="A864" s="1">
        <v>44091</v>
      </c>
      <c r="B864">
        <v>2121.7456050000001</v>
      </c>
      <c r="C864">
        <f t="shared" si="143"/>
        <v>-1.1098848737328249E-2</v>
      </c>
      <c r="D864">
        <v>2460.9499510000001</v>
      </c>
      <c r="E864">
        <f t="shared" si="144"/>
        <v>-1.6799859768278025E-2</v>
      </c>
      <c r="F864">
        <v>1083.599976</v>
      </c>
      <c r="G864">
        <f t="shared" si="145"/>
        <v>-9.1894552914123517E-3</v>
      </c>
      <c r="H864">
        <v>470.17251590000001</v>
      </c>
      <c r="I864">
        <f t="shared" si="146"/>
        <v>-5.7083339510658471E-3</v>
      </c>
      <c r="J864">
        <v>1011</v>
      </c>
      <c r="K864">
        <f t="shared" si="147"/>
        <v>9.2338407786374255E-3</v>
      </c>
      <c r="L864">
        <v>178.6000061</v>
      </c>
      <c r="M864">
        <f t="shared" si="148"/>
        <v>-1.134784317310733E-2</v>
      </c>
      <c r="N864">
        <v>512</v>
      </c>
      <c r="O864">
        <f t="shared" si="149"/>
        <v>-1.2536162005785889E-2</v>
      </c>
      <c r="P864">
        <v>73.150001529999997</v>
      </c>
      <c r="Q864">
        <f t="shared" si="150"/>
        <v>1.3689045287452739E-3</v>
      </c>
      <c r="R864">
        <v>147.6499939</v>
      </c>
      <c r="S864">
        <f t="shared" si="151"/>
        <v>-2.5090809361383415E-2</v>
      </c>
      <c r="T864">
        <v>2139.0500489999999</v>
      </c>
      <c r="U864">
        <f t="shared" si="152"/>
        <v>1.4513907493705069E-3</v>
      </c>
      <c r="W864">
        <f t="shared" si="153"/>
        <v>-7.9717176231607918E-3</v>
      </c>
      <c r="X864">
        <v>6.825343300064235E-4</v>
      </c>
    </row>
    <row r="865" spans="1:24" x14ac:dyDescent="0.35">
      <c r="A865" s="1">
        <v>44092</v>
      </c>
      <c r="B865">
        <v>2128.1604000000002</v>
      </c>
      <c r="C865">
        <f t="shared" si="143"/>
        <v>3.0233572700155698E-3</v>
      </c>
      <c r="D865">
        <v>2449.8999020000001</v>
      </c>
      <c r="E865">
        <f t="shared" si="144"/>
        <v>-4.4901559235326349E-3</v>
      </c>
      <c r="F865">
        <v>1057.3000489999999</v>
      </c>
      <c r="G865">
        <f t="shared" si="145"/>
        <v>-2.4270881859081994E-2</v>
      </c>
      <c r="H865">
        <v>485.43594359999997</v>
      </c>
      <c r="I865">
        <f t="shared" si="146"/>
        <v>3.2463462205532867E-2</v>
      </c>
      <c r="J865">
        <v>1002.150024</v>
      </c>
      <c r="K865">
        <f t="shared" si="147"/>
        <v>-8.7536854599405967E-3</v>
      </c>
      <c r="L865">
        <v>179.1000061</v>
      </c>
      <c r="M865">
        <f t="shared" si="148"/>
        <v>2.7995519760510845E-3</v>
      </c>
      <c r="N865">
        <v>523.34997559999999</v>
      </c>
      <c r="O865">
        <f t="shared" si="149"/>
        <v>2.2167921093749987E-2</v>
      </c>
      <c r="P865">
        <v>74.300003050000001</v>
      </c>
      <c r="Q865">
        <f t="shared" si="150"/>
        <v>1.5721141434677399E-2</v>
      </c>
      <c r="R865">
        <v>147.8999939</v>
      </c>
      <c r="S865">
        <f t="shared" si="151"/>
        <v>1.693193432634521E-3</v>
      </c>
      <c r="T865">
        <v>2149.0500489999999</v>
      </c>
      <c r="U865">
        <f t="shared" si="152"/>
        <v>4.6749724274450788E-3</v>
      </c>
      <c r="W865">
        <f t="shared" si="153"/>
        <v>4.5028876597551278E-3</v>
      </c>
      <c r="X865">
        <v>7.0937106931894282E-4</v>
      </c>
    </row>
    <row r="866" spans="1:24" x14ac:dyDescent="0.35">
      <c r="A866" s="1">
        <v>44095</v>
      </c>
      <c r="B866">
        <v>2082.1489259999998</v>
      </c>
      <c r="C866">
        <f t="shared" si="143"/>
        <v>-2.1620303619971692E-2</v>
      </c>
      <c r="D866">
        <v>2465.3000489999999</v>
      </c>
      <c r="E866">
        <f t="shared" si="144"/>
        <v>6.286031109853818E-3</v>
      </c>
      <c r="F866">
        <v>1049.3000489999999</v>
      </c>
      <c r="G866">
        <f t="shared" si="145"/>
        <v>-7.5664424754037229E-3</v>
      </c>
      <c r="H866">
        <v>459.1298218</v>
      </c>
      <c r="I866">
        <f t="shared" si="146"/>
        <v>-5.4190716915013315E-2</v>
      </c>
      <c r="J866">
        <v>1009.900024</v>
      </c>
      <c r="K866">
        <f t="shared" si="147"/>
        <v>7.7333730623150299E-3</v>
      </c>
      <c r="L866">
        <v>175.75</v>
      </c>
      <c r="M866">
        <f t="shared" si="148"/>
        <v>-1.8704667704642852E-2</v>
      </c>
      <c r="N866">
        <v>503.64999390000003</v>
      </c>
      <c r="O866">
        <f t="shared" si="149"/>
        <v>-3.7642080096430108E-2</v>
      </c>
      <c r="P866">
        <v>71.150001529999997</v>
      </c>
      <c r="Q866">
        <f t="shared" si="150"/>
        <v>-4.2395711853204343E-2</v>
      </c>
      <c r="R866">
        <v>137.4499969</v>
      </c>
      <c r="S866">
        <f t="shared" si="151"/>
        <v>-7.0655831176474448E-2</v>
      </c>
      <c r="T866">
        <v>2097.4499510000001</v>
      </c>
      <c r="U866">
        <f t="shared" si="152"/>
        <v>-2.4010654393093578E-2</v>
      </c>
      <c r="W866">
        <f t="shared" si="153"/>
        <v>-2.627670040620652E-2</v>
      </c>
      <c r="X866">
        <v>7.2237945518107728E-4</v>
      </c>
    </row>
    <row r="867" spans="1:24" x14ac:dyDescent="0.35">
      <c r="A867" s="1">
        <v>44096</v>
      </c>
      <c r="B867">
        <v>2040.8907469999999</v>
      </c>
      <c r="C867">
        <f t="shared" si="143"/>
        <v>-1.9815191163708334E-2</v>
      </c>
      <c r="D867">
        <v>2522.9499510000001</v>
      </c>
      <c r="E867">
        <f t="shared" si="144"/>
        <v>2.3384537725290144E-2</v>
      </c>
      <c r="F867">
        <v>1035.400024</v>
      </c>
      <c r="G867">
        <f t="shared" si="145"/>
        <v>-1.3246949729247448E-2</v>
      </c>
      <c r="H867">
        <v>462.27087399999999</v>
      </c>
      <c r="I867">
        <f t="shared" si="146"/>
        <v>6.8413160088047764E-3</v>
      </c>
      <c r="J867">
        <v>1007.5</v>
      </c>
      <c r="K867">
        <f t="shared" si="147"/>
        <v>-2.3764966263630782E-3</v>
      </c>
      <c r="L867">
        <v>174.1999969</v>
      </c>
      <c r="M867">
        <f t="shared" si="148"/>
        <v>-8.8193633001422134E-3</v>
      </c>
      <c r="N867">
        <v>508.85000609999997</v>
      </c>
      <c r="O867">
        <f t="shared" si="149"/>
        <v>1.0324654547761991E-2</v>
      </c>
      <c r="P867">
        <v>69.5</v>
      </c>
      <c r="Q867">
        <f t="shared" si="150"/>
        <v>-2.3190463731814326E-2</v>
      </c>
      <c r="R867">
        <v>133.1000061</v>
      </c>
      <c r="S867">
        <f t="shared" si="151"/>
        <v>-3.1647805733781009E-2</v>
      </c>
      <c r="T867">
        <v>2049.3000489999999</v>
      </c>
      <c r="U867">
        <f t="shared" si="152"/>
        <v>-2.2956400927251597E-2</v>
      </c>
      <c r="W867">
        <f t="shared" si="153"/>
        <v>-8.1502162930451108E-3</v>
      </c>
      <c r="X867">
        <v>7.2709391068711572E-4</v>
      </c>
    </row>
    <row r="868" spans="1:24" x14ac:dyDescent="0.35">
      <c r="A868" s="1">
        <v>44097</v>
      </c>
      <c r="B868">
        <v>2059.0275879999999</v>
      </c>
      <c r="C868">
        <f t="shared" si="143"/>
        <v>8.8867280263091875E-3</v>
      </c>
      <c r="D868">
        <v>2467.4499510000001</v>
      </c>
      <c r="E868">
        <f t="shared" si="144"/>
        <v>-2.1998058256368469E-2</v>
      </c>
      <c r="F868">
        <v>1047.25</v>
      </c>
      <c r="G868">
        <f t="shared" si="145"/>
        <v>1.1444828786289385E-2</v>
      </c>
      <c r="H868">
        <v>425.80551150000002</v>
      </c>
      <c r="I868">
        <f t="shared" si="146"/>
        <v>-7.8883106314848628E-2</v>
      </c>
      <c r="J868">
        <v>1019.75</v>
      </c>
      <c r="K868">
        <f t="shared" si="147"/>
        <v>1.2158808933002474E-2</v>
      </c>
      <c r="L868">
        <v>172.5</v>
      </c>
      <c r="M868">
        <f t="shared" si="148"/>
        <v>-9.7588801966276284E-3</v>
      </c>
      <c r="N868">
        <v>502.89999390000003</v>
      </c>
      <c r="O868">
        <f t="shared" si="149"/>
        <v>-1.1693057145862773E-2</v>
      </c>
      <c r="P868">
        <v>67.650001529999997</v>
      </c>
      <c r="Q868">
        <f t="shared" si="150"/>
        <v>-2.6618683021582767E-2</v>
      </c>
      <c r="R868">
        <v>131.3999939</v>
      </c>
      <c r="S868">
        <f t="shared" si="151"/>
        <v>-1.2772442690368924E-2</v>
      </c>
      <c r="T868">
        <v>2055.3000489999999</v>
      </c>
      <c r="U868">
        <f t="shared" si="152"/>
        <v>2.927828944779387E-3</v>
      </c>
      <c r="W868">
        <f t="shared" si="153"/>
        <v>-1.2630603293527878E-2</v>
      </c>
      <c r="X868">
        <v>7.4262985842252823E-4</v>
      </c>
    </row>
    <row r="869" spans="1:24" x14ac:dyDescent="0.35">
      <c r="A869" s="1">
        <v>44098</v>
      </c>
      <c r="B869">
        <v>2013.246948</v>
      </c>
      <c r="C869">
        <f t="shared" si="143"/>
        <v>-2.2234107142035997E-2</v>
      </c>
      <c r="D869">
        <v>2332.25</v>
      </c>
      <c r="E869">
        <f t="shared" si="144"/>
        <v>-5.4793391430373983E-2</v>
      </c>
      <c r="F869">
        <v>1030.400024</v>
      </c>
      <c r="G869">
        <f t="shared" si="145"/>
        <v>-1.6089735975173047E-2</v>
      </c>
      <c r="H869">
        <v>411.57272339999997</v>
      </c>
      <c r="I869">
        <f t="shared" si="146"/>
        <v>-3.3425561002866533E-2</v>
      </c>
      <c r="J869">
        <v>975.40002440000001</v>
      </c>
      <c r="K869">
        <f t="shared" si="147"/>
        <v>-4.3491027800931614E-2</v>
      </c>
      <c r="L869">
        <v>166.5500031</v>
      </c>
      <c r="M869">
        <f t="shared" si="148"/>
        <v>-3.4492735652173923E-2</v>
      </c>
      <c r="N869">
        <v>485.7999878</v>
      </c>
      <c r="O869">
        <f t="shared" si="149"/>
        <v>-3.4002796395738888E-2</v>
      </c>
      <c r="P869">
        <v>66.650001529999997</v>
      </c>
      <c r="Q869">
        <f t="shared" si="150"/>
        <v>-1.4781965667163277E-2</v>
      </c>
      <c r="R869">
        <v>122.8000031</v>
      </c>
      <c r="S869">
        <f t="shared" si="151"/>
        <v>-6.5448943677614557E-2</v>
      </c>
      <c r="T869">
        <v>2047.349976</v>
      </c>
      <c r="U869">
        <f t="shared" si="152"/>
        <v>-3.8680838857898525E-3</v>
      </c>
      <c r="W869">
        <f t="shared" si="153"/>
        <v>-3.2262834862986166E-2</v>
      </c>
      <c r="X869">
        <v>7.4822251683486179E-4</v>
      </c>
    </row>
    <row r="870" spans="1:24" x14ac:dyDescent="0.35">
      <c r="A870" s="1">
        <v>44099</v>
      </c>
      <c r="B870">
        <v>2032.1683350000001</v>
      </c>
      <c r="C870">
        <f t="shared" si="143"/>
        <v>9.3984431561149329E-3</v>
      </c>
      <c r="D870">
        <v>2422.3000489999999</v>
      </c>
      <c r="E870">
        <f t="shared" si="144"/>
        <v>3.8610804587844383E-2</v>
      </c>
      <c r="F870">
        <v>1044</v>
      </c>
      <c r="G870">
        <f t="shared" si="145"/>
        <v>1.3198734164625803E-2</v>
      </c>
      <c r="H870">
        <v>431.54769900000002</v>
      </c>
      <c r="I870">
        <f t="shared" si="146"/>
        <v>4.8533283340516098E-2</v>
      </c>
      <c r="J870">
        <v>1011.450012</v>
      </c>
      <c r="K870">
        <f t="shared" si="147"/>
        <v>3.6959182589907602E-2</v>
      </c>
      <c r="L870">
        <v>170.75</v>
      </c>
      <c r="M870">
        <f t="shared" si="148"/>
        <v>2.5217633274243978E-2</v>
      </c>
      <c r="N870">
        <v>489.64999390000003</v>
      </c>
      <c r="O870">
        <f t="shared" si="149"/>
        <v>7.9250848017415887E-3</v>
      </c>
      <c r="P870">
        <v>68.900001529999997</v>
      </c>
      <c r="Q870">
        <f t="shared" si="150"/>
        <v>3.3758438834952553E-2</v>
      </c>
      <c r="R870">
        <v>127.25</v>
      </c>
      <c r="S870">
        <f t="shared" si="151"/>
        <v>3.623775885719005E-2</v>
      </c>
      <c r="T870">
        <v>2102.6999510000001</v>
      </c>
      <c r="U870">
        <f t="shared" si="152"/>
        <v>2.70349357212194E-2</v>
      </c>
      <c r="W870">
        <f t="shared" si="153"/>
        <v>2.7687429932835642E-2</v>
      </c>
      <c r="X870">
        <v>7.6188317999288397E-4</v>
      </c>
    </row>
    <row r="871" spans="1:24" x14ac:dyDescent="0.35">
      <c r="A871" s="1">
        <v>44102</v>
      </c>
      <c r="B871">
        <v>2045.5980219999999</v>
      </c>
      <c r="C871">
        <f t="shared" si="143"/>
        <v>6.60855046735076E-3</v>
      </c>
      <c r="D871">
        <v>2426.3000489999999</v>
      </c>
      <c r="E871">
        <f t="shared" si="144"/>
        <v>1.6513230892478692E-3</v>
      </c>
      <c r="F871">
        <v>1054.1999510000001</v>
      </c>
      <c r="G871">
        <f t="shared" si="145"/>
        <v>9.770068007662891E-3</v>
      </c>
      <c r="H871">
        <v>435.47396850000001</v>
      </c>
      <c r="I871">
        <f t="shared" si="146"/>
        <v>9.0981124661262402E-3</v>
      </c>
      <c r="J871">
        <v>1010.400024</v>
      </c>
      <c r="K871">
        <f t="shared" si="147"/>
        <v>-1.0381017228164868E-3</v>
      </c>
      <c r="L871">
        <v>173.3000031</v>
      </c>
      <c r="M871">
        <f t="shared" si="148"/>
        <v>1.4934132357247387E-2</v>
      </c>
      <c r="N871">
        <v>510.10000609999997</v>
      </c>
      <c r="O871">
        <f t="shared" si="149"/>
        <v>4.1764551117662974E-2</v>
      </c>
      <c r="P871">
        <v>71.849998470000003</v>
      </c>
      <c r="Q871">
        <f t="shared" si="150"/>
        <v>4.2815629528187182E-2</v>
      </c>
      <c r="R871">
        <v>132.8500061</v>
      </c>
      <c r="S871">
        <f t="shared" si="151"/>
        <v>4.4007906483300552E-2</v>
      </c>
      <c r="T871">
        <v>2108.3999020000001</v>
      </c>
      <c r="U871">
        <f t="shared" si="152"/>
        <v>2.7107771592846941E-3</v>
      </c>
      <c r="W871">
        <f t="shared" si="153"/>
        <v>1.7232294895325406E-2</v>
      </c>
      <c r="X871">
        <v>7.6612442044234899E-4</v>
      </c>
    </row>
    <row r="872" spans="1:24" x14ac:dyDescent="0.35">
      <c r="A872" s="1">
        <v>44103</v>
      </c>
      <c r="B872">
        <v>2072.1804200000001</v>
      </c>
      <c r="C872">
        <f t="shared" si="143"/>
        <v>1.2994927504872411E-2</v>
      </c>
      <c r="D872">
        <v>2488.3999020000001</v>
      </c>
      <c r="E872">
        <f t="shared" si="144"/>
        <v>2.5594465542542633E-2</v>
      </c>
      <c r="F872">
        <v>1062.5500489999999</v>
      </c>
      <c r="G872">
        <f t="shared" si="145"/>
        <v>7.9207914893935083E-3</v>
      </c>
      <c r="H872">
        <v>427.57232670000002</v>
      </c>
      <c r="I872">
        <f t="shared" si="146"/>
        <v>-1.8144923397413137E-2</v>
      </c>
      <c r="J872">
        <v>1009</v>
      </c>
      <c r="K872">
        <f t="shared" si="147"/>
        <v>-1.3856135854565244E-3</v>
      </c>
      <c r="L872">
        <v>169.3999939</v>
      </c>
      <c r="M872">
        <f t="shared" si="148"/>
        <v>-2.2504380439910099E-2</v>
      </c>
      <c r="N872">
        <v>506.14999390000003</v>
      </c>
      <c r="O872">
        <f t="shared" si="149"/>
        <v>-7.7436035145342919E-3</v>
      </c>
      <c r="P872">
        <v>69.150001529999997</v>
      </c>
      <c r="Q872">
        <f t="shared" si="150"/>
        <v>-3.7578246311687158E-2</v>
      </c>
      <c r="R872">
        <v>131.6999969</v>
      </c>
      <c r="S872">
        <f t="shared" si="151"/>
        <v>-8.6564482287968536E-3</v>
      </c>
      <c r="T872">
        <v>2133.25</v>
      </c>
      <c r="U872">
        <f t="shared" si="152"/>
        <v>1.1786235607593953E-2</v>
      </c>
      <c r="W872">
        <f t="shared" si="153"/>
        <v>-3.7716795333395566E-3</v>
      </c>
      <c r="X872">
        <v>7.6833653622837518E-4</v>
      </c>
    </row>
    <row r="873" spans="1:24" x14ac:dyDescent="0.35">
      <c r="A873" s="1">
        <v>44104</v>
      </c>
      <c r="B873">
        <v>2062.304443</v>
      </c>
      <c r="C873">
        <f t="shared" si="143"/>
        <v>-4.7659831666588826E-3</v>
      </c>
      <c r="D873">
        <v>2492.3000489999999</v>
      </c>
      <c r="E873">
        <f t="shared" si="144"/>
        <v>1.5673312785720039E-3</v>
      </c>
      <c r="F873">
        <v>1078.599976</v>
      </c>
      <c r="G873">
        <f t="shared" si="145"/>
        <v>1.5105102122112024E-2</v>
      </c>
      <c r="H873">
        <v>413.1923218</v>
      </c>
      <c r="I873">
        <f t="shared" si="146"/>
        <v>-3.363174836637528E-2</v>
      </c>
      <c r="J873">
        <v>1008.25</v>
      </c>
      <c r="K873">
        <f t="shared" si="147"/>
        <v>-7.4331020812690163E-4</v>
      </c>
      <c r="L873">
        <v>171.6999969</v>
      </c>
      <c r="M873">
        <f t="shared" si="148"/>
        <v>1.3577349957625939E-2</v>
      </c>
      <c r="N873">
        <v>500.4500122</v>
      </c>
      <c r="O873">
        <f t="shared" si="149"/>
        <v>-1.1261447730306906E-2</v>
      </c>
      <c r="P873">
        <v>69.25</v>
      </c>
      <c r="Q873">
        <f t="shared" si="150"/>
        <v>1.4461094401656549E-3</v>
      </c>
      <c r="R873">
        <v>133.3000031</v>
      </c>
      <c r="S873">
        <f t="shared" si="151"/>
        <v>1.214887044541757E-2</v>
      </c>
      <c r="T873">
        <v>2203.1499020000001</v>
      </c>
      <c r="U873">
        <f t="shared" si="152"/>
        <v>3.2766859017930416E-2</v>
      </c>
      <c r="W873">
        <f t="shared" si="153"/>
        <v>2.6209132790355636E-3</v>
      </c>
      <c r="X873">
        <v>7.7349666049950625E-4</v>
      </c>
    </row>
    <row r="874" spans="1:24" x14ac:dyDescent="0.35">
      <c r="A874" s="1">
        <v>44105</v>
      </c>
      <c r="B874">
        <v>2053.905029</v>
      </c>
      <c r="C874">
        <f t="shared" si="143"/>
        <v>-4.0728293189251641E-3</v>
      </c>
      <c r="D874">
        <v>2523.4499510000001</v>
      </c>
      <c r="E874">
        <f t="shared" si="144"/>
        <v>1.2498455798890973E-2</v>
      </c>
      <c r="F874">
        <v>1106.9499510000001</v>
      </c>
      <c r="G874">
        <f t="shared" si="145"/>
        <v>2.6284049351768202E-2</v>
      </c>
      <c r="H874">
        <v>424.38223269999997</v>
      </c>
      <c r="I874">
        <f t="shared" si="146"/>
        <v>2.7081604157727535E-2</v>
      </c>
      <c r="J874">
        <v>1017.650024</v>
      </c>
      <c r="K874">
        <f t="shared" si="147"/>
        <v>9.3231083560625372E-3</v>
      </c>
      <c r="L874">
        <v>170.8500061</v>
      </c>
      <c r="M874">
        <f t="shared" si="148"/>
        <v>-4.9504415570551519E-3</v>
      </c>
      <c r="N874">
        <v>506.89999390000003</v>
      </c>
      <c r="O874">
        <f t="shared" si="149"/>
        <v>1.2888363558321458E-2</v>
      </c>
      <c r="P874">
        <v>69.150001529999997</v>
      </c>
      <c r="Q874">
        <f t="shared" si="150"/>
        <v>-1.4440212274368092E-3</v>
      </c>
      <c r="R874">
        <v>133.5</v>
      </c>
      <c r="S874">
        <f t="shared" si="151"/>
        <v>1.5003518030676233E-3</v>
      </c>
      <c r="T874">
        <v>2184.8000489999999</v>
      </c>
      <c r="U874">
        <f t="shared" si="152"/>
        <v>-8.3289171487342939E-3</v>
      </c>
      <c r="W874">
        <f t="shared" si="153"/>
        <v>7.0779723773686911E-3</v>
      </c>
      <c r="X874">
        <v>7.7972356688365044E-4</v>
      </c>
    </row>
    <row r="875" spans="1:24" x14ac:dyDescent="0.35">
      <c r="A875" s="1">
        <v>44109</v>
      </c>
      <c r="B875">
        <v>2041.8598629999999</v>
      </c>
      <c r="C875">
        <f t="shared" si="143"/>
        <v>-5.8645194543706092E-3</v>
      </c>
      <c r="D875">
        <v>2705.8000489999999</v>
      </c>
      <c r="E875">
        <f t="shared" si="144"/>
        <v>7.2262220983514203E-2</v>
      </c>
      <c r="F875">
        <v>1114.349976</v>
      </c>
      <c r="G875">
        <f t="shared" si="145"/>
        <v>6.6850583382878082E-3</v>
      </c>
      <c r="H875">
        <v>416.62780759999998</v>
      </c>
      <c r="I875">
        <f t="shared" si="146"/>
        <v>-1.827226613768651E-2</v>
      </c>
      <c r="J875">
        <v>1048.6999510000001</v>
      </c>
      <c r="K875">
        <f t="shared" si="147"/>
        <v>3.0511400056725257E-2</v>
      </c>
      <c r="L875">
        <v>169.25</v>
      </c>
      <c r="M875">
        <f t="shared" si="148"/>
        <v>-9.3649753753213272E-3</v>
      </c>
      <c r="N875">
        <v>523.09997559999999</v>
      </c>
      <c r="O875">
        <f t="shared" si="149"/>
        <v>3.1958930548331876E-2</v>
      </c>
      <c r="P875">
        <v>69.199996949999999</v>
      </c>
      <c r="Q875">
        <f t="shared" si="150"/>
        <v>7.2299955016363882E-4</v>
      </c>
      <c r="R875">
        <v>133.8999939</v>
      </c>
      <c r="S875">
        <f t="shared" si="151"/>
        <v>2.9962089887640708E-3</v>
      </c>
      <c r="T875">
        <v>2110.4499510000001</v>
      </c>
      <c r="U875">
        <f t="shared" si="152"/>
        <v>-3.4030618973132309E-2</v>
      </c>
      <c r="W875">
        <f t="shared" si="153"/>
        <v>7.7604438525276116E-3</v>
      </c>
      <c r="X875">
        <v>7.8238647217746546E-4</v>
      </c>
    </row>
    <row r="876" spans="1:24" x14ac:dyDescent="0.35">
      <c r="A876" s="1">
        <v>44110</v>
      </c>
      <c r="B876">
        <v>2040.1523440000001</v>
      </c>
      <c r="C876">
        <f t="shared" si="143"/>
        <v>-8.3625670445919287E-4</v>
      </c>
      <c r="D876">
        <v>2714.3000489999999</v>
      </c>
      <c r="E876">
        <f t="shared" si="144"/>
        <v>3.141399898762387E-3</v>
      </c>
      <c r="F876">
        <v>1144.099976</v>
      </c>
      <c r="G876">
        <f t="shared" si="145"/>
        <v>2.6697178301908986E-2</v>
      </c>
      <c r="H876">
        <v>418.88543700000002</v>
      </c>
      <c r="I876">
        <f t="shared" si="146"/>
        <v>5.4188159283106163E-3</v>
      </c>
      <c r="J876">
        <v>1055.75</v>
      </c>
      <c r="K876">
        <f t="shared" si="147"/>
        <v>6.7226559830362298E-3</v>
      </c>
      <c r="L876">
        <v>169.8999939</v>
      </c>
      <c r="M876">
        <f t="shared" si="148"/>
        <v>3.8404366322009054E-3</v>
      </c>
      <c r="N876">
        <v>521.04998780000005</v>
      </c>
      <c r="O876">
        <f t="shared" si="149"/>
        <v>-3.9189216127348825E-3</v>
      </c>
      <c r="P876">
        <v>69.349998470000003</v>
      </c>
      <c r="Q876">
        <f t="shared" si="150"/>
        <v>2.1676521186611009E-3</v>
      </c>
      <c r="R876">
        <v>144.75</v>
      </c>
      <c r="S876">
        <f t="shared" si="151"/>
        <v>8.103066911342105E-2</v>
      </c>
      <c r="T876">
        <v>2083.0500489999999</v>
      </c>
      <c r="U876">
        <f t="shared" si="152"/>
        <v>-1.2982966967312937E-2</v>
      </c>
      <c r="W876">
        <f t="shared" si="153"/>
        <v>1.1128066269179428E-2</v>
      </c>
      <c r="X876">
        <v>7.8596646961825989E-4</v>
      </c>
    </row>
    <row r="877" spans="1:24" x14ac:dyDescent="0.35">
      <c r="A877" s="1">
        <v>44111</v>
      </c>
      <c r="B877">
        <v>2083.671875</v>
      </c>
      <c r="C877">
        <f t="shared" si="143"/>
        <v>2.1331510427635036E-2</v>
      </c>
      <c r="D877">
        <v>2735.9499510000001</v>
      </c>
      <c r="E877">
        <f t="shared" si="144"/>
        <v>7.9762375600207491E-3</v>
      </c>
      <c r="F877">
        <v>1162.25</v>
      </c>
      <c r="G877">
        <f t="shared" si="145"/>
        <v>1.5864019212251002E-2</v>
      </c>
      <c r="H877">
        <v>414.66467290000003</v>
      </c>
      <c r="I877">
        <f t="shared" si="146"/>
        <v>-1.0076177702019296E-2</v>
      </c>
      <c r="J877">
        <v>1066.5500489999999</v>
      </c>
      <c r="K877">
        <f t="shared" si="147"/>
        <v>1.0229740942457877E-2</v>
      </c>
      <c r="L877">
        <v>169.5</v>
      </c>
      <c r="M877">
        <f t="shared" si="148"/>
        <v>-2.3542902552158296E-3</v>
      </c>
      <c r="N877">
        <v>511.75</v>
      </c>
      <c r="O877">
        <f t="shared" si="149"/>
        <v>-1.7848551996454076E-2</v>
      </c>
      <c r="P877">
        <v>70.5</v>
      </c>
      <c r="Q877">
        <f t="shared" si="150"/>
        <v>1.6582574698937869E-2</v>
      </c>
      <c r="R877">
        <v>141</v>
      </c>
      <c r="S877">
        <f t="shared" si="151"/>
        <v>-2.5906735751295318E-2</v>
      </c>
      <c r="T877">
        <v>2066.1000979999999</v>
      </c>
      <c r="U877">
        <f t="shared" si="152"/>
        <v>-8.1370829318945237E-3</v>
      </c>
      <c r="W877">
        <f t="shared" si="153"/>
        <v>7.6612442044234899E-4</v>
      </c>
      <c r="X877">
        <v>8.0363447093476656E-4</v>
      </c>
    </row>
    <row r="878" spans="1:24" x14ac:dyDescent="0.35">
      <c r="A878" s="1">
        <v>44112</v>
      </c>
      <c r="B878">
        <v>2066.826904</v>
      </c>
      <c r="C878">
        <f t="shared" si="143"/>
        <v>-8.0842723857372789E-3</v>
      </c>
      <c r="D878">
        <v>2825.6999510000001</v>
      </c>
      <c r="E878">
        <f t="shared" si="144"/>
        <v>3.2803962648218832E-2</v>
      </c>
      <c r="F878">
        <v>1191.8000489999999</v>
      </c>
      <c r="G878">
        <f t="shared" si="145"/>
        <v>2.5424864702086492E-2</v>
      </c>
      <c r="H878">
        <v>416.62780759999998</v>
      </c>
      <c r="I878">
        <f t="shared" si="146"/>
        <v>4.7342704317456796E-3</v>
      </c>
      <c r="J878">
        <v>1093.6999510000001</v>
      </c>
      <c r="K878">
        <f t="shared" si="147"/>
        <v>2.5455816185518731E-2</v>
      </c>
      <c r="L878">
        <v>167.1499939</v>
      </c>
      <c r="M878">
        <f t="shared" si="148"/>
        <v>-1.3864342772861415E-2</v>
      </c>
      <c r="N878">
        <v>524.09997559999999</v>
      </c>
      <c r="O878">
        <f t="shared" si="149"/>
        <v>2.4132829702002923E-2</v>
      </c>
      <c r="P878">
        <v>68.449996949999999</v>
      </c>
      <c r="Q878">
        <f t="shared" si="150"/>
        <v>-2.907805744680847E-2</v>
      </c>
      <c r="R878">
        <v>140.9499969</v>
      </c>
      <c r="S878">
        <f t="shared" si="151"/>
        <v>-3.5463191489359946E-4</v>
      </c>
      <c r="T878">
        <v>2065.3500979999999</v>
      </c>
      <c r="U878">
        <f t="shared" si="152"/>
        <v>-3.6300274160283585E-4</v>
      </c>
      <c r="W878">
        <f t="shared" si="153"/>
        <v>6.080743640766907E-3</v>
      </c>
      <c r="X878">
        <v>8.3024629246046761E-4</v>
      </c>
    </row>
    <row r="879" spans="1:24" x14ac:dyDescent="0.35">
      <c r="A879" s="1">
        <v>44113</v>
      </c>
      <c r="B879">
        <v>2061.4736330000001</v>
      </c>
      <c r="C879">
        <f t="shared" si="143"/>
        <v>-2.5900915986915019E-3</v>
      </c>
      <c r="D879">
        <v>2812.9499510000001</v>
      </c>
      <c r="E879">
        <f t="shared" si="144"/>
        <v>-4.5121563581044244E-3</v>
      </c>
      <c r="F879">
        <v>1233.5500489999999</v>
      </c>
      <c r="G879">
        <f t="shared" si="145"/>
        <v>3.5031044037152848E-2</v>
      </c>
      <c r="H879">
        <v>417.36398320000001</v>
      </c>
      <c r="I879">
        <f t="shared" si="146"/>
        <v>1.7669862322460261E-3</v>
      </c>
      <c r="J879">
        <v>1106.8000489999999</v>
      </c>
      <c r="K879">
        <f t="shared" si="147"/>
        <v>1.1977780549429662E-2</v>
      </c>
      <c r="L879">
        <v>167.8500061</v>
      </c>
      <c r="M879">
        <f t="shared" si="148"/>
        <v>4.1879283610311013E-3</v>
      </c>
      <c r="N879">
        <v>512.90002440000001</v>
      </c>
      <c r="O879">
        <f t="shared" si="149"/>
        <v>-2.1369875446336506E-2</v>
      </c>
      <c r="P879">
        <v>70.300003050000001</v>
      </c>
      <c r="Q879">
        <f t="shared" si="150"/>
        <v>2.7027117347446561E-2</v>
      </c>
      <c r="R879">
        <v>138.4499969</v>
      </c>
      <c r="S879">
        <f t="shared" si="151"/>
        <v>-1.7736786484455758E-2</v>
      </c>
      <c r="T879">
        <v>2057.6000979999999</v>
      </c>
      <c r="U879">
        <f t="shared" si="152"/>
        <v>-3.7523904579203071E-3</v>
      </c>
      <c r="W879">
        <f t="shared" si="153"/>
        <v>3.0029556181797698E-3</v>
      </c>
      <c r="X879">
        <v>8.3756294532240155E-4</v>
      </c>
    </row>
    <row r="880" spans="1:24" x14ac:dyDescent="0.35">
      <c r="A880" s="1">
        <v>44116</v>
      </c>
      <c r="B880">
        <v>2064.7963869999999</v>
      </c>
      <c r="C880">
        <f t="shared" si="143"/>
        <v>1.6118343435536087E-3</v>
      </c>
      <c r="D880">
        <v>2830</v>
      </c>
      <c r="E880">
        <f t="shared" si="144"/>
        <v>6.0612699468536313E-3</v>
      </c>
      <c r="F880">
        <v>1213.650024</v>
      </c>
      <c r="G880">
        <f t="shared" si="145"/>
        <v>-1.6132320708131975E-2</v>
      </c>
      <c r="H880">
        <v>407.40103149999999</v>
      </c>
      <c r="I880">
        <f t="shared" si="146"/>
        <v>-2.3871134312099418E-2</v>
      </c>
      <c r="J880">
        <v>1132.099976</v>
      </c>
      <c r="K880">
        <f t="shared" si="147"/>
        <v>2.2858624755987877E-2</v>
      </c>
      <c r="L880">
        <v>172.1999969</v>
      </c>
      <c r="M880">
        <f t="shared" si="148"/>
        <v>2.5915940672700311E-2</v>
      </c>
      <c r="N880">
        <v>513.90002440000001</v>
      </c>
      <c r="O880">
        <f t="shared" si="149"/>
        <v>1.9496977040891483E-3</v>
      </c>
      <c r="P880">
        <v>69.150001529999997</v>
      </c>
      <c r="Q880">
        <f t="shared" si="150"/>
        <v>-1.6358484638785531E-2</v>
      </c>
      <c r="R880">
        <v>135.8999939</v>
      </c>
      <c r="S880">
        <f t="shared" si="151"/>
        <v>-1.841822359766343E-2</v>
      </c>
      <c r="T880">
        <v>2002.599976</v>
      </c>
      <c r="U880">
        <f t="shared" si="152"/>
        <v>-2.6730229092358782E-2</v>
      </c>
      <c r="W880">
        <f t="shared" si="153"/>
        <v>-4.3113024925854563E-3</v>
      </c>
      <c r="X880">
        <v>8.3823865839856033E-4</v>
      </c>
    </row>
    <row r="881" spans="1:24" x14ac:dyDescent="0.35">
      <c r="A881" s="1">
        <v>44117</v>
      </c>
      <c r="B881">
        <v>2105.0854490000002</v>
      </c>
      <c r="C881">
        <f t="shared" si="143"/>
        <v>1.9512365603534088E-2</v>
      </c>
      <c r="D881">
        <v>2826.5500489999999</v>
      </c>
      <c r="E881">
        <f t="shared" si="144"/>
        <v>-1.2190639575971884E-3</v>
      </c>
      <c r="F881">
        <v>1198.4499510000001</v>
      </c>
      <c r="G881">
        <f t="shared" si="145"/>
        <v>-1.2524263749365661E-2</v>
      </c>
      <c r="H881">
        <v>407.64642329999998</v>
      </c>
      <c r="I881">
        <f t="shared" si="146"/>
        <v>6.023347537842394E-4</v>
      </c>
      <c r="J881">
        <v>1157.8000489999999</v>
      </c>
      <c r="K881">
        <f t="shared" si="147"/>
        <v>2.2701239771071302E-2</v>
      </c>
      <c r="L881">
        <v>170.1499939</v>
      </c>
      <c r="M881">
        <f t="shared" si="148"/>
        <v>-1.1904779540678367E-2</v>
      </c>
      <c r="N881">
        <v>503.14999390000003</v>
      </c>
      <c r="O881">
        <f t="shared" si="149"/>
        <v>-2.0918524984604003E-2</v>
      </c>
      <c r="P881">
        <v>69.099998470000003</v>
      </c>
      <c r="Q881">
        <f t="shared" si="150"/>
        <v>-7.2311003461511536E-4</v>
      </c>
      <c r="R881">
        <v>134.1000061</v>
      </c>
      <c r="S881">
        <f t="shared" si="151"/>
        <v>-1.3244943935203479E-2</v>
      </c>
      <c r="T881">
        <v>1977.4499510000001</v>
      </c>
      <c r="U881">
        <f t="shared" si="152"/>
        <v>-1.2558686358438265E-2</v>
      </c>
      <c r="W881">
        <f t="shared" si="153"/>
        <v>-3.0277432432112457E-3</v>
      </c>
      <c r="X881">
        <v>8.4110807200282755E-4</v>
      </c>
    </row>
    <row r="882" spans="1:24" x14ac:dyDescent="0.35">
      <c r="A882" s="1">
        <v>44118</v>
      </c>
      <c r="B882">
        <v>2111.3618160000001</v>
      </c>
      <c r="C882">
        <f t="shared" si="143"/>
        <v>2.9815260007528543E-3</v>
      </c>
      <c r="D882">
        <v>2809.6000979999999</v>
      </c>
      <c r="E882">
        <f t="shared" si="144"/>
        <v>-5.9966923302832154E-3</v>
      </c>
      <c r="F882">
        <v>1211.5</v>
      </c>
      <c r="G882">
        <f t="shared" si="145"/>
        <v>1.0889106373704438E-2</v>
      </c>
      <c r="H882">
        <v>405.63421629999999</v>
      </c>
      <c r="I882">
        <f t="shared" si="146"/>
        <v>-4.9361576233409865E-3</v>
      </c>
      <c r="J882">
        <v>1137</v>
      </c>
      <c r="K882">
        <f t="shared" si="147"/>
        <v>-1.7965147797294634E-2</v>
      </c>
      <c r="L882">
        <v>167.8000031</v>
      </c>
      <c r="M882">
        <f t="shared" si="148"/>
        <v>-1.381128935791287E-2</v>
      </c>
      <c r="N882">
        <v>502.2000122</v>
      </c>
      <c r="O882">
        <f t="shared" si="149"/>
        <v>-1.888068590911729E-3</v>
      </c>
      <c r="P882">
        <v>67</v>
      </c>
      <c r="Q882">
        <f t="shared" si="150"/>
        <v>-3.0390716591863987E-2</v>
      </c>
      <c r="R882">
        <v>130.6999969</v>
      </c>
      <c r="S882">
        <f t="shared" si="151"/>
        <v>-2.5354280725867873E-2</v>
      </c>
      <c r="T882">
        <v>1974.5500489999999</v>
      </c>
      <c r="U882">
        <f t="shared" si="152"/>
        <v>-1.4664856617653266E-3</v>
      </c>
      <c r="W882">
        <f t="shared" si="153"/>
        <v>-8.7938206304783335E-3</v>
      </c>
      <c r="X882">
        <v>8.4445837872176833E-4</v>
      </c>
    </row>
    <row r="883" spans="1:24" x14ac:dyDescent="0.35">
      <c r="A883" s="1">
        <v>44119</v>
      </c>
      <c r="B883">
        <v>2036.598755</v>
      </c>
      <c r="C883">
        <f t="shared" si="143"/>
        <v>-3.5409876428304288E-2</v>
      </c>
      <c r="D883">
        <v>2740.6000979999999</v>
      </c>
      <c r="E883">
        <f t="shared" si="144"/>
        <v>-2.4558655179830469E-2</v>
      </c>
      <c r="F883">
        <v>1169.25</v>
      </c>
      <c r="G883">
        <f t="shared" si="145"/>
        <v>-3.4874122988031386E-2</v>
      </c>
      <c r="H883">
        <v>391.84313959999997</v>
      </c>
      <c r="I883">
        <f t="shared" si="146"/>
        <v>-3.3998800263438267E-2</v>
      </c>
      <c r="J883">
        <v>1108.25</v>
      </c>
      <c r="K883">
        <f t="shared" si="147"/>
        <v>-2.5285839929639398E-2</v>
      </c>
      <c r="L883">
        <v>165.0500031</v>
      </c>
      <c r="M883">
        <f t="shared" si="148"/>
        <v>-1.6388557504144696E-2</v>
      </c>
      <c r="N883">
        <v>490.2999878</v>
      </c>
      <c r="O883">
        <f t="shared" si="149"/>
        <v>-2.3695786760078441E-2</v>
      </c>
      <c r="P883">
        <v>66.050003050000001</v>
      </c>
      <c r="Q883">
        <f t="shared" si="150"/>
        <v>-1.4179058955223867E-2</v>
      </c>
      <c r="R883">
        <v>126.9499969</v>
      </c>
      <c r="S883">
        <f t="shared" si="151"/>
        <v>-2.8691660971263522E-2</v>
      </c>
      <c r="T883">
        <v>1977.6999510000001</v>
      </c>
      <c r="U883">
        <f t="shared" si="152"/>
        <v>1.5952505238321368E-3</v>
      </c>
      <c r="W883">
        <f t="shared" si="153"/>
        <v>-2.354871084561222E-2</v>
      </c>
      <c r="X883">
        <v>8.8030548630533396E-4</v>
      </c>
    </row>
    <row r="884" spans="1:24" x14ac:dyDescent="0.35">
      <c r="A884" s="1">
        <v>44120</v>
      </c>
      <c r="B884">
        <v>2008.2626949999999</v>
      </c>
      <c r="C884">
        <f t="shared" si="143"/>
        <v>-1.3913423019842774E-2</v>
      </c>
      <c r="D884">
        <v>2763.3000489999999</v>
      </c>
      <c r="E884">
        <f t="shared" si="144"/>
        <v>8.2828395928926657E-3</v>
      </c>
      <c r="F884">
        <v>1199.349976</v>
      </c>
      <c r="G884">
        <f t="shared" si="145"/>
        <v>2.574297712208673E-2</v>
      </c>
      <c r="H884">
        <v>394.24798579999998</v>
      </c>
      <c r="I884">
        <f t="shared" si="146"/>
        <v>6.1372675873689886E-3</v>
      </c>
      <c r="J884">
        <v>1127.5</v>
      </c>
      <c r="K884">
        <f t="shared" si="147"/>
        <v>1.7369727047146455E-2</v>
      </c>
      <c r="L884">
        <v>165.6999969</v>
      </c>
      <c r="M884">
        <f t="shared" si="148"/>
        <v>3.9381629069474844E-3</v>
      </c>
      <c r="N884">
        <v>486.89999390000003</v>
      </c>
      <c r="O884">
        <f t="shared" si="149"/>
        <v>-6.9345176108527307E-3</v>
      </c>
      <c r="P884">
        <v>67.25</v>
      </c>
      <c r="Q884">
        <f t="shared" si="150"/>
        <v>1.8168007488078342E-2</v>
      </c>
      <c r="R884">
        <v>127.75</v>
      </c>
      <c r="S884">
        <f t="shared" si="151"/>
        <v>6.3017181530942157E-3</v>
      </c>
      <c r="T884">
        <v>1984.1999510000001</v>
      </c>
      <c r="U884">
        <f t="shared" si="152"/>
        <v>3.2866461854910156E-3</v>
      </c>
      <c r="W884">
        <f t="shared" si="153"/>
        <v>6.8379405452410405E-3</v>
      </c>
      <c r="X884">
        <v>9.0939184935810995E-4</v>
      </c>
    </row>
    <row r="885" spans="1:24" x14ac:dyDescent="0.35">
      <c r="A885" s="1">
        <v>44123</v>
      </c>
      <c r="B885">
        <v>2008.631836</v>
      </c>
      <c r="C885">
        <f t="shared" si="143"/>
        <v>1.838111124203845E-4</v>
      </c>
      <c r="D885">
        <v>2711.5500489999999</v>
      </c>
      <c r="E885">
        <f t="shared" si="144"/>
        <v>-1.8727607962344739E-2</v>
      </c>
      <c r="F885">
        <v>1203.5500489999999</v>
      </c>
      <c r="G885">
        <f t="shared" si="145"/>
        <v>3.5019577971793225E-3</v>
      </c>
      <c r="H885">
        <v>390.37078860000003</v>
      </c>
      <c r="I885">
        <f t="shared" si="146"/>
        <v>-9.8344121965072695E-3</v>
      </c>
      <c r="J885">
        <v>1125.900024</v>
      </c>
      <c r="K885">
        <f t="shared" si="147"/>
        <v>-1.4190474501107886E-3</v>
      </c>
      <c r="L885">
        <v>168.25</v>
      </c>
      <c r="M885">
        <f t="shared" si="148"/>
        <v>1.5389276691048615E-2</v>
      </c>
      <c r="N885">
        <v>483.64999390000003</v>
      </c>
      <c r="O885">
        <f t="shared" si="149"/>
        <v>-6.6748819895600109E-3</v>
      </c>
      <c r="P885">
        <v>69.300003050000001</v>
      </c>
      <c r="Q885">
        <f t="shared" si="150"/>
        <v>3.0483316728624477E-2</v>
      </c>
      <c r="R885">
        <v>128.25</v>
      </c>
      <c r="S885">
        <f t="shared" si="151"/>
        <v>3.9138943248533398E-3</v>
      </c>
      <c r="T885">
        <v>2094.3000489999999</v>
      </c>
      <c r="U885">
        <f t="shared" si="152"/>
        <v>5.5488408788898269E-2</v>
      </c>
      <c r="W885">
        <f t="shared" si="153"/>
        <v>7.2304715844501606E-3</v>
      </c>
      <c r="X885">
        <v>9.099053137957662E-4</v>
      </c>
    </row>
    <row r="886" spans="1:24" x14ac:dyDescent="0.35">
      <c r="A886" s="1">
        <v>44124</v>
      </c>
      <c r="B886">
        <v>1989.8950199999999</v>
      </c>
      <c r="C886">
        <f t="shared" si="143"/>
        <v>-9.3281484760854294E-3</v>
      </c>
      <c r="D886">
        <v>2739</v>
      </c>
      <c r="E886">
        <f t="shared" si="144"/>
        <v>1.0123342923404E-2</v>
      </c>
      <c r="F886">
        <v>1223.9499510000001</v>
      </c>
      <c r="G886">
        <f t="shared" si="145"/>
        <v>1.6949774558149722E-2</v>
      </c>
      <c r="H886">
        <v>397.53625490000002</v>
      </c>
      <c r="I886">
        <f t="shared" si="146"/>
        <v>1.8355539167512314E-2</v>
      </c>
      <c r="J886">
        <v>1137.5</v>
      </c>
      <c r="K886">
        <f t="shared" si="147"/>
        <v>1.0302847280159622E-2</v>
      </c>
      <c r="L886">
        <v>167.4499969</v>
      </c>
      <c r="M886">
        <f t="shared" si="148"/>
        <v>-4.7548475482912522E-3</v>
      </c>
      <c r="N886">
        <v>486.35000609999997</v>
      </c>
      <c r="O886">
        <f t="shared" si="149"/>
        <v>5.5825746594719838E-3</v>
      </c>
      <c r="P886">
        <v>67.400001529999997</v>
      </c>
      <c r="Q886">
        <f t="shared" si="150"/>
        <v>-2.7417048143982825E-2</v>
      </c>
      <c r="R886">
        <v>129.6499939</v>
      </c>
      <c r="S886">
        <f t="shared" si="151"/>
        <v>1.0916131773879068E-2</v>
      </c>
      <c r="T886">
        <v>2143.0500489999999</v>
      </c>
      <c r="U886">
        <f t="shared" si="152"/>
        <v>2.3277466866926444E-2</v>
      </c>
      <c r="W886">
        <f t="shared" si="153"/>
        <v>5.400763306114365E-3</v>
      </c>
      <c r="X886">
        <v>9.6999574898091209E-4</v>
      </c>
    </row>
    <row r="887" spans="1:24" x14ac:dyDescent="0.35">
      <c r="A887" s="1">
        <v>44125</v>
      </c>
      <c r="B887">
        <v>1961.0051269999999</v>
      </c>
      <c r="C887">
        <f t="shared" si="143"/>
        <v>-1.4518300065899936E-2</v>
      </c>
      <c r="D887">
        <v>2675.3999020000001</v>
      </c>
      <c r="E887">
        <f t="shared" si="144"/>
        <v>-2.3220189120116808E-2</v>
      </c>
      <c r="F887">
        <v>1246.6999510000001</v>
      </c>
      <c r="G887">
        <f t="shared" si="145"/>
        <v>1.8587361338927799E-2</v>
      </c>
      <c r="H887">
        <v>411.2782593</v>
      </c>
      <c r="I887">
        <f t="shared" si="146"/>
        <v>3.456792740439929E-2</v>
      </c>
      <c r="J887">
        <v>1148.349976</v>
      </c>
      <c r="K887">
        <f t="shared" si="147"/>
        <v>9.538440439560425E-3</v>
      </c>
      <c r="L887">
        <v>167.6499939</v>
      </c>
      <c r="M887">
        <f t="shared" si="148"/>
        <v>1.1943684903108487E-3</v>
      </c>
      <c r="N887">
        <v>490.2000122</v>
      </c>
      <c r="O887">
        <f t="shared" si="149"/>
        <v>7.9161222405914611E-3</v>
      </c>
      <c r="P887">
        <v>67.800003050000001</v>
      </c>
      <c r="Q887">
        <f t="shared" si="150"/>
        <v>5.9347405180987245E-3</v>
      </c>
      <c r="R887">
        <v>130.25</v>
      </c>
      <c r="S887">
        <f t="shared" si="151"/>
        <v>4.6278914634025892E-3</v>
      </c>
      <c r="T887">
        <v>2081.3500979999999</v>
      </c>
      <c r="U887">
        <f t="shared" si="152"/>
        <v>-2.8790718643641022E-2</v>
      </c>
      <c r="W887">
        <f t="shared" si="153"/>
        <v>1.5837644065633373E-3</v>
      </c>
      <c r="X887">
        <v>9.7536762231270548E-4</v>
      </c>
    </row>
    <row r="888" spans="1:24" x14ac:dyDescent="0.35">
      <c r="A888" s="1">
        <v>44126</v>
      </c>
      <c r="B888">
        <v>1944.714111</v>
      </c>
      <c r="C888">
        <f t="shared" si="143"/>
        <v>-8.307482614756001E-3</v>
      </c>
      <c r="D888">
        <v>2671.1499020000001</v>
      </c>
      <c r="E888">
        <f t="shared" si="144"/>
        <v>-1.5885475651034042E-3</v>
      </c>
      <c r="F888">
        <v>1233.3000489999999</v>
      </c>
      <c r="G888">
        <f t="shared" si="145"/>
        <v>-1.0748297526804063E-2</v>
      </c>
      <c r="H888">
        <v>422.71356200000002</v>
      </c>
      <c r="I888">
        <f t="shared" si="146"/>
        <v>2.7804296583687771E-2</v>
      </c>
      <c r="J888">
        <v>1129.0500489999999</v>
      </c>
      <c r="K888">
        <f t="shared" si="147"/>
        <v>-1.6806659470858021E-2</v>
      </c>
      <c r="L888">
        <v>168.5500031</v>
      </c>
      <c r="M888">
        <f t="shared" si="148"/>
        <v>5.3683819430190294E-3</v>
      </c>
      <c r="N888">
        <v>485.5499878</v>
      </c>
      <c r="O888">
        <f t="shared" si="149"/>
        <v>-9.4859736521238913E-3</v>
      </c>
      <c r="P888">
        <v>68.849998470000003</v>
      </c>
      <c r="Q888">
        <f t="shared" si="150"/>
        <v>1.5486657415423322E-2</v>
      </c>
      <c r="R888">
        <v>133.5</v>
      </c>
      <c r="S888">
        <f t="shared" si="151"/>
        <v>2.4952015355086399E-2</v>
      </c>
      <c r="T888">
        <v>2100.3000489999999</v>
      </c>
      <c r="U888">
        <f t="shared" si="152"/>
        <v>9.1046436724937507E-3</v>
      </c>
      <c r="W888">
        <f t="shared" si="153"/>
        <v>3.5779034140064891E-3</v>
      </c>
      <c r="X888">
        <v>9.8902972890990704E-4</v>
      </c>
    </row>
    <row r="889" spans="1:24" x14ac:dyDescent="0.35">
      <c r="A889" s="1">
        <v>44127</v>
      </c>
      <c r="B889">
        <v>1950.344482</v>
      </c>
      <c r="C889">
        <f t="shared" si="143"/>
        <v>2.8952178462389178E-3</v>
      </c>
      <c r="D889">
        <v>2686.8000489999999</v>
      </c>
      <c r="E889">
        <f t="shared" si="144"/>
        <v>5.8589549722694034E-3</v>
      </c>
      <c r="F889">
        <v>1235.8000489999999</v>
      </c>
      <c r="G889">
        <f t="shared" si="145"/>
        <v>2.0270817324843371E-3</v>
      </c>
      <c r="H889">
        <v>426.39443970000002</v>
      </c>
      <c r="I889">
        <f t="shared" si="146"/>
        <v>8.7077350501472139E-3</v>
      </c>
      <c r="J889">
        <v>1122.5</v>
      </c>
      <c r="K889">
        <f t="shared" si="147"/>
        <v>-5.8013805550970465E-3</v>
      </c>
      <c r="L889">
        <v>170.75</v>
      </c>
      <c r="M889">
        <f t="shared" si="148"/>
        <v>1.3052488042345267E-2</v>
      </c>
      <c r="N889">
        <v>484.5</v>
      </c>
      <c r="O889">
        <f t="shared" si="149"/>
        <v>-2.1624710665887337E-3</v>
      </c>
      <c r="P889">
        <v>69</v>
      </c>
      <c r="Q889">
        <f t="shared" si="150"/>
        <v>2.1786715081097974E-3</v>
      </c>
      <c r="R889">
        <v>137</v>
      </c>
      <c r="S889">
        <f t="shared" si="151"/>
        <v>2.621722846441954E-2</v>
      </c>
      <c r="T889">
        <v>2116.5500489999999</v>
      </c>
      <c r="U889">
        <f t="shared" si="152"/>
        <v>7.736989773312164E-3</v>
      </c>
      <c r="W889">
        <f t="shared" si="153"/>
        <v>6.0710515767640862E-3</v>
      </c>
      <c r="X889">
        <v>1.000232049461647E-3</v>
      </c>
    </row>
    <row r="890" spans="1:24" x14ac:dyDescent="0.35">
      <c r="A890" s="1">
        <v>44130</v>
      </c>
      <c r="B890">
        <v>1872.858643</v>
      </c>
      <c r="C890">
        <f t="shared" si="143"/>
        <v>-3.9729309214411868E-2</v>
      </c>
      <c r="D890">
        <v>2688.1999510000001</v>
      </c>
      <c r="E890">
        <f t="shared" si="144"/>
        <v>5.2102946794319038E-4</v>
      </c>
      <c r="F890">
        <v>1210.900024</v>
      </c>
      <c r="G890">
        <f t="shared" si="145"/>
        <v>-2.0148910837274103E-2</v>
      </c>
      <c r="H890">
        <v>426.05090330000002</v>
      </c>
      <c r="I890">
        <f t="shared" si="146"/>
        <v>-8.0567748547966112E-4</v>
      </c>
      <c r="J890">
        <v>1112.4499510000001</v>
      </c>
      <c r="K890">
        <f t="shared" si="147"/>
        <v>-8.9532730512248415E-3</v>
      </c>
      <c r="L890">
        <v>168.5500031</v>
      </c>
      <c r="M890">
        <f t="shared" si="148"/>
        <v>-1.2884315666178647E-2</v>
      </c>
      <c r="N890">
        <v>474.5</v>
      </c>
      <c r="O890">
        <f t="shared" si="149"/>
        <v>-2.0639834881320929E-2</v>
      </c>
      <c r="P890">
        <v>68.199996949999999</v>
      </c>
      <c r="Q890">
        <f t="shared" si="150"/>
        <v>-1.1594247101449295E-2</v>
      </c>
      <c r="R890">
        <v>133.6999969</v>
      </c>
      <c r="S890">
        <f t="shared" si="151"/>
        <v>-2.4087613868613134E-2</v>
      </c>
      <c r="T890">
        <v>2144.25</v>
      </c>
      <c r="U890">
        <f t="shared" si="152"/>
        <v>1.3087312068565282E-2</v>
      </c>
      <c r="W890">
        <f t="shared" si="153"/>
        <v>-1.2523484056944402E-2</v>
      </c>
      <c r="X890">
        <v>1.0081821700924645E-3</v>
      </c>
    </row>
    <row r="891" spans="1:24" x14ac:dyDescent="0.35">
      <c r="A891" s="1">
        <v>44131</v>
      </c>
      <c r="B891">
        <v>1877.8428960000001</v>
      </c>
      <c r="C891">
        <f t="shared" si="143"/>
        <v>2.6613076318542372E-3</v>
      </c>
      <c r="D891">
        <v>2630.1499020000001</v>
      </c>
      <c r="E891">
        <f t="shared" si="144"/>
        <v>-2.159439403992458E-2</v>
      </c>
      <c r="F891">
        <v>1233.099976</v>
      </c>
      <c r="G891">
        <f t="shared" si="145"/>
        <v>1.8333430968698883E-2</v>
      </c>
      <c r="H891">
        <v>425.36380000000003</v>
      </c>
      <c r="I891">
        <f t="shared" si="146"/>
        <v>-1.6127258378705323E-3</v>
      </c>
      <c r="J891">
        <v>1090.849976</v>
      </c>
      <c r="K891">
        <f t="shared" si="147"/>
        <v>-1.941658137571356E-2</v>
      </c>
      <c r="L891">
        <v>167.1999969</v>
      </c>
      <c r="M891">
        <f t="shared" si="148"/>
        <v>-8.0095293691513358E-3</v>
      </c>
      <c r="N891">
        <v>470.4500122</v>
      </c>
      <c r="O891">
        <f t="shared" si="149"/>
        <v>-8.5352746048471539E-3</v>
      </c>
      <c r="P891">
        <v>66.849998470000003</v>
      </c>
      <c r="Q891">
        <f t="shared" si="150"/>
        <v>-1.9794700005481447E-2</v>
      </c>
      <c r="R891">
        <v>135.6499939</v>
      </c>
      <c r="S891">
        <f t="shared" si="151"/>
        <v>1.4584869448115878E-2</v>
      </c>
      <c r="T891">
        <v>2176.1999510000001</v>
      </c>
      <c r="U891">
        <f t="shared" si="152"/>
        <v>1.4900291943570121E-2</v>
      </c>
      <c r="W891">
        <f t="shared" si="153"/>
        <v>-2.8483305240749501E-3</v>
      </c>
      <c r="X891">
        <v>1.042134500604175E-3</v>
      </c>
    </row>
    <row r="892" spans="1:24" x14ac:dyDescent="0.35">
      <c r="A892" s="1">
        <v>44132</v>
      </c>
      <c r="B892">
        <v>1856.567749</v>
      </c>
      <c r="C892">
        <f t="shared" si="143"/>
        <v>-1.132956705021404E-2</v>
      </c>
      <c r="D892">
        <v>2622.1999510000001</v>
      </c>
      <c r="E892">
        <f t="shared" si="144"/>
        <v>-3.022622776730266E-3</v>
      </c>
      <c r="F892">
        <v>1209.599976</v>
      </c>
      <c r="G892">
        <f t="shared" si="145"/>
        <v>-1.9057659928135462E-2</v>
      </c>
      <c r="H892">
        <v>443.52285769999997</v>
      </c>
      <c r="I892">
        <f t="shared" si="146"/>
        <v>4.2690651390644874E-2</v>
      </c>
      <c r="J892">
        <v>1076.5500489999999</v>
      </c>
      <c r="K892">
        <f t="shared" si="147"/>
        <v>-1.3108976774639514E-2</v>
      </c>
      <c r="L892">
        <v>165.5</v>
      </c>
      <c r="M892">
        <f t="shared" si="148"/>
        <v>-1.0167445762673921E-2</v>
      </c>
      <c r="N892">
        <v>463.39999390000003</v>
      </c>
      <c r="O892">
        <f t="shared" si="149"/>
        <v>-1.4985690545593733E-2</v>
      </c>
      <c r="P892">
        <v>66.349998470000003</v>
      </c>
      <c r="Q892">
        <f t="shared" si="150"/>
        <v>-7.4794317343833683E-3</v>
      </c>
      <c r="R892">
        <v>134.8000031</v>
      </c>
      <c r="S892">
        <f t="shared" si="151"/>
        <v>-6.2660585198891505E-3</v>
      </c>
      <c r="T892">
        <v>2240.1999510000001</v>
      </c>
      <c r="U892">
        <f t="shared" si="152"/>
        <v>2.9409062329309732E-2</v>
      </c>
      <c r="W892">
        <f t="shared" si="153"/>
        <v>-1.3317739372304847E-3</v>
      </c>
      <c r="X892">
        <v>1.0440447870749827E-3</v>
      </c>
    </row>
    <row r="893" spans="1:24" x14ac:dyDescent="0.35">
      <c r="A893" s="1">
        <v>44133</v>
      </c>
      <c r="B893">
        <v>1870.8280030000001</v>
      </c>
      <c r="C893">
        <f t="shared" si="143"/>
        <v>7.6809769035797171E-3</v>
      </c>
      <c r="D893">
        <v>2632.6499020000001</v>
      </c>
      <c r="E893">
        <f t="shared" si="144"/>
        <v>3.9851846523049073E-3</v>
      </c>
      <c r="F893">
        <v>1187.1999510000001</v>
      </c>
      <c r="G893">
        <f t="shared" si="145"/>
        <v>-1.8518539553939228E-2</v>
      </c>
      <c r="H893">
        <v>442.49221799999998</v>
      </c>
      <c r="I893">
        <f t="shared" si="146"/>
        <v>-2.3237577998677095E-3</v>
      </c>
      <c r="J893">
        <v>1074.849976</v>
      </c>
      <c r="K893">
        <f t="shared" si="147"/>
        <v>-1.5791862176580684E-3</v>
      </c>
      <c r="L893">
        <v>163.8500061</v>
      </c>
      <c r="M893">
        <f t="shared" si="148"/>
        <v>-9.9697516616313875E-3</v>
      </c>
      <c r="N893">
        <v>456.35000609999997</v>
      </c>
      <c r="O893">
        <f t="shared" si="149"/>
        <v>-1.5213612198539228E-2</v>
      </c>
      <c r="P893">
        <v>64.400001529999997</v>
      </c>
      <c r="Q893">
        <f t="shared" si="150"/>
        <v>-2.9389555161507541E-2</v>
      </c>
      <c r="R893">
        <v>131.8999939</v>
      </c>
      <c r="S893">
        <f t="shared" si="151"/>
        <v>-2.151342087024033E-2</v>
      </c>
      <c r="T893">
        <v>2267.1000979999999</v>
      </c>
      <c r="U893">
        <f t="shared" si="152"/>
        <v>1.2007922323180154E-2</v>
      </c>
      <c r="W893">
        <f t="shared" si="153"/>
        <v>-7.483373958431871E-3</v>
      </c>
      <c r="X893">
        <v>1.0476556065370794E-3</v>
      </c>
    </row>
    <row r="894" spans="1:24" x14ac:dyDescent="0.35">
      <c r="A894" s="1">
        <v>44134</v>
      </c>
      <c r="B894">
        <v>1896.302856</v>
      </c>
      <c r="C894">
        <f t="shared" si="143"/>
        <v>1.3616886725636546E-2</v>
      </c>
      <c r="D894">
        <v>2664.8500979999999</v>
      </c>
      <c r="E894">
        <f t="shared" si="144"/>
        <v>1.2231096879056214E-2</v>
      </c>
      <c r="F894">
        <v>1183.5500489999999</v>
      </c>
      <c r="G894">
        <f t="shared" si="145"/>
        <v>-3.0743784961629883E-3</v>
      </c>
      <c r="H894">
        <v>425.75640870000001</v>
      </c>
      <c r="I894">
        <f t="shared" si="146"/>
        <v>-3.7821703115239802E-2</v>
      </c>
      <c r="J894">
        <v>1060.599976</v>
      </c>
      <c r="K894">
        <f t="shared" si="147"/>
        <v>-1.3257664156099858E-2</v>
      </c>
      <c r="L894">
        <v>165.25</v>
      </c>
      <c r="M894">
        <f t="shared" si="148"/>
        <v>8.5443628189159071E-3</v>
      </c>
      <c r="N894">
        <v>465.75</v>
      </c>
      <c r="O894">
        <f t="shared" si="149"/>
        <v>2.0598211404297073E-2</v>
      </c>
      <c r="P894">
        <v>64.900001529999997</v>
      </c>
      <c r="Q894">
        <f t="shared" si="150"/>
        <v>7.7639749708249273E-3</v>
      </c>
      <c r="R894">
        <v>132.6499939</v>
      </c>
      <c r="S894">
        <f t="shared" si="151"/>
        <v>5.6861261158860366E-3</v>
      </c>
      <c r="T894">
        <v>2239.8999020000001</v>
      </c>
      <c r="U894">
        <f t="shared" si="152"/>
        <v>-1.1997792256281614E-2</v>
      </c>
      <c r="W894">
        <f t="shared" si="153"/>
        <v>2.2891208908324377E-4</v>
      </c>
      <c r="X894">
        <v>1.0499427819289139E-3</v>
      </c>
    </row>
    <row r="895" spans="1:24" x14ac:dyDescent="0.35">
      <c r="A895" s="1">
        <v>44137</v>
      </c>
      <c r="B895">
        <v>1732.8857419999999</v>
      </c>
      <c r="C895">
        <f t="shared" si="143"/>
        <v>-8.6176695606896336E-2</v>
      </c>
      <c r="D895">
        <v>2604.6000979999999</v>
      </c>
      <c r="E895">
        <f t="shared" si="144"/>
        <v>-2.2609151653677717E-2</v>
      </c>
      <c r="F895">
        <v>1215.25</v>
      </c>
      <c r="G895">
        <f t="shared" si="145"/>
        <v>2.6783785803383475E-2</v>
      </c>
      <c r="H895">
        <v>448.9705811</v>
      </c>
      <c r="I895">
        <f t="shared" si="146"/>
        <v>5.4524540149335277E-2</v>
      </c>
      <c r="J895">
        <v>1072.3000489999999</v>
      </c>
      <c r="K895">
        <f t="shared" si="147"/>
        <v>1.103156068711808E-2</v>
      </c>
      <c r="L895">
        <v>166.75</v>
      </c>
      <c r="M895">
        <f t="shared" si="148"/>
        <v>9.0771558245084094E-3</v>
      </c>
      <c r="N895">
        <v>469.39999390000003</v>
      </c>
      <c r="O895">
        <f t="shared" si="149"/>
        <v>7.836809232420805E-3</v>
      </c>
      <c r="P895">
        <v>65.699996949999999</v>
      </c>
      <c r="Q895">
        <f t="shared" si="150"/>
        <v>1.2326585533749324E-2</v>
      </c>
      <c r="R895">
        <v>132.8500061</v>
      </c>
      <c r="S895">
        <f t="shared" si="151"/>
        <v>1.5078191420858644E-3</v>
      </c>
      <c r="T895">
        <v>2205.75</v>
      </c>
      <c r="U895">
        <f t="shared" si="152"/>
        <v>-1.5246173264040874E-2</v>
      </c>
      <c r="W895">
        <f t="shared" si="153"/>
        <v>-9.4376415201369128E-5</v>
      </c>
      <c r="X895">
        <v>1.0570092068893692E-3</v>
      </c>
    </row>
    <row r="896" spans="1:24" x14ac:dyDescent="0.35">
      <c r="A896" s="1">
        <v>44138</v>
      </c>
      <c r="B896">
        <v>1707.9185789999999</v>
      </c>
      <c r="C896">
        <f t="shared" si="143"/>
        <v>-1.4407852978918445E-2</v>
      </c>
      <c r="D896">
        <v>2633.6000979999999</v>
      </c>
      <c r="E896">
        <f t="shared" si="144"/>
        <v>1.1134146858962524E-2</v>
      </c>
      <c r="F896">
        <v>1247.9499510000001</v>
      </c>
      <c r="G896">
        <f t="shared" si="145"/>
        <v>2.690800329150389E-2</v>
      </c>
      <c r="H896">
        <v>446.22216800000001</v>
      </c>
      <c r="I896">
        <f t="shared" si="146"/>
        <v>-6.1215883973204654E-3</v>
      </c>
      <c r="J896">
        <v>1062.5500489999999</v>
      </c>
      <c r="K896">
        <f t="shared" si="147"/>
        <v>-9.0926042660285367E-3</v>
      </c>
      <c r="L896">
        <v>170.1000061</v>
      </c>
      <c r="M896">
        <f t="shared" si="148"/>
        <v>2.0089991604197888E-2</v>
      </c>
      <c r="N896">
        <v>485.60000609999997</v>
      </c>
      <c r="O896">
        <f t="shared" si="149"/>
        <v>3.4512169600605436E-2</v>
      </c>
      <c r="P896">
        <v>66.300003050000001</v>
      </c>
      <c r="Q896">
        <f t="shared" si="150"/>
        <v>9.1325133615549614E-3</v>
      </c>
      <c r="R896">
        <v>134.1000061</v>
      </c>
      <c r="S896">
        <f t="shared" si="151"/>
        <v>9.4091075845272876E-3</v>
      </c>
      <c r="T896">
        <v>2209.0500489999999</v>
      </c>
      <c r="U896">
        <f t="shared" si="152"/>
        <v>1.4961119800520617E-3</v>
      </c>
      <c r="W896">
        <f t="shared" si="153"/>
        <v>8.3059998639136608E-3</v>
      </c>
      <c r="X896">
        <v>1.0650074765411689E-3</v>
      </c>
    </row>
    <row r="897" spans="1:24" x14ac:dyDescent="0.35">
      <c r="A897" s="1">
        <v>44139</v>
      </c>
      <c r="B897">
        <v>1765.8829350000001</v>
      </c>
      <c r="C897">
        <f t="shared" si="143"/>
        <v>3.3938594446310644E-2</v>
      </c>
      <c r="D897">
        <v>2653.1499020000001</v>
      </c>
      <c r="E897">
        <f t="shared" si="144"/>
        <v>7.4232242073679622E-3</v>
      </c>
      <c r="F897">
        <v>1257.400024</v>
      </c>
      <c r="G897">
        <f t="shared" si="145"/>
        <v>7.5724775600396477E-3</v>
      </c>
      <c r="H897">
        <v>444.70074460000001</v>
      </c>
      <c r="I897">
        <f t="shared" si="146"/>
        <v>-3.4095648067399287E-3</v>
      </c>
      <c r="J897">
        <v>1093.9499510000001</v>
      </c>
      <c r="K897">
        <f t="shared" si="147"/>
        <v>2.9551456921536712E-2</v>
      </c>
      <c r="L897">
        <v>169.8000031</v>
      </c>
      <c r="M897">
        <f t="shared" si="148"/>
        <v>-1.7636860037714142E-3</v>
      </c>
      <c r="N897">
        <v>504.64999390000003</v>
      </c>
      <c r="O897">
        <f t="shared" si="149"/>
        <v>3.9229793164535343E-2</v>
      </c>
      <c r="P897">
        <v>66.449996949999999</v>
      </c>
      <c r="Q897">
        <f t="shared" si="150"/>
        <v>2.2623513288058117E-3</v>
      </c>
      <c r="R897">
        <v>135.8999939</v>
      </c>
      <c r="S897">
        <f t="shared" si="151"/>
        <v>1.3422727204484453E-2</v>
      </c>
      <c r="T897">
        <v>2290.8000489999999</v>
      </c>
      <c r="U897">
        <f t="shared" si="152"/>
        <v>3.7006857330827314E-2</v>
      </c>
      <c r="W897">
        <f t="shared" si="153"/>
        <v>1.6523423135339655E-2</v>
      </c>
      <c r="X897">
        <v>1.0731842857825693E-3</v>
      </c>
    </row>
    <row r="898" spans="1:24" x14ac:dyDescent="0.35">
      <c r="A898" s="1">
        <v>44140</v>
      </c>
      <c r="B898">
        <v>1804.4643550000001</v>
      </c>
      <c r="C898">
        <f t="shared" si="143"/>
        <v>2.1848231972409815E-2</v>
      </c>
      <c r="D898">
        <v>2685.6999510000001</v>
      </c>
      <c r="E898">
        <f t="shared" si="144"/>
        <v>1.2268454554890784E-2</v>
      </c>
      <c r="F898">
        <v>1269.1999510000001</v>
      </c>
      <c r="G898">
        <f t="shared" si="145"/>
        <v>9.3843858555548998E-3</v>
      </c>
      <c r="H898">
        <v>448.87240600000001</v>
      </c>
      <c r="I898">
        <f t="shared" si="146"/>
        <v>9.3808284574659062E-3</v>
      </c>
      <c r="J898">
        <v>1104</v>
      </c>
      <c r="K898">
        <f t="shared" si="147"/>
        <v>9.1869367431416382E-3</v>
      </c>
      <c r="L898">
        <v>174.75</v>
      </c>
      <c r="M898">
        <f t="shared" si="148"/>
        <v>2.9151924673904706E-2</v>
      </c>
      <c r="N898">
        <v>512.5</v>
      </c>
      <c r="O898">
        <f t="shared" si="149"/>
        <v>1.5555347656569074E-2</v>
      </c>
      <c r="P898">
        <v>67.599998470000003</v>
      </c>
      <c r="Q898">
        <f t="shared" si="150"/>
        <v>1.7306268965900928E-2</v>
      </c>
      <c r="R898">
        <v>137.6499939</v>
      </c>
      <c r="S898">
        <f t="shared" si="151"/>
        <v>1.2877116104123676E-2</v>
      </c>
      <c r="T898">
        <v>2281.9499510000001</v>
      </c>
      <c r="U898">
        <f t="shared" si="152"/>
        <v>-3.8633219009504005E-3</v>
      </c>
      <c r="W898">
        <f t="shared" si="153"/>
        <v>1.3309617308301103E-2</v>
      </c>
      <c r="X898">
        <v>1.0745739851392589E-3</v>
      </c>
    </row>
    <row r="899" spans="1:24" x14ac:dyDescent="0.35">
      <c r="A899" s="1">
        <v>44141</v>
      </c>
      <c r="B899">
        <v>1872.9047849999999</v>
      </c>
      <c r="C899">
        <f t="shared" si="143"/>
        <v>3.7928391220562352E-2</v>
      </c>
      <c r="D899">
        <v>2707.4499510000001</v>
      </c>
      <c r="E899">
        <f t="shared" si="144"/>
        <v>8.098447479921056E-3</v>
      </c>
      <c r="F899">
        <v>1307.650024</v>
      </c>
      <c r="G899">
        <f t="shared" si="145"/>
        <v>3.0294732496408683E-2</v>
      </c>
      <c r="H899">
        <v>441.60879519999997</v>
      </c>
      <c r="I899">
        <f t="shared" si="146"/>
        <v>-1.618190537646913E-2</v>
      </c>
      <c r="J899">
        <v>1112.75</v>
      </c>
      <c r="K899">
        <f t="shared" si="147"/>
        <v>7.925724637681153E-3</v>
      </c>
      <c r="L899">
        <v>173.9499969</v>
      </c>
      <c r="M899">
        <f t="shared" si="148"/>
        <v>-4.5779862660944026E-3</v>
      </c>
      <c r="N899">
        <v>509.14999390000003</v>
      </c>
      <c r="O899">
        <f t="shared" si="149"/>
        <v>-6.5365972682925877E-3</v>
      </c>
      <c r="P899">
        <v>68</v>
      </c>
      <c r="Q899">
        <f t="shared" si="150"/>
        <v>5.9171825303740988E-3</v>
      </c>
      <c r="R899">
        <v>139</v>
      </c>
      <c r="S899">
        <f t="shared" si="151"/>
        <v>9.8075274960109926E-3</v>
      </c>
      <c r="T899">
        <v>2294.6000979999999</v>
      </c>
      <c r="U899">
        <f t="shared" si="152"/>
        <v>5.5435689965313006E-3</v>
      </c>
      <c r="W899">
        <f t="shared" si="153"/>
        <v>7.8219085946633522E-3</v>
      </c>
      <c r="X899">
        <v>1.0840853102508821E-3</v>
      </c>
    </row>
    <row r="900" spans="1:24" x14ac:dyDescent="0.35">
      <c r="A900" s="1">
        <v>44144</v>
      </c>
      <c r="B900">
        <v>1892.7954099999999</v>
      </c>
      <c r="C900">
        <f t="shared" ref="C900:C963" si="154">B900/B899 - 1</f>
        <v>1.0620200855538942E-2</v>
      </c>
      <c r="D900">
        <v>2726.6000979999999</v>
      </c>
      <c r="E900">
        <f t="shared" ref="E900:E963" si="155">D900/D899 - 1</f>
        <v>7.0731305643993991E-3</v>
      </c>
      <c r="F900">
        <v>1340.5500489999999</v>
      </c>
      <c r="G900">
        <f t="shared" ref="G900:G963" si="156">F900/F899 - 1</f>
        <v>2.5159656174181366E-2</v>
      </c>
      <c r="H900">
        <v>463.10519410000001</v>
      </c>
      <c r="I900">
        <f t="shared" ref="I900:I963" si="157">H900/H899 - 1</f>
        <v>4.8677470045098481E-2</v>
      </c>
      <c r="J900">
        <v>1136.5500489999999</v>
      </c>
      <c r="K900">
        <f t="shared" ref="K900:K963" si="158">J900/J899 -1</f>
        <v>2.138849606829929E-2</v>
      </c>
      <c r="L900">
        <v>172.8000031</v>
      </c>
      <c r="M900">
        <f t="shared" ref="M900:M963" si="159">L900/L899 -1</f>
        <v>-6.6110596176733871E-3</v>
      </c>
      <c r="N900">
        <v>510.14999390000003</v>
      </c>
      <c r="O900">
        <f t="shared" ref="O900:O963" si="160">N900/N899-1</f>
        <v>1.9640577668285086E-3</v>
      </c>
      <c r="P900">
        <v>68.449996949999999</v>
      </c>
      <c r="Q900">
        <f t="shared" ref="Q900:Q963" si="161">P900/P899 -1</f>
        <v>6.6176022058823669E-3</v>
      </c>
      <c r="R900">
        <v>141</v>
      </c>
      <c r="S900">
        <f t="shared" ref="S900:S963" si="162">R900/R899 - 1</f>
        <v>1.4388489208633004E-2</v>
      </c>
      <c r="T900">
        <v>2325.8500979999999</v>
      </c>
      <c r="U900">
        <f t="shared" ref="U900:U963" si="163">T900/T899 - 1</f>
        <v>1.3618930822515862E-2</v>
      </c>
      <c r="W900">
        <f t="shared" ref="W900:W963" si="164">0.1*C900+0.1*E900+0.1*G900+0.1*I900+0.1*K900+0.1*M900+0.1*O900+0.1*Q900+0.1*S900+0.1*U900</f>
        <v>1.4289697409370384E-2</v>
      </c>
      <c r="X900">
        <v>1.0934769071568097E-3</v>
      </c>
    </row>
    <row r="901" spans="1:24" x14ac:dyDescent="0.35">
      <c r="A901" s="1">
        <v>44145</v>
      </c>
      <c r="B901">
        <v>1924.0389399999999</v>
      </c>
      <c r="C901">
        <f t="shared" si="154"/>
        <v>1.6506554186963118E-2</v>
      </c>
      <c r="D901">
        <v>2649.6000979999999</v>
      </c>
      <c r="E901">
        <f t="shared" si="155"/>
        <v>-2.8240298258802476E-2</v>
      </c>
      <c r="F901">
        <v>1393.650024</v>
      </c>
      <c r="G901">
        <f t="shared" si="156"/>
        <v>3.9610587489523841E-2</v>
      </c>
      <c r="H901">
        <v>457.80471799999998</v>
      </c>
      <c r="I901">
        <f t="shared" si="157"/>
        <v>-1.14455120942899E-2</v>
      </c>
      <c r="J901">
        <v>1091.0500489999999</v>
      </c>
      <c r="K901">
        <f t="shared" si="158"/>
        <v>-4.0033432790780643E-2</v>
      </c>
      <c r="L901">
        <v>178.3500061</v>
      </c>
      <c r="M901">
        <f t="shared" si="159"/>
        <v>3.2118072340474368E-2</v>
      </c>
      <c r="N901">
        <v>490.89999390000003</v>
      </c>
      <c r="O901">
        <f t="shared" si="160"/>
        <v>-3.7734000255174704E-2</v>
      </c>
      <c r="P901">
        <v>70.75</v>
      </c>
      <c r="Q901">
        <f t="shared" si="161"/>
        <v>3.3601214791580736E-2</v>
      </c>
      <c r="R901">
        <v>146</v>
      </c>
      <c r="S901">
        <f t="shared" si="162"/>
        <v>3.5460992907801359E-2</v>
      </c>
      <c r="T901">
        <v>2362.3999020000001</v>
      </c>
      <c r="U901">
        <f t="shared" si="163"/>
        <v>1.5714600021484282E-2</v>
      </c>
      <c r="W901">
        <f t="shared" si="164"/>
        <v>5.5558778338779978E-3</v>
      </c>
      <c r="X901">
        <v>1.1058710432995556E-3</v>
      </c>
    </row>
    <row r="902" spans="1:24" x14ac:dyDescent="0.35">
      <c r="A902" s="1">
        <v>44146</v>
      </c>
      <c r="B902">
        <v>1843.4149170000001</v>
      </c>
      <c r="C902">
        <f t="shared" si="154"/>
        <v>-4.1903529769516945E-2</v>
      </c>
      <c r="D902">
        <v>2687.8000489999999</v>
      </c>
      <c r="E902">
        <f t="shared" si="155"/>
        <v>1.4417251504796669E-2</v>
      </c>
      <c r="F902">
        <v>1389.9499510000001</v>
      </c>
      <c r="G902">
        <f t="shared" si="156"/>
        <v>-2.6549513409257486E-3</v>
      </c>
      <c r="H902">
        <v>469.77987669999999</v>
      </c>
      <c r="I902">
        <f t="shared" si="157"/>
        <v>2.6157787871465388E-2</v>
      </c>
      <c r="J902">
        <v>1122.5</v>
      </c>
      <c r="K902">
        <f t="shared" si="158"/>
        <v>2.8825397174790934E-2</v>
      </c>
      <c r="L902">
        <v>185.3000031</v>
      </c>
      <c r="M902">
        <f t="shared" si="159"/>
        <v>3.8968302564022173E-2</v>
      </c>
      <c r="N902">
        <v>506.0499878</v>
      </c>
      <c r="O902">
        <f t="shared" si="160"/>
        <v>3.0861670581088019E-2</v>
      </c>
      <c r="P902">
        <v>72.349998470000003</v>
      </c>
      <c r="Q902">
        <f t="shared" si="161"/>
        <v>2.2614819363957706E-2</v>
      </c>
      <c r="R902">
        <v>150.9499969</v>
      </c>
      <c r="S902">
        <f t="shared" si="162"/>
        <v>3.3904088356164319E-2</v>
      </c>
      <c r="T902">
        <v>2398.1999510000001</v>
      </c>
      <c r="U902">
        <f t="shared" si="163"/>
        <v>1.5154101966263989E-2</v>
      </c>
      <c r="W902">
        <f t="shared" si="164"/>
        <v>1.6634493827210651E-2</v>
      </c>
      <c r="X902">
        <v>1.1064082618925221E-3</v>
      </c>
    </row>
    <row r="903" spans="1:24" x14ac:dyDescent="0.35">
      <c r="A903" s="1">
        <v>44147</v>
      </c>
      <c r="B903">
        <v>1827.539307</v>
      </c>
      <c r="C903">
        <f t="shared" si="154"/>
        <v>-8.6120654951823417E-3</v>
      </c>
      <c r="D903">
        <v>2671.0500489999999</v>
      </c>
      <c r="E903">
        <f t="shared" si="155"/>
        <v>-6.2318623761584702E-3</v>
      </c>
      <c r="F903">
        <v>1371.6999510000001</v>
      </c>
      <c r="G903">
        <f t="shared" si="156"/>
        <v>-1.3129969166781885E-2</v>
      </c>
      <c r="H903">
        <v>471.0068359</v>
      </c>
      <c r="I903">
        <f t="shared" si="157"/>
        <v>2.6117747073775011E-3</v>
      </c>
      <c r="J903">
        <v>1117.75</v>
      </c>
      <c r="K903">
        <f t="shared" si="158"/>
        <v>-4.2316258351893232E-3</v>
      </c>
      <c r="L903">
        <v>188</v>
      </c>
      <c r="M903">
        <f t="shared" si="159"/>
        <v>1.4570949027685076E-2</v>
      </c>
      <c r="N903">
        <v>509.25</v>
      </c>
      <c r="O903">
        <f t="shared" si="160"/>
        <v>6.3235100822978119E-3</v>
      </c>
      <c r="P903">
        <v>71.550003050000001</v>
      </c>
      <c r="Q903">
        <f t="shared" si="161"/>
        <v>-1.1057296985731435E-2</v>
      </c>
      <c r="R903">
        <v>151.1999969</v>
      </c>
      <c r="S903">
        <f t="shared" si="162"/>
        <v>1.6561775762446995E-3</v>
      </c>
      <c r="T903">
        <v>2400.3000489999999</v>
      </c>
      <c r="U903">
        <f t="shared" si="163"/>
        <v>8.7569762443040489E-4</v>
      </c>
      <c r="W903">
        <f t="shared" si="164"/>
        <v>-1.7224710841007959E-3</v>
      </c>
      <c r="X903">
        <v>1.1173094316649145E-3</v>
      </c>
    </row>
    <row r="904" spans="1:24" x14ac:dyDescent="0.35">
      <c r="A904" s="1">
        <v>44148</v>
      </c>
      <c r="B904">
        <v>1842.676514</v>
      </c>
      <c r="C904">
        <f t="shared" si="154"/>
        <v>8.2828352539505712E-3</v>
      </c>
      <c r="D904">
        <v>2656.8500979999999</v>
      </c>
      <c r="E904">
        <f t="shared" si="155"/>
        <v>-5.3162429529601818E-3</v>
      </c>
      <c r="F904">
        <v>1358.8000489999999</v>
      </c>
      <c r="G904">
        <f t="shared" si="156"/>
        <v>-9.4043176064821932E-3</v>
      </c>
      <c r="H904">
        <v>466.98239139999998</v>
      </c>
      <c r="I904">
        <f t="shared" si="157"/>
        <v>-8.5443441437746959E-3</v>
      </c>
      <c r="J904">
        <v>1124.1999510000001</v>
      </c>
      <c r="K904">
        <f t="shared" si="158"/>
        <v>5.770477298143728E-3</v>
      </c>
      <c r="L904">
        <v>187.1000061</v>
      </c>
      <c r="M904">
        <f t="shared" si="159"/>
        <v>-4.787201595744639E-3</v>
      </c>
      <c r="N904">
        <v>508.4500122</v>
      </c>
      <c r="O904">
        <f t="shared" si="160"/>
        <v>-1.5709136966126636E-3</v>
      </c>
      <c r="P904">
        <v>72.150001529999997</v>
      </c>
      <c r="Q904">
        <f t="shared" si="161"/>
        <v>8.3857226334527191E-3</v>
      </c>
      <c r="R904">
        <v>146.3500061</v>
      </c>
      <c r="S904">
        <f t="shared" si="162"/>
        <v>-3.2076659387815121E-2</v>
      </c>
      <c r="T904">
        <v>2383.0500489999999</v>
      </c>
      <c r="U904">
        <f t="shared" si="163"/>
        <v>-7.1866015280825923E-3</v>
      </c>
      <c r="W904">
        <f t="shared" si="164"/>
        <v>-4.6447245725925075E-3</v>
      </c>
      <c r="X904">
        <v>1.1174834633564611E-3</v>
      </c>
    </row>
    <row r="905" spans="1:24" x14ac:dyDescent="0.35">
      <c r="A905" s="1">
        <v>44149</v>
      </c>
      <c r="B905">
        <v>1848.122192</v>
      </c>
      <c r="C905">
        <f t="shared" si="154"/>
        <v>2.9553087363005659E-3</v>
      </c>
      <c r="D905">
        <v>2670.3500979999999</v>
      </c>
      <c r="E905">
        <f t="shared" si="155"/>
        <v>5.0812049991688646E-3</v>
      </c>
      <c r="F905">
        <v>1369.6999510000001</v>
      </c>
      <c r="G905">
        <f t="shared" si="156"/>
        <v>8.0217115152607654E-3</v>
      </c>
      <c r="H905">
        <v>472.62643430000003</v>
      </c>
      <c r="I905">
        <f t="shared" si="157"/>
        <v>1.2086200687523529E-2</v>
      </c>
      <c r="J905">
        <v>1133.4499510000001</v>
      </c>
      <c r="K905">
        <f t="shared" si="158"/>
        <v>8.2280736551998412E-3</v>
      </c>
      <c r="L905">
        <v>188.6000061</v>
      </c>
      <c r="M905">
        <f t="shared" si="159"/>
        <v>8.0171028920132947E-3</v>
      </c>
      <c r="N905">
        <v>514</v>
      </c>
      <c r="O905">
        <f t="shared" si="160"/>
        <v>1.0915503327428189E-2</v>
      </c>
      <c r="P905">
        <v>72.650001529999997</v>
      </c>
      <c r="Q905">
        <f t="shared" si="161"/>
        <v>6.9300067830504464E-3</v>
      </c>
      <c r="R905">
        <v>148.8500061</v>
      </c>
      <c r="S905">
        <f t="shared" si="162"/>
        <v>1.708233615167587E-2</v>
      </c>
      <c r="T905">
        <v>2374.1499020000001</v>
      </c>
      <c r="U905">
        <f t="shared" si="163"/>
        <v>-3.7347713295969864E-3</v>
      </c>
      <c r="W905">
        <f t="shared" si="164"/>
        <v>7.5582677418024385E-3</v>
      </c>
      <c r="X905">
        <v>1.118446903263282E-3</v>
      </c>
    </row>
    <row r="906" spans="1:24" x14ac:dyDescent="0.35">
      <c r="A906" s="1">
        <v>44152</v>
      </c>
      <c r="B906">
        <v>1839.769043</v>
      </c>
      <c r="C906">
        <f t="shared" si="154"/>
        <v>-4.5198034178467461E-3</v>
      </c>
      <c r="D906">
        <v>2666.0500489999999</v>
      </c>
      <c r="E906">
        <f t="shared" si="155"/>
        <v>-1.6102940971000068E-3</v>
      </c>
      <c r="F906">
        <v>1408.4499510000001</v>
      </c>
      <c r="G906">
        <f t="shared" si="156"/>
        <v>2.8290867625211824E-2</v>
      </c>
      <c r="H906">
        <v>475.62023929999998</v>
      </c>
      <c r="I906">
        <f t="shared" si="157"/>
        <v>6.3344002424114976E-3</v>
      </c>
      <c r="J906">
        <v>1123.6999510000001</v>
      </c>
      <c r="K906">
        <f t="shared" si="158"/>
        <v>-8.6020560426138815E-3</v>
      </c>
      <c r="L906">
        <v>187.3500061</v>
      </c>
      <c r="M906">
        <f t="shared" si="159"/>
        <v>-6.6277834547747716E-3</v>
      </c>
      <c r="N906">
        <v>518.40002440000001</v>
      </c>
      <c r="O906">
        <f t="shared" si="160"/>
        <v>8.5603587548637172E-3</v>
      </c>
      <c r="P906">
        <v>71.300003050000001</v>
      </c>
      <c r="Q906">
        <f t="shared" si="161"/>
        <v>-1.8582222320291719E-2</v>
      </c>
      <c r="R906">
        <v>158</v>
      </c>
      <c r="S906">
        <f t="shared" si="162"/>
        <v>6.1471236311894328E-2</v>
      </c>
      <c r="T906">
        <v>2432.1499020000001</v>
      </c>
      <c r="U906">
        <f t="shared" si="163"/>
        <v>2.4429796935374837E-2</v>
      </c>
      <c r="W906">
        <f t="shared" si="164"/>
        <v>8.9144500537129082E-3</v>
      </c>
      <c r="X906">
        <v>1.1189793242255997E-3</v>
      </c>
    </row>
    <row r="907" spans="1:24" x14ac:dyDescent="0.35">
      <c r="A907" s="1">
        <v>44153</v>
      </c>
      <c r="B907">
        <v>1834.184937</v>
      </c>
      <c r="C907">
        <f t="shared" si="154"/>
        <v>-3.0352211986860445E-3</v>
      </c>
      <c r="D907">
        <v>2626.6499020000001</v>
      </c>
      <c r="E907">
        <f t="shared" si="155"/>
        <v>-1.4778472375182261E-2</v>
      </c>
      <c r="F907">
        <v>1408.6999510000001</v>
      </c>
      <c r="G907">
        <f t="shared" si="156"/>
        <v>1.7750009492534247E-4</v>
      </c>
      <c r="H907">
        <v>469.58355710000001</v>
      </c>
      <c r="I907">
        <f t="shared" si="157"/>
        <v>-1.2692231535151977E-2</v>
      </c>
      <c r="J907">
        <v>1110.5500489999999</v>
      </c>
      <c r="K907">
        <f t="shared" si="158"/>
        <v>-1.1702324974115941E-2</v>
      </c>
      <c r="L907">
        <v>184.0500031</v>
      </c>
      <c r="M907">
        <f t="shared" si="159"/>
        <v>-1.7614106712324329E-2</v>
      </c>
      <c r="N907">
        <v>513</v>
      </c>
      <c r="O907">
        <f t="shared" si="160"/>
        <v>-1.0416713244275067E-2</v>
      </c>
      <c r="P907">
        <v>71.949996949999999</v>
      </c>
      <c r="Q907">
        <f t="shared" si="161"/>
        <v>9.1163235932008035E-3</v>
      </c>
      <c r="R907">
        <v>173.5</v>
      </c>
      <c r="S907">
        <f t="shared" si="162"/>
        <v>9.8101265822784889E-2</v>
      </c>
      <c r="T907">
        <v>2375.0500489999999</v>
      </c>
      <c r="U907">
        <f t="shared" si="163"/>
        <v>-2.3477110910411381E-2</v>
      </c>
      <c r="W907">
        <f t="shared" si="164"/>
        <v>1.3678908560764039E-3</v>
      </c>
      <c r="X907">
        <v>1.136171519441198E-3</v>
      </c>
    </row>
    <row r="908" spans="1:24" x14ac:dyDescent="0.35">
      <c r="A908" s="1">
        <v>44154</v>
      </c>
      <c r="B908">
        <v>1821.216797</v>
      </c>
      <c r="C908">
        <f t="shared" si="154"/>
        <v>-7.0702467010828052E-3</v>
      </c>
      <c r="D908">
        <v>2636.8999020000001</v>
      </c>
      <c r="E908">
        <f t="shared" si="155"/>
        <v>3.9023091703982438E-3</v>
      </c>
      <c r="F908">
        <v>1374.349976</v>
      </c>
      <c r="G908">
        <f t="shared" si="156"/>
        <v>-2.4384167100748422E-2</v>
      </c>
      <c r="H908">
        <v>459.91510010000002</v>
      </c>
      <c r="I908">
        <f t="shared" si="157"/>
        <v>-2.0589428343081972E-2</v>
      </c>
      <c r="J908">
        <v>1096.75</v>
      </c>
      <c r="K908">
        <f t="shared" si="158"/>
        <v>-1.2426318843015038E-2</v>
      </c>
      <c r="L908">
        <v>187.8999939</v>
      </c>
      <c r="M908">
        <f t="shared" si="159"/>
        <v>2.09181784034429E-2</v>
      </c>
      <c r="N908">
        <v>507.35000609999997</v>
      </c>
      <c r="O908">
        <f t="shared" si="160"/>
        <v>-1.1013633333333384E-2</v>
      </c>
      <c r="P908">
        <v>72.150001529999997</v>
      </c>
      <c r="Q908">
        <f t="shared" si="161"/>
        <v>2.7797719037985225E-3</v>
      </c>
      <c r="R908">
        <v>167.9499969</v>
      </c>
      <c r="S908">
        <f t="shared" si="162"/>
        <v>-3.1988490489913479E-2</v>
      </c>
      <c r="T908">
        <v>2392.1999510000001</v>
      </c>
      <c r="U908">
        <f t="shared" si="163"/>
        <v>7.2208592013549566E-3</v>
      </c>
      <c r="W908">
        <f t="shared" si="164"/>
        <v>-7.2651166132180487E-3</v>
      </c>
      <c r="X908">
        <v>1.1471026222146239E-3</v>
      </c>
    </row>
    <row r="909" spans="1:24" x14ac:dyDescent="0.35">
      <c r="A909" s="1">
        <v>44155</v>
      </c>
      <c r="B909">
        <v>1753.2379149999999</v>
      </c>
      <c r="C909">
        <f t="shared" si="154"/>
        <v>-3.7326078977515609E-2</v>
      </c>
      <c r="D909">
        <v>2660.25</v>
      </c>
      <c r="E909">
        <f t="shared" si="155"/>
        <v>8.8551324918666463E-3</v>
      </c>
      <c r="F909">
        <v>1403.650024</v>
      </c>
      <c r="G909">
        <f t="shared" si="156"/>
        <v>2.1319204359632637E-2</v>
      </c>
      <c r="H909">
        <v>474.78588869999999</v>
      </c>
      <c r="I909">
        <f t="shared" si="157"/>
        <v>3.2333768986420708E-2</v>
      </c>
      <c r="J909">
        <v>1103.349976</v>
      </c>
      <c r="K909">
        <f t="shared" si="158"/>
        <v>6.0177579211306842E-3</v>
      </c>
      <c r="L909">
        <v>191.6999969</v>
      </c>
      <c r="M909">
        <f t="shared" si="159"/>
        <v>2.0223539773089882E-2</v>
      </c>
      <c r="N909">
        <v>503.25</v>
      </c>
      <c r="O909">
        <f t="shared" si="160"/>
        <v>-8.0812181939579064E-3</v>
      </c>
      <c r="P909">
        <v>71.650001529999997</v>
      </c>
      <c r="Q909">
        <f t="shared" si="161"/>
        <v>-6.9300067830504464E-3</v>
      </c>
      <c r="R909">
        <v>169.1000061</v>
      </c>
      <c r="S909">
        <f t="shared" si="162"/>
        <v>6.8473308795875543E-3</v>
      </c>
      <c r="T909">
        <v>2382.6000979999999</v>
      </c>
      <c r="U909">
        <f t="shared" si="163"/>
        <v>-4.0129810202476079E-3</v>
      </c>
      <c r="W909">
        <f t="shared" si="164"/>
        <v>3.9246449436956543E-3</v>
      </c>
      <c r="X909">
        <v>1.1500294699602789E-3</v>
      </c>
    </row>
    <row r="910" spans="1:24" x14ac:dyDescent="0.35">
      <c r="A910" s="1">
        <v>44158</v>
      </c>
      <c r="B910">
        <v>1800.4954829999999</v>
      </c>
      <c r="C910">
        <f t="shared" si="154"/>
        <v>2.6954452442354393E-2</v>
      </c>
      <c r="D910">
        <v>2724.25</v>
      </c>
      <c r="E910">
        <f t="shared" si="155"/>
        <v>2.405788929611874E-2</v>
      </c>
      <c r="F910">
        <v>1394.599976</v>
      </c>
      <c r="G910">
        <f t="shared" si="156"/>
        <v>-6.447510309022797E-3</v>
      </c>
      <c r="H910">
        <v>468.45477290000002</v>
      </c>
      <c r="I910">
        <f t="shared" si="157"/>
        <v>-1.3334675588895561E-2</v>
      </c>
      <c r="J910">
        <v>1139.849976</v>
      </c>
      <c r="K910">
        <f t="shared" si="158"/>
        <v>3.3081072002488554E-2</v>
      </c>
      <c r="L910">
        <v>190.8500061</v>
      </c>
      <c r="M910">
        <f t="shared" si="159"/>
        <v>-4.433963556313425E-3</v>
      </c>
      <c r="N910">
        <v>512.84997559999999</v>
      </c>
      <c r="O910">
        <f t="shared" si="160"/>
        <v>1.9075957476403449E-2</v>
      </c>
      <c r="P910">
        <v>76.5</v>
      </c>
      <c r="Q910">
        <f t="shared" si="161"/>
        <v>6.7690137703197317E-2</v>
      </c>
      <c r="R910">
        <v>170.6999969</v>
      </c>
      <c r="S910">
        <f t="shared" si="162"/>
        <v>9.4618021424186516E-3</v>
      </c>
      <c r="T910">
        <v>2360.3999020000001</v>
      </c>
      <c r="U910">
        <f t="shared" si="163"/>
        <v>-9.3176341336655977E-3</v>
      </c>
      <c r="W910">
        <f t="shared" si="164"/>
        <v>1.4678752747508373E-2</v>
      </c>
      <c r="X910">
        <v>1.1501479427773911E-3</v>
      </c>
    </row>
    <row r="911" spans="1:24" x14ac:dyDescent="0.35">
      <c r="A911" s="1">
        <v>44159</v>
      </c>
      <c r="B911">
        <v>1812.817505</v>
      </c>
      <c r="C911">
        <f t="shared" si="154"/>
        <v>6.8436839283090301E-3</v>
      </c>
      <c r="D911">
        <v>2722.0500489999999</v>
      </c>
      <c r="E911">
        <f t="shared" si="155"/>
        <v>-8.0754372763147675E-4</v>
      </c>
      <c r="F911">
        <v>1438.1999510000001</v>
      </c>
      <c r="G911">
        <f t="shared" si="156"/>
        <v>3.1263427327063109E-2</v>
      </c>
      <c r="H911">
        <v>465.51004030000001</v>
      </c>
      <c r="I911">
        <f t="shared" si="157"/>
        <v>-6.2860552829261396E-3</v>
      </c>
      <c r="J911">
        <v>1140.0500489999999</v>
      </c>
      <c r="K911">
        <f t="shared" si="158"/>
        <v>1.755257307651803E-4</v>
      </c>
      <c r="L911">
        <v>195.5500031</v>
      </c>
      <c r="M911">
        <f t="shared" si="159"/>
        <v>2.4626653653536223E-2</v>
      </c>
      <c r="N911">
        <v>520.15002440000001</v>
      </c>
      <c r="O911">
        <f t="shared" si="160"/>
        <v>1.4234277366318437E-2</v>
      </c>
      <c r="P911">
        <v>76.099998470000003</v>
      </c>
      <c r="Q911">
        <f t="shared" si="161"/>
        <v>-5.2287781699346114E-3</v>
      </c>
      <c r="R911">
        <v>172.0500031</v>
      </c>
      <c r="S911">
        <f t="shared" si="162"/>
        <v>7.9086480639531942E-3</v>
      </c>
      <c r="T911">
        <v>2380.25</v>
      </c>
      <c r="U911">
        <f t="shared" si="163"/>
        <v>8.4096334621861502E-3</v>
      </c>
      <c r="W911">
        <f t="shared" si="164"/>
        <v>8.1139472351639107E-3</v>
      </c>
      <c r="X911">
        <v>1.151456603204194E-3</v>
      </c>
    </row>
    <row r="912" spans="1:24" x14ac:dyDescent="0.35">
      <c r="A912" s="1">
        <v>44160</v>
      </c>
      <c r="B912">
        <v>1797.818726</v>
      </c>
      <c r="C912">
        <f t="shared" si="154"/>
        <v>-8.2737390601267391E-3</v>
      </c>
      <c r="D912">
        <v>2701.3000489999999</v>
      </c>
      <c r="E912">
        <f t="shared" si="155"/>
        <v>-7.6229311094492269E-3</v>
      </c>
      <c r="F912">
        <v>1402.8000489999999</v>
      </c>
      <c r="G912">
        <f t="shared" si="156"/>
        <v>-2.4614033657410439E-2</v>
      </c>
      <c r="H912">
        <v>455.5470886</v>
      </c>
      <c r="I912">
        <f t="shared" si="157"/>
        <v>-2.140222731518171E-2</v>
      </c>
      <c r="J912">
        <v>1115.650024</v>
      </c>
      <c r="K912">
        <f t="shared" si="158"/>
        <v>-2.140259107168363E-2</v>
      </c>
      <c r="L912">
        <v>193.8500061</v>
      </c>
      <c r="M912">
        <f t="shared" si="159"/>
        <v>-8.6934133114314749E-3</v>
      </c>
      <c r="N912">
        <v>506.2000122</v>
      </c>
      <c r="O912">
        <f t="shared" si="160"/>
        <v>-2.6819208969741992E-2</v>
      </c>
      <c r="P912">
        <v>80.800003050000001</v>
      </c>
      <c r="Q912">
        <f t="shared" si="161"/>
        <v>6.176090242436505E-2</v>
      </c>
      <c r="R912">
        <v>171.4499969</v>
      </c>
      <c r="S912">
        <f t="shared" si="162"/>
        <v>-3.4873942992680318E-3</v>
      </c>
      <c r="T912">
        <v>2360.8000489999999</v>
      </c>
      <c r="U912">
        <f t="shared" si="163"/>
        <v>-8.1713899800441858E-3</v>
      </c>
      <c r="W912">
        <f t="shared" si="164"/>
        <v>-6.8726026349972373E-3</v>
      </c>
      <c r="X912">
        <v>1.1685133271299832E-3</v>
      </c>
    </row>
    <row r="913" spans="1:24" x14ac:dyDescent="0.35">
      <c r="A913" s="1">
        <v>44161</v>
      </c>
      <c r="B913">
        <v>1802.2491460000001</v>
      </c>
      <c r="C913">
        <f t="shared" si="154"/>
        <v>2.4643307670164649E-3</v>
      </c>
      <c r="D913">
        <v>2720.6000979999999</v>
      </c>
      <c r="E913">
        <f t="shared" si="155"/>
        <v>7.1447261133188444E-3</v>
      </c>
      <c r="F913">
        <v>1426.650024</v>
      </c>
      <c r="G913">
        <f t="shared" si="156"/>
        <v>1.7001692448614936E-2</v>
      </c>
      <c r="H913">
        <v>459.76785280000001</v>
      </c>
      <c r="I913">
        <f t="shared" si="157"/>
        <v>9.2652643505446441E-3</v>
      </c>
      <c r="J913">
        <v>1113.1999510000001</v>
      </c>
      <c r="K913">
        <f t="shared" si="158"/>
        <v>-2.1960946060983755E-3</v>
      </c>
      <c r="L913">
        <v>194.8000031</v>
      </c>
      <c r="M913">
        <f t="shared" si="159"/>
        <v>4.9006807846574407E-3</v>
      </c>
      <c r="N913">
        <v>511.7000122</v>
      </c>
      <c r="O913">
        <f t="shared" si="160"/>
        <v>1.0865270382148795E-2</v>
      </c>
      <c r="P913">
        <v>80.199996949999999</v>
      </c>
      <c r="Q913">
        <f t="shared" si="161"/>
        <v>-7.4258177890007548E-3</v>
      </c>
      <c r="R913">
        <v>173.75</v>
      </c>
      <c r="S913">
        <f t="shared" si="162"/>
        <v>1.3415008116573368E-2</v>
      </c>
      <c r="T913">
        <v>2373.0500489999999</v>
      </c>
      <c r="U913">
        <f t="shared" si="163"/>
        <v>5.1889189028053728E-3</v>
      </c>
      <c r="W913">
        <f t="shared" si="164"/>
        <v>6.0623979470580732E-3</v>
      </c>
      <c r="X913">
        <v>1.1819873923483498E-3</v>
      </c>
    </row>
    <row r="914" spans="1:24" x14ac:dyDescent="0.35">
      <c r="A914" s="1">
        <v>44162</v>
      </c>
      <c r="B914">
        <v>1781.2048339999999</v>
      </c>
      <c r="C914">
        <f t="shared" si="154"/>
        <v>-1.1676694116741326E-2</v>
      </c>
      <c r="D914">
        <v>2679.6499020000001</v>
      </c>
      <c r="E914">
        <f t="shared" si="155"/>
        <v>-1.5051898303651279E-2</v>
      </c>
      <c r="F914">
        <v>1440.849976</v>
      </c>
      <c r="G914">
        <f t="shared" si="156"/>
        <v>9.9533534932321199E-3</v>
      </c>
      <c r="H914">
        <v>454.7127686</v>
      </c>
      <c r="I914">
        <f t="shared" si="157"/>
        <v>-1.0994862231481384E-2</v>
      </c>
      <c r="J914">
        <v>1100</v>
      </c>
      <c r="K914">
        <f t="shared" si="158"/>
        <v>-1.1857664014575664E-2</v>
      </c>
      <c r="L914">
        <v>193.6499939</v>
      </c>
      <c r="M914">
        <f t="shared" si="159"/>
        <v>-5.9035378937322136E-3</v>
      </c>
      <c r="N914">
        <v>511.64999390000003</v>
      </c>
      <c r="O914">
        <f t="shared" si="160"/>
        <v>-9.7749264818092207E-5</v>
      </c>
      <c r="P914">
        <v>78.5</v>
      </c>
      <c r="Q914">
        <f t="shared" si="161"/>
        <v>-2.1196970257490788E-2</v>
      </c>
      <c r="R914">
        <v>180.3500061</v>
      </c>
      <c r="S914">
        <f t="shared" si="162"/>
        <v>3.798564661870496E-2</v>
      </c>
      <c r="T914">
        <v>2289.1999510000001</v>
      </c>
      <c r="U914">
        <f t="shared" si="163"/>
        <v>-3.5334315024385665E-2</v>
      </c>
      <c r="W914">
        <f t="shared" si="164"/>
        <v>-6.4174690994939325E-3</v>
      </c>
      <c r="X914">
        <v>1.1891322057604797E-3</v>
      </c>
    </row>
    <row r="915" spans="1:24" x14ac:dyDescent="0.35">
      <c r="A915" s="1">
        <v>44166</v>
      </c>
      <c r="B915">
        <v>1804.3720699999999</v>
      </c>
      <c r="C915">
        <f t="shared" si="154"/>
        <v>1.3006497376258475E-2</v>
      </c>
      <c r="D915">
        <v>2726.8000489999999</v>
      </c>
      <c r="E915">
        <f t="shared" si="155"/>
        <v>1.7595637013928078E-2</v>
      </c>
      <c r="F915">
        <v>1433.3000489999999</v>
      </c>
      <c r="G915">
        <f t="shared" si="156"/>
        <v>-5.2399119448643949E-3</v>
      </c>
      <c r="H915">
        <v>470.61422729999998</v>
      </c>
      <c r="I915">
        <f t="shared" si="157"/>
        <v>3.4970336876526398E-2</v>
      </c>
      <c r="J915">
        <v>1137.849976</v>
      </c>
      <c r="K915">
        <f t="shared" si="158"/>
        <v>3.4409069090909128E-2</v>
      </c>
      <c r="L915">
        <v>194.3999939</v>
      </c>
      <c r="M915">
        <f t="shared" si="159"/>
        <v>3.8729668144854568E-3</v>
      </c>
      <c r="N915">
        <v>539.34997559999999</v>
      </c>
      <c r="O915">
        <f t="shared" si="160"/>
        <v>5.413853616778086E-2</v>
      </c>
      <c r="P915">
        <v>81.550003050000001</v>
      </c>
      <c r="Q915">
        <f t="shared" si="161"/>
        <v>3.885354203821656E-2</v>
      </c>
      <c r="R915">
        <v>179.75</v>
      </c>
      <c r="S915">
        <f t="shared" si="162"/>
        <v>-3.3268981408700604E-3</v>
      </c>
      <c r="T915">
        <v>2426.6999510000001</v>
      </c>
      <c r="U915">
        <f t="shared" si="163"/>
        <v>6.006465269228034E-2</v>
      </c>
      <c r="W915">
        <f t="shared" si="164"/>
        <v>2.4834442798465084E-2</v>
      </c>
      <c r="X915">
        <v>1.2048901075406905E-3</v>
      </c>
    </row>
    <row r="916" spans="1:24" x14ac:dyDescent="0.35">
      <c r="A916" s="1">
        <v>44167</v>
      </c>
      <c r="B916">
        <v>1807.3718260000001</v>
      </c>
      <c r="C916">
        <f t="shared" si="154"/>
        <v>1.6624930355966239E-3</v>
      </c>
      <c r="D916">
        <v>2749.5500489999999</v>
      </c>
      <c r="E916">
        <f t="shared" si="155"/>
        <v>8.3431126562958369E-3</v>
      </c>
      <c r="F916">
        <v>1406.9499510000001</v>
      </c>
      <c r="G916">
        <f t="shared" si="156"/>
        <v>-1.8384216213753746E-2</v>
      </c>
      <c r="H916">
        <v>475.96377560000002</v>
      </c>
      <c r="I916">
        <f t="shared" si="157"/>
        <v>1.1367162294882993E-2</v>
      </c>
      <c r="J916">
        <v>1140.900024</v>
      </c>
      <c r="K916">
        <f t="shared" si="158"/>
        <v>2.6805361553217111E-3</v>
      </c>
      <c r="L916">
        <v>195.9499969</v>
      </c>
      <c r="M916">
        <f t="shared" si="159"/>
        <v>7.9732667110952171E-3</v>
      </c>
      <c r="N916">
        <v>544.65002440000001</v>
      </c>
      <c r="O916">
        <f t="shared" si="160"/>
        <v>9.8267341054460999E-3</v>
      </c>
      <c r="P916">
        <v>84.849998470000003</v>
      </c>
      <c r="Q916">
        <f t="shared" si="161"/>
        <v>4.0465914121139868E-2</v>
      </c>
      <c r="R916">
        <v>183.6000061</v>
      </c>
      <c r="S916">
        <f t="shared" si="162"/>
        <v>2.1418670931849793E-2</v>
      </c>
      <c r="T916">
        <v>2456</v>
      </c>
      <c r="U916">
        <f t="shared" si="163"/>
        <v>1.2074030408220082E-2</v>
      </c>
      <c r="W916">
        <f t="shared" si="164"/>
        <v>9.7427704206094479E-3</v>
      </c>
      <c r="X916">
        <v>1.2087926408209319E-3</v>
      </c>
    </row>
    <row r="917" spans="1:24" x14ac:dyDescent="0.35">
      <c r="A917" s="1">
        <v>44168</v>
      </c>
      <c r="B917">
        <v>1812.817505</v>
      </c>
      <c r="C917">
        <f t="shared" si="154"/>
        <v>3.0130374512100655E-3</v>
      </c>
      <c r="D917">
        <v>2709.4499510000001</v>
      </c>
      <c r="E917">
        <f t="shared" si="155"/>
        <v>-1.4584240070328658E-2</v>
      </c>
      <c r="F917">
        <v>1377.1999510000001</v>
      </c>
      <c r="G917">
        <f t="shared" si="156"/>
        <v>-2.1145030765916673E-2</v>
      </c>
      <c r="H917">
        <v>471.05593870000001</v>
      </c>
      <c r="I917">
        <f t="shared" si="157"/>
        <v>-1.0311366435004854E-2</v>
      </c>
      <c r="J917">
        <v>1126.4499510000001</v>
      </c>
      <c r="K917">
        <f t="shared" si="158"/>
        <v>-1.2665503283397217E-2</v>
      </c>
      <c r="L917">
        <v>196.1999969</v>
      </c>
      <c r="M917">
        <f t="shared" si="159"/>
        <v>1.2758356925495207E-3</v>
      </c>
      <c r="N917">
        <v>548.25</v>
      </c>
      <c r="O917">
        <f t="shared" si="160"/>
        <v>6.6097042848125565E-3</v>
      </c>
      <c r="P917">
        <v>88.699996949999999</v>
      </c>
      <c r="Q917">
        <f t="shared" si="161"/>
        <v>4.5374172650824773E-2</v>
      </c>
      <c r="R917">
        <v>184.8500061</v>
      </c>
      <c r="S917">
        <f t="shared" si="162"/>
        <v>6.8082786409013885E-3</v>
      </c>
      <c r="T917">
        <v>2470.8500979999999</v>
      </c>
      <c r="U917">
        <f t="shared" si="163"/>
        <v>6.0464568403908459E-3</v>
      </c>
      <c r="W917">
        <f t="shared" si="164"/>
        <v>1.042134500604175E-3</v>
      </c>
      <c r="X917">
        <v>1.2135569957029916E-3</v>
      </c>
    </row>
    <row r="918" spans="1:24" x14ac:dyDescent="0.35">
      <c r="A918" s="1">
        <v>44169</v>
      </c>
      <c r="B918">
        <v>1796.8496090000001</v>
      </c>
      <c r="C918">
        <f t="shared" si="154"/>
        <v>-8.8083306543312867E-3</v>
      </c>
      <c r="D918">
        <v>2727.5500489999999</v>
      </c>
      <c r="E918">
        <f t="shared" si="155"/>
        <v>6.6803588652077917E-3</v>
      </c>
      <c r="F918">
        <v>1385.599976</v>
      </c>
      <c r="G918">
        <f t="shared" si="156"/>
        <v>6.0993503477113631E-3</v>
      </c>
      <c r="H918">
        <v>484.65069579999999</v>
      </c>
      <c r="I918">
        <f t="shared" si="157"/>
        <v>2.886017558236964E-2</v>
      </c>
      <c r="J918">
        <v>1134.650024</v>
      </c>
      <c r="K918">
        <f t="shared" si="158"/>
        <v>7.2795715359750268E-3</v>
      </c>
      <c r="L918">
        <v>198.1999969</v>
      </c>
      <c r="M918">
        <f t="shared" si="159"/>
        <v>1.0193680079512824E-2</v>
      </c>
      <c r="N918">
        <v>569.04998780000005</v>
      </c>
      <c r="O918">
        <f t="shared" si="160"/>
        <v>3.7938874236206122E-2</v>
      </c>
      <c r="P918">
        <v>89.849998470000003</v>
      </c>
      <c r="Q918">
        <f t="shared" si="161"/>
        <v>1.2965068315033301E-2</v>
      </c>
      <c r="R918">
        <v>184.1499939</v>
      </c>
      <c r="S918">
        <f t="shared" si="162"/>
        <v>-3.786920080604772E-3</v>
      </c>
      <c r="T918">
        <v>2441.8999020000001</v>
      </c>
      <c r="U918">
        <f t="shared" si="163"/>
        <v>-1.1716694599738453E-2</v>
      </c>
      <c r="W918">
        <f t="shared" si="164"/>
        <v>8.570513362734157E-3</v>
      </c>
      <c r="X918">
        <v>1.2167726156709358E-3</v>
      </c>
    </row>
    <row r="919" spans="1:24" x14ac:dyDescent="0.35">
      <c r="A919" s="1">
        <v>44172</v>
      </c>
      <c r="B919">
        <v>1807.4179690000001</v>
      </c>
      <c r="C919">
        <f t="shared" si="154"/>
        <v>5.8816051978225481E-3</v>
      </c>
      <c r="D919">
        <v>2737.6999510000001</v>
      </c>
      <c r="E919">
        <f t="shared" si="155"/>
        <v>3.7212523391536578E-3</v>
      </c>
      <c r="F919">
        <v>1372.25</v>
      </c>
      <c r="G919">
        <f t="shared" si="156"/>
        <v>-9.6347980883625395E-3</v>
      </c>
      <c r="H919">
        <v>499.57055659999997</v>
      </c>
      <c r="I919">
        <f t="shared" si="157"/>
        <v>3.0784771236884723E-2</v>
      </c>
      <c r="J919">
        <v>1143.5</v>
      </c>
      <c r="K919">
        <f t="shared" si="158"/>
        <v>7.7997407242815786E-3</v>
      </c>
      <c r="L919">
        <v>203.1499939</v>
      </c>
      <c r="M919">
        <f t="shared" si="159"/>
        <v>2.4974758211007808E-2</v>
      </c>
      <c r="N919">
        <v>582.29998780000005</v>
      </c>
      <c r="O919">
        <f t="shared" si="160"/>
        <v>2.3284421903294827E-2</v>
      </c>
      <c r="P919">
        <v>91.550003050000001</v>
      </c>
      <c r="Q919">
        <f t="shared" si="161"/>
        <v>1.8920474223131034E-2</v>
      </c>
      <c r="R919">
        <v>183.5500031</v>
      </c>
      <c r="S919">
        <f t="shared" si="162"/>
        <v>-3.2581635616334426E-3</v>
      </c>
      <c r="T919">
        <v>2526.4499510000001</v>
      </c>
      <c r="U919">
        <f t="shared" si="163"/>
        <v>3.4624698961145173E-2</v>
      </c>
      <c r="W919">
        <f t="shared" si="164"/>
        <v>1.3709876114672536E-2</v>
      </c>
      <c r="X919">
        <v>1.2285381790283936E-3</v>
      </c>
    </row>
    <row r="920" spans="1:24" x14ac:dyDescent="0.35">
      <c r="A920" s="1">
        <v>44173</v>
      </c>
      <c r="B920">
        <v>1840.230591</v>
      </c>
      <c r="C920">
        <f t="shared" si="154"/>
        <v>1.8154418381794768E-2</v>
      </c>
      <c r="D920">
        <v>2797.3000489999999</v>
      </c>
      <c r="E920">
        <f t="shared" si="155"/>
        <v>2.1770135174320249E-2</v>
      </c>
      <c r="F920">
        <v>1376.3000489999999</v>
      </c>
      <c r="G920">
        <f t="shared" si="156"/>
        <v>2.9513929677535966E-3</v>
      </c>
      <c r="H920">
        <v>494.31915279999998</v>
      </c>
      <c r="I920">
        <f t="shared" si="157"/>
        <v>-1.051183607725048E-2</v>
      </c>
      <c r="J920">
        <v>1153.349976</v>
      </c>
      <c r="K920">
        <f t="shared" si="158"/>
        <v>8.6138836904241511E-3</v>
      </c>
      <c r="L920">
        <v>202.4499969</v>
      </c>
      <c r="M920">
        <f t="shared" si="159"/>
        <v>-3.4457150923891122E-3</v>
      </c>
      <c r="N920">
        <v>568.70001219999995</v>
      </c>
      <c r="O920">
        <f t="shared" si="160"/>
        <v>-2.3355617181759603E-2</v>
      </c>
      <c r="P920">
        <v>90.75</v>
      </c>
      <c r="Q920">
        <f t="shared" si="161"/>
        <v>-8.7384273440501703E-3</v>
      </c>
      <c r="R920">
        <v>181.8000031</v>
      </c>
      <c r="S920">
        <f t="shared" si="162"/>
        <v>-9.5341867090384946E-3</v>
      </c>
      <c r="T920">
        <v>2652.1000979999999</v>
      </c>
      <c r="U920">
        <f t="shared" si="163"/>
        <v>4.9733875373334069E-2</v>
      </c>
      <c r="W920">
        <f t="shared" si="164"/>
        <v>4.5637923183138966E-3</v>
      </c>
      <c r="X920">
        <v>1.2295878778965871E-3</v>
      </c>
    </row>
    <row r="921" spans="1:24" x14ac:dyDescent="0.35">
      <c r="A921" s="1">
        <v>44174</v>
      </c>
      <c r="B921">
        <v>1870.8741460000001</v>
      </c>
      <c r="C921">
        <f t="shared" si="154"/>
        <v>1.6652019127313844E-2</v>
      </c>
      <c r="D921">
        <v>2810.8000489999999</v>
      </c>
      <c r="E921">
        <f t="shared" si="155"/>
        <v>4.8260822091024114E-3</v>
      </c>
      <c r="F921">
        <v>1407.1999510000001</v>
      </c>
      <c r="G921">
        <f t="shared" si="156"/>
        <v>2.2451428394884898E-2</v>
      </c>
      <c r="H921">
        <v>493.77929690000002</v>
      </c>
      <c r="I921">
        <f t="shared" si="157"/>
        <v>-1.092120135224417E-3</v>
      </c>
      <c r="J921">
        <v>1175.1999510000001</v>
      </c>
      <c r="K921">
        <f t="shared" si="158"/>
        <v>1.8944791654463167E-2</v>
      </c>
      <c r="L921">
        <v>205.3999939</v>
      </c>
      <c r="M921">
        <f t="shared" si="159"/>
        <v>1.4571484540240043E-2</v>
      </c>
      <c r="N921">
        <v>569.54998780000005</v>
      </c>
      <c r="O921">
        <f t="shared" si="160"/>
        <v>1.4945939542219122E-3</v>
      </c>
      <c r="P921">
        <v>91.199996949999999</v>
      </c>
      <c r="Q921">
        <f t="shared" si="161"/>
        <v>4.9586440771349771E-3</v>
      </c>
      <c r="R921">
        <v>182.6999969</v>
      </c>
      <c r="S921">
        <f t="shared" si="162"/>
        <v>4.9504608616808277E-3</v>
      </c>
      <c r="T921">
        <v>2625.3000489999999</v>
      </c>
      <c r="U921">
        <f t="shared" si="163"/>
        <v>-1.0105217755623341E-2</v>
      </c>
      <c r="W921">
        <f t="shared" si="164"/>
        <v>7.7652166928194296E-3</v>
      </c>
      <c r="X921">
        <v>1.2305877981691696E-3</v>
      </c>
    </row>
    <row r="922" spans="1:24" x14ac:dyDescent="0.35">
      <c r="A922" s="1">
        <v>44175</v>
      </c>
      <c r="B922">
        <v>1852.460327</v>
      </c>
      <c r="C922">
        <f t="shared" si="154"/>
        <v>-9.842361144051015E-3</v>
      </c>
      <c r="D922">
        <v>2784.3000489999999</v>
      </c>
      <c r="E922">
        <f t="shared" si="155"/>
        <v>-9.4279207122640596E-3</v>
      </c>
      <c r="F922">
        <v>1385.849976</v>
      </c>
      <c r="G922">
        <f t="shared" si="156"/>
        <v>-1.5171955474293619E-2</v>
      </c>
      <c r="H922">
        <v>495.84060670000002</v>
      </c>
      <c r="I922">
        <f t="shared" si="157"/>
        <v>4.1745569588298448E-3</v>
      </c>
      <c r="J922">
        <v>1167.75</v>
      </c>
      <c r="K922">
        <f t="shared" si="158"/>
        <v>-6.3393050635006665E-3</v>
      </c>
      <c r="L922">
        <v>212.6999969</v>
      </c>
      <c r="M922">
        <f t="shared" si="159"/>
        <v>3.5540424619262767E-2</v>
      </c>
      <c r="N922">
        <v>565.20001219999995</v>
      </c>
      <c r="O922">
        <f t="shared" si="160"/>
        <v>-7.6375659611594982E-3</v>
      </c>
      <c r="P922">
        <v>91.650001529999997</v>
      </c>
      <c r="Q922">
        <f t="shared" si="161"/>
        <v>4.934260910630428E-3</v>
      </c>
      <c r="R922">
        <v>177.6000061</v>
      </c>
      <c r="S922">
        <f t="shared" si="162"/>
        <v>-2.7914564239382322E-2</v>
      </c>
      <c r="T922">
        <v>2622.0500489999999</v>
      </c>
      <c r="U922">
        <f t="shared" si="163"/>
        <v>-1.2379537345599267E-3</v>
      </c>
      <c r="W922">
        <f t="shared" si="164"/>
        <v>-3.2922383840488065E-3</v>
      </c>
      <c r="X922">
        <v>1.2834321934556583E-3</v>
      </c>
    </row>
    <row r="923" spans="1:24" x14ac:dyDescent="0.35">
      <c r="A923" s="1">
        <v>44176</v>
      </c>
      <c r="B923">
        <v>1851.352783</v>
      </c>
      <c r="C923">
        <f t="shared" si="154"/>
        <v>-5.9787731151772494E-4</v>
      </c>
      <c r="D923">
        <v>2783.6000979999999</v>
      </c>
      <c r="E923">
        <f t="shared" si="155"/>
        <v>-2.5139208694535675E-4</v>
      </c>
      <c r="F923">
        <v>1382.8000489999999</v>
      </c>
      <c r="G923">
        <f t="shared" si="156"/>
        <v>-2.2007627469194935E-3</v>
      </c>
      <c r="H923">
        <v>495.10440060000002</v>
      </c>
      <c r="I923">
        <f t="shared" si="157"/>
        <v>-1.4847636318043866E-3</v>
      </c>
      <c r="J923">
        <v>1163.1999510000001</v>
      </c>
      <c r="K923">
        <f t="shared" si="158"/>
        <v>-3.8964238921000982E-3</v>
      </c>
      <c r="L923">
        <v>216.3000031</v>
      </c>
      <c r="M923">
        <f t="shared" si="159"/>
        <v>1.6925276222230057E-2</v>
      </c>
      <c r="N923">
        <v>568.09997559999999</v>
      </c>
      <c r="O923">
        <f t="shared" si="160"/>
        <v>5.1308622388597236E-3</v>
      </c>
      <c r="P923">
        <v>96.800003050000001</v>
      </c>
      <c r="Q923">
        <f t="shared" si="161"/>
        <v>5.6192050562205775E-2</v>
      </c>
      <c r="R923">
        <v>178.8500061</v>
      </c>
      <c r="S923">
        <f t="shared" si="162"/>
        <v>7.0382880465453823E-3</v>
      </c>
      <c r="T923">
        <v>2685.1000979999999</v>
      </c>
      <c r="U923">
        <f t="shared" si="163"/>
        <v>2.4046089060750786E-2</v>
      </c>
      <c r="W923">
        <f t="shared" si="164"/>
        <v>1.0090134646130467E-2</v>
      </c>
      <c r="X923">
        <v>1.2935454080412524E-3</v>
      </c>
    </row>
    <row r="924" spans="1:24" x14ac:dyDescent="0.35">
      <c r="A924" s="1">
        <v>44179</v>
      </c>
      <c r="B924">
        <v>1837.9692379999999</v>
      </c>
      <c r="C924">
        <f t="shared" si="154"/>
        <v>-7.229062511961093E-3</v>
      </c>
      <c r="D924">
        <v>2797.6999510000001</v>
      </c>
      <c r="E924">
        <f t="shared" si="155"/>
        <v>5.065329969678789E-3</v>
      </c>
      <c r="F924">
        <v>1372.150024</v>
      </c>
      <c r="G924">
        <f t="shared" si="156"/>
        <v>-7.7017823420686415E-3</v>
      </c>
      <c r="H924">
        <v>493.77929690000002</v>
      </c>
      <c r="I924">
        <f t="shared" si="157"/>
        <v>-2.676412688705998E-3</v>
      </c>
      <c r="J924">
        <v>1164.5500489999999</v>
      </c>
      <c r="K924">
        <f t="shared" si="158"/>
        <v>1.1606757710393989E-3</v>
      </c>
      <c r="L924">
        <v>215.8999939</v>
      </c>
      <c r="M924">
        <f t="shared" si="159"/>
        <v>-1.8493259096953318E-3</v>
      </c>
      <c r="N924">
        <v>576.25</v>
      </c>
      <c r="O924">
        <f t="shared" si="160"/>
        <v>1.434610939983294E-2</v>
      </c>
      <c r="P924">
        <v>101.5</v>
      </c>
      <c r="Q924">
        <f t="shared" si="161"/>
        <v>4.8553685970157634E-2</v>
      </c>
      <c r="R924">
        <v>177.6499939</v>
      </c>
      <c r="S924">
        <f t="shared" si="162"/>
        <v>-6.7096011130636235E-3</v>
      </c>
      <c r="T924">
        <v>2671.9499510000001</v>
      </c>
      <c r="U924">
        <f t="shared" si="163"/>
        <v>-4.8974513128187125E-3</v>
      </c>
      <c r="W924">
        <f t="shared" si="164"/>
        <v>3.8062165232395362E-3</v>
      </c>
      <c r="X924">
        <v>1.2945508429329071E-3</v>
      </c>
    </row>
    <row r="925" spans="1:24" x14ac:dyDescent="0.35">
      <c r="A925" s="1">
        <v>44180</v>
      </c>
      <c r="B925">
        <v>1822.3244629999999</v>
      </c>
      <c r="C925">
        <f t="shared" si="154"/>
        <v>-8.5119895787940658E-3</v>
      </c>
      <c r="D925">
        <v>2761.5500489999999</v>
      </c>
      <c r="E925">
        <f t="shared" si="155"/>
        <v>-1.2921293431441327E-2</v>
      </c>
      <c r="F925">
        <v>1391.3000489999999</v>
      </c>
      <c r="G925">
        <f t="shared" si="156"/>
        <v>1.3956218099370199E-2</v>
      </c>
      <c r="H925">
        <v>494.90811159999998</v>
      </c>
      <c r="I925">
        <f t="shared" si="157"/>
        <v>2.2860713421699597E-3</v>
      </c>
      <c r="J925">
        <v>1154.599976</v>
      </c>
      <c r="K925">
        <f t="shared" si="158"/>
        <v>-8.544135143478071E-3</v>
      </c>
      <c r="L925">
        <v>213.5500031</v>
      </c>
      <c r="M925">
        <f t="shared" si="159"/>
        <v>-1.0884626523372964E-2</v>
      </c>
      <c r="N925">
        <v>571.65002440000001</v>
      </c>
      <c r="O925">
        <f t="shared" si="160"/>
        <v>-7.9826040780911489E-3</v>
      </c>
      <c r="P925">
        <v>100.4499969</v>
      </c>
      <c r="Q925">
        <f t="shared" si="161"/>
        <v>-1.0344858128078838E-2</v>
      </c>
      <c r="R925">
        <v>178.8999939</v>
      </c>
      <c r="S925">
        <f t="shared" si="162"/>
        <v>7.0363075875117254E-3</v>
      </c>
      <c r="T925">
        <v>2640.0500489999999</v>
      </c>
      <c r="U925">
        <f t="shared" si="163"/>
        <v>-1.1938809702652264E-2</v>
      </c>
      <c r="W925">
        <f t="shared" si="164"/>
        <v>-4.7849719556856797E-3</v>
      </c>
      <c r="X925">
        <v>1.3172655433488223E-3</v>
      </c>
    </row>
    <row r="926" spans="1:24" x14ac:dyDescent="0.35">
      <c r="A926" s="1">
        <v>44181</v>
      </c>
      <c r="B926">
        <v>1824.3549800000001</v>
      </c>
      <c r="C926">
        <f t="shared" si="154"/>
        <v>1.1142455919499472E-3</v>
      </c>
      <c r="D926">
        <v>2814.1999510000001</v>
      </c>
      <c r="E926">
        <f t="shared" si="155"/>
        <v>1.9065344124060024E-2</v>
      </c>
      <c r="F926">
        <v>1410.6999510000001</v>
      </c>
      <c r="G926">
        <f t="shared" si="156"/>
        <v>1.394372264555277E-2</v>
      </c>
      <c r="H926">
        <v>506.68695070000001</v>
      </c>
      <c r="I926">
        <f t="shared" si="157"/>
        <v>2.3800052623748513E-2</v>
      </c>
      <c r="J926">
        <v>1165.6999510000001</v>
      </c>
      <c r="K926">
        <f t="shared" si="158"/>
        <v>9.6136975842100458E-3</v>
      </c>
      <c r="L926">
        <v>214</v>
      </c>
      <c r="M926">
        <f t="shared" si="159"/>
        <v>2.1072202925198624E-3</v>
      </c>
      <c r="N926">
        <v>576.59997559999999</v>
      </c>
      <c r="O926">
        <f t="shared" si="160"/>
        <v>8.6590588449557693E-3</v>
      </c>
      <c r="P926">
        <v>102.9000015</v>
      </c>
      <c r="Q926">
        <f t="shared" si="161"/>
        <v>2.4390290449078256E-2</v>
      </c>
      <c r="R926">
        <v>182.5500031</v>
      </c>
      <c r="S926">
        <f t="shared" si="162"/>
        <v>2.0402511595613904E-2</v>
      </c>
      <c r="T926">
        <v>2627.0500489999999</v>
      </c>
      <c r="U926">
        <f t="shared" si="163"/>
        <v>-4.9241490724480919E-3</v>
      </c>
      <c r="W926">
        <f t="shared" si="164"/>
        <v>1.1817199467924101E-2</v>
      </c>
      <c r="X926">
        <v>1.3328504997725974E-3</v>
      </c>
    </row>
    <row r="927" spans="1:24" x14ac:dyDescent="0.35">
      <c r="A927" s="1">
        <v>44182</v>
      </c>
      <c r="B927">
        <v>1832.70813</v>
      </c>
      <c r="C927">
        <f t="shared" si="154"/>
        <v>4.5786867641295359E-3</v>
      </c>
      <c r="D927">
        <v>2838.1999510000001</v>
      </c>
      <c r="E927">
        <f t="shared" si="155"/>
        <v>8.5281786716937535E-3</v>
      </c>
      <c r="F927">
        <v>1441.8000489999999</v>
      </c>
      <c r="G927">
        <f t="shared" si="156"/>
        <v>2.2045863103599128E-2</v>
      </c>
      <c r="H927">
        <v>505.6072388</v>
      </c>
      <c r="I927">
        <f t="shared" si="157"/>
        <v>-2.1309250189063267E-3</v>
      </c>
      <c r="J927">
        <v>1159.1999510000001</v>
      </c>
      <c r="K927">
        <f t="shared" si="158"/>
        <v>-5.5760489604755881E-3</v>
      </c>
      <c r="L927">
        <v>213.0500031</v>
      </c>
      <c r="M927">
        <f t="shared" si="159"/>
        <v>-4.4392378504672925E-3</v>
      </c>
      <c r="N927">
        <v>571.34997559999999</v>
      </c>
      <c r="O927">
        <f t="shared" si="160"/>
        <v>-9.1050992406597198E-3</v>
      </c>
      <c r="P927">
        <v>101.5</v>
      </c>
      <c r="Q927">
        <f t="shared" si="161"/>
        <v>-1.3605456555799922E-2</v>
      </c>
      <c r="R927">
        <v>181.6999969</v>
      </c>
      <c r="S927">
        <f t="shared" si="162"/>
        <v>-4.6562924435250563E-3</v>
      </c>
      <c r="T927">
        <v>2556.0500489999999</v>
      </c>
      <c r="U927">
        <f t="shared" si="163"/>
        <v>-2.7026512124131985E-2</v>
      </c>
      <c r="W927">
        <f t="shared" si="164"/>
        <v>-3.1386843654543474E-3</v>
      </c>
      <c r="X927">
        <v>1.344206925111313E-3</v>
      </c>
    </row>
    <row r="928" spans="1:24" x14ac:dyDescent="0.35">
      <c r="A928" s="1">
        <v>44183</v>
      </c>
      <c r="B928">
        <v>1838.1999510000001</v>
      </c>
      <c r="C928">
        <f t="shared" si="154"/>
        <v>2.996560614373589E-3</v>
      </c>
      <c r="D928">
        <v>2861</v>
      </c>
      <c r="E928">
        <f t="shared" si="155"/>
        <v>8.0332779203828864E-3</v>
      </c>
      <c r="F928">
        <v>1411.349976</v>
      </c>
      <c r="G928">
        <f t="shared" si="156"/>
        <v>-2.1119483954185947E-2</v>
      </c>
      <c r="H928">
        <v>501.23922729999998</v>
      </c>
      <c r="I928">
        <f t="shared" si="157"/>
        <v>-8.6391395628887535E-3</v>
      </c>
      <c r="J928">
        <v>1189.8000489999999</v>
      </c>
      <c r="K928">
        <f t="shared" si="158"/>
        <v>2.6397601184853681E-2</v>
      </c>
      <c r="L928">
        <v>214.5</v>
      </c>
      <c r="M928">
        <f t="shared" si="159"/>
        <v>6.8058994550654894E-3</v>
      </c>
      <c r="N928">
        <v>575</v>
      </c>
      <c r="O928">
        <f t="shared" si="160"/>
        <v>6.3884213807254842E-3</v>
      </c>
      <c r="P928">
        <v>99</v>
      </c>
      <c r="Q928">
        <f t="shared" si="161"/>
        <v>-2.4630541871921152E-2</v>
      </c>
      <c r="R928">
        <v>180.5500031</v>
      </c>
      <c r="S928">
        <f t="shared" si="162"/>
        <v>-6.3290799098522088E-3</v>
      </c>
      <c r="T928">
        <v>2637.0500489999999</v>
      </c>
      <c r="U928">
        <f t="shared" si="163"/>
        <v>3.1689520333019194E-2</v>
      </c>
      <c r="W928">
        <f t="shared" si="164"/>
        <v>2.1593035589572264E-3</v>
      </c>
      <c r="X928">
        <v>1.3599635981021096E-3</v>
      </c>
    </row>
    <row r="929" spans="1:24" x14ac:dyDescent="0.35">
      <c r="A929" s="1">
        <v>44186</v>
      </c>
      <c r="B929">
        <v>1790.342529</v>
      </c>
      <c r="C929">
        <f t="shared" si="154"/>
        <v>-2.6034938132799446E-2</v>
      </c>
      <c r="D929">
        <v>2820.1499020000001</v>
      </c>
      <c r="E929">
        <f t="shared" si="155"/>
        <v>-1.4278258650821329E-2</v>
      </c>
      <c r="F929">
        <v>1372.650024</v>
      </c>
      <c r="G929">
        <f t="shared" si="156"/>
        <v>-2.7420521244264306E-2</v>
      </c>
      <c r="H929">
        <v>481.85321040000002</v>
      </c>
      <c r="I929">
        <f t="shared" si="157"/>
        <v>-3.8676176652066241E-2</v>
      </c>
      <c r="J929">
        <v>1177.3000489999999</v>
      </c>
      <c r="K929">
        <f t="shared" si="158"/>
        <v>-1.0505966956805834E-2</v>
      </c>
      <c r="L929">
        <v>202.9499969</v>
      </c>
      <c r="M929">
        <f t="shared" si="159"/>
        <v>-5.3846168298368302E-2</v>
      </c>
      <c r="N929">
        <v>552.54998780000005</v>
      </c>
      <c r="O929">
        <f t="shared" si="160"/>
        <v>-3.9043499478260801E-2</v>
      </c>
      <c r="P929">
        <v>89.849998470000003</v>
      </c>
      <c r="Q929">
        <f t="shared" si="161"/>
        <v>-9.242425787878783E-2</v>
      </c>
      <c r="R929">
        <v>164.5500031</v>
      </c>
      <c r="S929">
        <f t="shared" si="162"/>
        <v>-8.8618109804950773E-2</v>
      </c>
      <c r="T929">
        <v>2682.3999020000001</v>
      </c>
      <c r="U929">
        <f t="shared" si="163"/>
        <v>1.7197190859990386E-2</v>
      </c>
      <c r="W929">
        <f t="shared" si="164"/>
        <v>-3.7365070623713449E-2</v>
      </c>
      <c r="X929">
        <v>1.3678908560764039E-3</v>
      </c>
    </row>
    <row r="930" spans="1:24" x14ac:dyDescent="0.35">
      <c r="A930" s="1">
        <v>44187</v>
      </c>
      <c r="B930">
        <v>1787.573486</v>
      </c>
      <c r="C930">
        <f t="shared" si="154"/>
        <v>-1.5466554333302129E-3</v>
      </c>
      <c r="D930">
        <v>2872.5</v>
      </c>
      <c r="E930">
        <f t="shared" si="155"/>
        <v>1.8562877796983068E-2</v>
      </c>
      <c r="F930">
        <v>1373.099976</v>
      </c>
      <c r="G930">
        <f t="shared" si="156"/>
        <v>3.2779804912608235E-4</v>
      </c>
      <c r="H930">
        <v>491.07998659999998</v>
      </c>
      <c r="I930">
        <f t="shared" si="157"/>
        <v>1.9148520754568743E-2</v>
      </c>
      <c r="J930">
        <v>1220.5</v>
      </c>
      <c r="K930">
        <f t="shared" si="158"/>
        <v>3.6694087490010796E-2</v>
      </c>
      <c r="L930">
        <v>203.3999939</v>
      </c>
      <c r="M930">
        <f t="shared" si="159"/>
        <v>2.2172801521240793E-3</v>
      </c>
      <c r="N930">
        <v>568.29998780000005</v>
      </c>
      <c r="O930">
        <f t="shared" si="160"/>
        <v>2.8504208393360431E-2</v>
      </c>
      <c r="P930">
        <v>90.550003050000001</v>
      </c>
      <c r="Q930">
        <f t="shared" si="161"/>
        <v>7.7908134882576086E-3</v>
      </c>
      <c r="R930">
        <v>164.9499969</v>
      </c>
      <c r="S930">
        <f t="shared" si="162"/>
        <v>2.4308343510448527E-3</v>
      </c>
      <c r="T930">
        <v>2625.75</v>
      </c>
      <c r="U930">
        <f t="shared" si="163"/>
        <v>-2.1119111269636504E-2</v>
      </c>
      <c r="W930">
        <f t="shared" si="164"/>
        <v>9.3010653772508944E-3</v>
      </c>
      <c r="X930">
        <v>1.3748609002878999E-3</v>
      </c>
    </row>
    <row r="931" spans="1:24" x14ac:dyDescent="0.35">
      <c r="A931" s="1">
        <v>44188</v>
      </c>
      <c r="B931">
        <v>1794.1729740000001</v>
      </c>
      <c r="C931">
        <f t="shared" si="154"/>
        <v>3.6918694821141962E-3</v>
      </c>
      <c r="D931">
        <v>2908.75</v>
      </c>
      <c r="E931">
        <f t="shared" si="155"/>
        <v>1.2619669277632806E-2</v>
      </c>
      <c r="F931">
        <v>1375.650024</v>
      </c>
      <c r="G931">
        <f t="shared" si="156"/>
        <v>1.8571466350385535E-3</v>
      </c>
      <c r="H931">
        <v>497.85281370000001</v>
      </c>
      <c r="I931">
        <f t="shared" si="157"/>
        <v>1.3791698470328129E-2</v>
      </c>
      <c r="J931">
        <v>1253.0500489999999</v>
      </c>
      <c r="K931">
        <f t="shared" si="158"/>
        <v>2.6669437935272322E-2</v>
      </c>
      <c r="L931">
        <v>207.75</v>
      </c>
      <c r="M931">
        <f t="shared" si="159"/>
        <v>2.1386461310016758E-2</v>
      </c>
      <c r="N931">
        <v>574.59997559999999</v>
      </c>
      <c r="O931">
        <f t="shared" si="160"/>
        <v>1.1085672946058667E-2</v>
      </c>
      <c r="P931">
        <v>90.800003050000001</v>
      </c>
      <c r="Q931">
        <f t="shared" si="161"/>
        <v>2.7609054840336267E-3</v>
      </c>
      <c r="R931">
        <v>169.1999969</v>
      </c>
      <c r="S931">
        <f t="shared" si="162"/>
        <v>2.5765383933753716E-2</v>
      </c>
      <c r="T931">
        <v>2661.8500979999999</v>
      </c>
      <c r="U931">
        <f t="shared" si="163"/>
        <v>1.3748490145672587E-2</v>
      </c>
      <c r="W931">
        <f t="shared" si="164"/>
        <v>1.3337673561992138E-2</v>
      </c>
      <c r="X931">
        <v>1.3905218833701995E-3</v>
      </c>
    </row>
    <row r="932" spans="1:24" x14ac:dyDescent="0.35">
      <c r="A932" s="1">
        <v>44189</v>
      </c>
      <c r="B932">
        <v>1840.5998540000001</v>
      </c>
      <c r="C932">
        <f t="shared" si="154"/>
        <v>2.587647939902582E-2</v>
      </c>
      <c r="D932">
        <v>2909.3500979999999</v>
      </c>
      <c r="E932">
        <f t="shared" si="155"/>
        <v>2.0630786420272607E-4</v>
      </c>
      <c r="F932">
        <v>1397.099976</v>
      </c>
      <c r="G932">
        <f t="shared" si="156"/>
        <v>1.5592593774417685E-2</v>
      </c>
      <c r="H932">
        <v>507.7666931</v>
      </c>
      <c r="I932">
        <f t="shared" si="157"/>
        <v>1.9913273817457888E-2</v>
      </c>
      <c r="J932">
        <v>1236.0500489999999</v>
      </c>
      <c r="K932">
        <f t="shared" si="158"/>
        <v>-1.3566896241348769E-2</v>
      </c>
      <c r="L932">
        <v>208.6000061</v>
      </c>
      <c r="M932">
        <f t="shared" si="159"/>
        <v>4.0914854392297695E-3</v>
      </c>
      <c r="N932">
        <v>590.45001219999995</v>
      </c>
      <c r="O932">
        <f t="shared" si="160"/>
        <v>2.7584471411522982E-2</v>
      </c>
      <c r="P932">
        <v>93.150001529999997</v>
      </c>
      <c r="Q932">
        <f t="shared" si="161"/>
        <v>2.5881039659282123E-2</v>
      </c>
      <c r="R932">
        <v>175.9499969</v>
      </c>
      <c r="S932">
        <f t="shared" si="162"/>
        <v>3.9893617752188026E-2</v>
      </c>
      <c r="T932">
        <v>2673.1000979999999</v>
      </c>
      <c r="U932">
        <f t="shared" si="163"/>
        <v>4.2263837503293544E-3</v>
      </c>
      <c r="W932">
        <f t="shared" si="164"/>
        <v>1.496987566263076E-2</v>
      </c>
      <c r="X932">
        <v>1.4196841984634892E-3</v>
      </c>
    </row>
    <row r="933" spans="1:24" x14ac:dyDescent="0.35">
      <c r="A933" s="1">
        <v>44193</v>
      </c>
      <c r="B933">
        <v>1849.045288</v>
      </c>
      <c r="C933">
        <f t="shared" si="154"/>
        <v>4.5884139247573952E-3</v>
      </c>
      <c r="D933">
        <v>2929.3999020000001</v>
      </c>
      <c r="E933">
        <f t="shared" si="155"/>
        <v>6.8915061180787607E-3</v>
      </c>
      <c r="F933">
        <v>1412.849976</v>
      </c>
      <c r="G933">
        <f t="shared" si="156"/>
        <v>1.1273352136969672E-2</v>
      </c>
      <c r="H933">
        <v>511.98742679999998</v>
      </c>
      <c r="I933">
        <f t="shared" si="157"/>
        <v>8.3123484808185211E-3</v>
      </c>
      <c r="J933">
        <v>1240.3000489999999</v>
      </c>
      <c r="K933">
        <f t="shared" si="158"/>
        <v>3.4383720978274912E-3</v>
      </c>
      <c r="L933">
        <v>209.5</v>
      </c>
      <c r="M933">
        <f t="shared" si="159"/>
        <v>4.3144481001047286E-3</v>
      </c>
      <c r="N933">
        <v>586.95001219999995</v>
      </c>
      <c r="O933">
        <f t="shared" si="160"/>
        <v>-5.9276821537509461E-3</v>
      </c>
      <c r="P933">
        <v>93.800003050000001</v>
      </c>
      <c r="Q933">
        <f t="shared" si="161"/>
        <v>6.9780086883912684E-3</v>
      </c>
      <c r="R933">
        <v>186.3500061</v>
      </c>
      <c r="S933">
        <f t="shared" si="162"/>
        <v>5.9107754380415045E-2</v>
      </c>
      <c r="T933">
        <v>2678</v>
      </c>
      <c r="U933">
        <f t="shared" si="163"/>
        <v>1.8330409712925544E-3</v>
      </c>
      <c r="W933">
        <f t="shared" si="164"/>
        <v>1.008095627449045E-2</v>
      </c>
      <c r="X933">
        <v>1.4203391297884945E-3</v>
      </c>
    </row>
    <row r="934" spans="1:24" x14ac:dyDescent="0.35">
      <c r="A934" s="1">
        <v>44194</v>
      </c>
      <c r="B934">
        <v>1836.815552</v>
      </c>
      <c r="C934">
        <f t="shared" si="154"/>
        <v>-6.6140813745174665E-3</v>
      </c>
      <c r="D934">
        <v>2930.5</v>
      </c>
      <c r="E934">
        <f t="shared" si="155"/>
        <v>3.7553698259107371E-4</v>
      </c>
      <c r="F934">
        <v>1427.1999510000001</v>
      </c>
      <c r="G934">
        <f t="shared" si="156"/>
        <v>1.0156757790113824E-2</v>
      </c>
      <c r="H934">
        <v>510.66232300000001</v>
      </c>
      <c r="I934">
        <f t="shared" si="157"/>
        <v>-2.588156916825235E-3</v>
      </c>
      <c r="J934">
        <v>1250.3000489999999</v>
      </c>
      <c r="K934">
        <f t="shared" si="158"/>
        <v>8.0625651898205142E-3</v>
      </c>
      <c r="L934">
        <v>211.5500031</v>
      </c>
      <c r="M934">
        <f t="shared" si="159"/>
        <v>9.7852176610977448E-3</v>
      </c>
      <c r="N934">
        <v>590.59997559999999</v>
      </c>
      <c r="O934">
        <f t="shared" si="160"/>
        <v>6.2185251284334608E-3</v>
      </c>
      <c r="P934">
        <v>93.150001529999997</v>
      </c>
      <c r="Q934">
        <f t="shared" si="161"/>
        <v>-6.929653506018818E-3</v>
      </c>
      <c r="R934">
        <v>183.4499969</v>
      </c>
      <c r="S934">
        <f t="shared" si="162"/>
        <v>-1.5562163161099041E-2</v>
      </c>
      <c r="T934">
        <v>2665.6999510000001</v>
      </c>
      <c r="U934">
        <f t="shared" si="163"/>
        <v>-4.5929981329350111E-3</v>
      </c>
      <c r="W934">
        <f t="shared" si="164"/>
        <v>-1.6884503393389512E-4</v>
      </c>
      <c r="X934">
        <v>1.431710547767806E-3</v>
      </c>
    </row>
    <row r="935" spans="1:24" x14ac:dyDescent="0.35">
      <c r="A935" s="1">
        <v>44195</v>
      </c>
      <c r="B935">
        <v>1841.8458250000001</v>
      </c>
      <c r="C935">
        <f t="shared" si="154"/>
        <v>2.7385836288913445E-3</v>
      </c>
      <c r="D935">
        <v>2909.3000489999999</v>
      </c>
      <c r="E935">
        <f t="shared" si="155"/>
        <v>-7.2342436444292613E-3</v>
      </c>
      <c r="F935">
        <v>1432.5</v>
      </c>
      <c r="G935">
        <f t="shared" si="156"/>
        <v>3.7135994828800811E-3</v>
      </c>
      <c r="H935">
        <v>506.63787839999998</v>
      </c>
      <c r="I935">
        <f t="shared" si="157"/>
        <v>-7.8808332213693433E-3</v>
      </c>
      <c r="J935">
        <v>1246.8000489999999</v>
      </c>
      <c r="K935">
        <f t="shared" si="158"/>
        <v>-2.7993280515339336E-3</v>
      </c>
      <c r="L935">
        <v>211.1499939</v>
      </c>
      <c r="M935">
        <f t="shared" si="159"/>
        <v>-1.8908494168676793E-3</v>
      </c>
      <c r="N935">
        <v>584</v>
      </c>
      <c r="O935">
        <f t="shared" si="160"/>
        <v>-1.1175035341467798E-2</v>
      </c>
      <c r="P935">
        <v>93.25</v>
      </c>
      <c r="Q935">
        <f t="shared" si="161"/>
        <v>1.0735208626679871E-3</v>
      </c>
      <c r="R935">
        <v>184.1499939</v>
      </c>
      <c r="S935">
        <f t="shared" si="162"/>
        <v>3.8157373225879976E-3</v>
      </c>
      <c r="T935">
        <v>2680.3000489999999</v>
      </c>
      <c r="U935">
        <f t="shared" si="163"/>
        <v>5.4770222712134942E-3</v>
      </c>
      <c r="W935">
        <f t="shared" si="164"/>
        <v>-1.4161826107427116E-3</v>
      </c>
      <c r="X935">
        <v>1.4475212700605256E-3</v>
      </c>
    </row>
    <row r="936" spans="1:24" x14ac:dyDescent="0.35">
      <c r="A936" s="1">
        <v>44196</v>
      </c>
      <c r="B936">
        <v>1832.431274</v>
      </c>
      <c r="C936">
        <f t="shared" si="154"/>
        <v>-5.1114761464902125E-3</v>
      </c>
      <c r="D936">
        <v>2862.75</v>
      </c>
      <c r="E936">
        <f t="shared" si="155"/>
        <v>-1.6000429043405262E-2</v>
      </c>
      <c r="F936">
        <v>1436.3000489999999</v>
      </c>
      <c r="G936">
        <f t="shared" si="156"/>
        <v>2.6527392670157024E-3</v>
      </c>
      <c r="H936">
        <v>500.3067322</v>
      </c>
      <c r="I936">
        <f t="shared" si="157"/>
        <v>-1.2496393321388077E-2</v>
      </c>
      <c r="J936">
        <v>1255.8000489999999</v>
      </c>
      <c r="K936">
        <f t="shared" si="158"/>
        <v>7.218479023335389E-3</v>
      </c>
      <c r="L936">
        <v>209</v>
      </c>
      <c r="M936">
        <f t="shared" si="159"/>
        <v>-1.0182306237802807E-2</v>
      </c>
      <c r="N936">
        <v>592.34997559999999</v>
      </c>
      <c r="O936">
        <f t="shared" si="160"/>
        <v>1.4297903424657532E-2</v>
      </c>
      <c r="P936">
        <v>93.050003050000001</v>
      </c>
      <c r="Q936">
        <f t="shared" si="161"/>
        <v>-2.1447394101876682E-3</v>
      </c>
      <c r="R936">
        <v>183.8500061</v>
      </c>
      <c r="S936">
        <f t="shared" si="162"/>
        <v>-1.6290405101121452E-3</v>
      </c>
      <c r="T936">
        <v>2763.6000979999999</v>
      </c>
      <c r="U936">
        <f t="shared" si="163"/>
        <v>3.1078628316661305E-2</v>
      </c>
      <c r="W936">
        <f t="shared" si="164"/>
        <v>7.6833653622837518E-4</v>
      </c>
      <c r="X936">
        <v>1.447948970539503E-3</v>
      </c>
    </row>
    <row r="937" spans="1:24" x14ac:dyDescent="0.35">
      <c r="A937" s="1">
        <v>44197</v>
      </c>
      <c r="B937">
        <v>1834.461914</v>
      </c>
      <c r="C937">
        <f t="shared" si="154"/>
        <v>1.1081670722457027E-3</v>
      </c>
      <c r="D937">
        <v>2928.25</v>
      </c>
      <c r="E937">
        <f t="shared" si="155"/>
        <v>2.2880097808051669E-2</v>
      </c>
      <c r="F937">
        <v>1425.0500489999999</v>
      </c>
      <c r="G937">
        <f t="shared" si="156"/>
        <v>-7.8326252288528631E-3</v>
      </c>
      <c r="H937">
        <v>505.65631100000002</v>
      </c>
      <c r="I937">
        <f t="shared" si="157"/>
        <v>1.0692598071739612E-2</v>
      </c>
      <c r="J937">
        <v>1260.4499510000001</v>
      </c>
      <c r="K937">
        <f t="shared" si="158"/>
        <v>3.7027407378291688E-3</v>
      </c>
      <c r="L937">
        <v>213.8500061</v>
      </c>
      <c r="M937">
        <f t="shared" si="159"/>
        <v>2.3205770813397031E-2</v>
      </c>
      <c r="N937">
        <v>596.25</v>
      </c>
      <c r="O937">
        <f t="shared" si="160"/>
        <v>6.5839867656778406E-3</v>
      </c>
      <c r="P937">
        <v>93.199996949999999</v>
      </c>
      <c r="Q937">
        <f t="shared" si="161"/>
        <v>1.6119709305049135E-3</v>
      </c>
      <c r="R937">
        <v>186.5</v>
      </c>
      <c r="S937">
        <f t="shared" si="162"/>
        <v>1.4413890737423163E-2</v>
      </c>
      <c r="T937">
        <v>2789.1000979999999</v>
      </c>
      <c r="U937">
        <f t="shared" si="163"/>
        <v>9.2270947661545755E-3</v>
      </c>
      <c r="W937">
        <f t="shared" si="164"/>
        <v>8.5593692474170806E-3</v>
      </c>
      <c r="X937">
        <v>1.4739995923716443E-3</v>
      </c>
    </row>
    <row r="938" spans="1:24" x14ac:dyDescent="0.35">
      <c r="A938" s="1">
        <v>44200</v>
      </c>
      <c r="B938">
        <v>1837.5539550000001</v>
      </c>
      <c r="C938">
        <f t="shared" si="154"/>
        <v>1.6855302235510017E-3</v>
      </c>
      <c r="D938">
        <v>3039.4499510000001</v>
      </c>
      <c r="E938">
        <f t="shared" si="155"/>
        <v>3.7974882950567723E-2</v>
      </c>
      <c r="F938">
        <v>1416</v>
      </c>
      <c r="G938">
        <f t="shared" si="156"/>
        <v>-6.3506885293963533E-3</v>
      </c>
      <c r="H938">
        <v>507.57037350000002</v>
      </c>
      <c r="I938">
        <f t="shared" si="157"/>
        <v>3.7853032946719711E-3</v>
      </c>
      <c r="J938">
        <v>1288.25</v>
      </c>
      <c r="K938">
        <f t="shared" si="158"/>
        <v>2.2055654790532842E-2</v>
      </c>
      <c r="L938">
        <v>213.3999939</v>
      </c>
      <c r="M938">
        <f t="shared" si="159"/>
        <v>-2.104335689331549E-3</v>
      </c>
      <c r="N938">
        <v>604.40002440000001</v>
      </c>
      <c r="O938">
        <f t="shared" si="160"/>
        <v>1.3668804025157133E-2</v>
      </c>
      <c r="P938">
        <v>96.949996949999999</v>
      </c>
      <c r="Q938">
        <f t="shared" si="161"/>
        <v>4.023605281888365E-2</v>
      </c>
      <c r="R938">
        <v>191.3000031</v>
      </c>
      <c r="S938">
        <f t="shared" si="162"/>
        <v>2.5737282037533449E-2</v>
      </c>
      <c r="T938">
        <v>2898.4499510000001</v>
      </c>
      <c r="U938">
        <f t="shared" si="163"/>
        <v>3.9206141464199318E-2</v>
      </c>
      <c r="W938">
        <f t="shared" si="164"/>
        <v>1.7589462738636919E-2</v>
      </c>
      <c r="X938">
        <v>1.4934095323829949E-3</v>
      </c>
    </row>
    <row r="939" spans="1:24" x14ac:dyDescent="0.35">
      <c r="A939" s="1">
        <v>44201</v>
      </c>
      <c r="B939">
        <v>1814.709717</v>
      </c>
      <c r="C939">
        <f t="shared" si="154"/>
        <v>-1.2431873326952281E-2</v>
      </c>
      <c r="D939">
        <v>3093</v>
      </c>
      <c r="E939">
        <f t="shared" si="155"/>
        <v>1.7618335509154148E-2</v>
      </c>
      <c r="F939">
        <v>1426.6999510000001</v>
      </c>
      <c r="G939">
        <f t="shared" si="156"/>
        <v>7.5564625706214805E-3</v>
      </c>
      <c r="H939">
        <v>504.5274963</v>
      </c>
      <c r="I939">
        <f t="shared" si="157"/>
        <v>-5.99498583618574E-3</v>
      </c>
      <c r="J939">
        <v>1293.8000489999999</v>
      </c>
      <c r="K939">
        <f t="shared" si="158"/>
        <v>4.3082080341547702E-3</v>
      </c>
      <c r="L939">
        <v>211.4499969</v>
      </c>
      <c r="M939">
        <f t="shared" si="159"/>
        <v>-9.1377556501419654E-3</v>
      </c>
      <c r="N939">
        <v>603.45001219999995</v>
      </c>
      <c r="O939">
        <f t="shared" si="160"/>
        <v>-1.5718268723485807E-3</v>
      </c>
      <c r="P939">
        <v>94.949996949999999</v>
      </c>
      <c r="Q939">
        <f t="shared" si="161"/>
        <v>-2.0629190953264875E-2</v>
      </c>
      <c r="R939">
        <v>193.1999969</v>
      </c>
      <c r="S939">
        <f t="shared" si="162"/>
        <v>9.9320113393139842E-3</v>
      </c>
      <c r="T939">
        <v>2991.1499020000001</v>
      </c>
      <c r="U939">
        <f t="shared" si="163"/>
        <v>3.1982595030843219E-2</v>
      </c>
      <c r="W939">
        <f t="shared" si="164"/>
        <v>2.1631979845194165E-3</v>
      </c>
      <c r="X939">
        <v>1.5044097908554436E-3</v>
      </c>
    </row>
    <row r="940" spans="1:24" x14ac:dyDescent="0.35">
      <c r="A940" s="1">
        <v>44202</v>
      </c>
      <c r="B940">
        <v>1766.852173</v>
      </c>
      <c r="C940">
        <f t="shared" si="154"/>
        <v>-2.6372010659157064E-2</v>
      </c>
      <c r="D940">
        <v>3051.5</v>
      </c>
      <c r="E940">
        <f t="shared" si="155"/>
        <v>-1.3417394115745274E-2</v>
      </c>
      <c r="F940">
        <v>1420.5500489999999</v>
      </c>
      <c r="G940">
        <f t="shared" si="156"/>
        <v>-4.3105784055642582E-3</v>
      </c>
      <c r="H940">
        <v>515.61926270000004</v>
      </c>
      <c r="I940">
        <f t="shared" si="157"/>
        <v>2.198446364438511E-2</v>
      </c>
      <c r="J940">
        <v>1282.099976</v>
      </c>
      <c r="K940">
        <f t="shared" si="158"/>
        <v>-9.043184848418595E-3</v>
      </c>
      <c r="L940">
        <v>205.3999939</v>
      </c>
      <c r="M940">
        <f t="shared" si="159"/>
        <v>-2.8611979610769223E-2</v>
      </c>
      <c r="N940">
        <v>605.29998780000005</v>
      </c>
      <c r="O940">
        <f t="shared" si="160"/>
        <v>3.0656650304068389E-3</v>
      </c>
      <c r="P940">
        <v>96.949996949999999</v>
      </c>
      <c r="Q940">
        <f t="shared" si="161"/>
        <v>2.1063718422794642E-2</v>
      </c>
      <c r="R940">
        <v>195.3999939</v>
      </c>
      <c r="S940">
        <f t="shared" si="162"/>
        <v>1.1387148215839415E-2</v>
      </c>
      <c r="T940">
        <v>2914.9499510000001</v>
      </c>
      <c r="U940">
        <f t="shared" si="163"/>
        <v>-2.5475136150498456E-2</v>
      </c>
      <c r="W940">
        <f t="shared" si="164"/>
        <v>-4.972928847672687E-3</v>
      </c>
      <c r="X940">
        <v>1.5103695542359242E-3</v>
      </c>
    </row>
    <row r="941" spans="1:24" x14ac:dyDescent="0.35">
      <c r="A941" s="1">
        <v>44203</v>
      </c>
      <c r="B941">
        <v>1763.990845</v>
      </c>
      <c r="C941">
        <f t="shared" si="154"/>
        <v>-1.6194495746305604E-3</v>
      </c>
      <c r="D941">
        <v>3032.8000489999999</v>
      </c>
      <c r="E941">
        <f t="shared" si="155"/>
        <v>-6.1281176470588949E-3</v>
      </c>
      <c r="F941">
        <v>1416.25</v>
      </c>
      <c r="G941">
        <f t="shared" si="156"/>
        <v>-3.027030975097933E-3</v>
      </c>
      <c r="H941">
        <v>535.20159909999995</v>
      </c>
      <c r="I941">
        <f t="shared" si="157"/>
        <v>3.7978287113360709E-2</v>
      </c>
      <c r="J941">
        <v>1262.150024</v>
      </c>
      <c r="K941">
        <f t="shared" si="158"/>
        <v>-1.5560371557170938E-2</v>
      </c>
      <c r="L941">
        <v>202.8000031</v>
      </c>
      <c r="M941">
        <f t="shared" si="159"/>
        <v>-1.2658183433373549E-2</v>
      </c>
      <c r="N941">
        <v>601.90002440000001</v>
      </c>
      <c r="O941">
        <f t="shared" si="160"/>
        <v>-5.6169890443207304E-3</v>
      </c>
      <c r="P941">
        <v>97.900001529999997</v>
      </c>
      <c r="Q941">
        <f t="shared" si="161"/>
        <v>9.798912943647986E-3</v>
      </c>
      <c r="R941">
        <v>196.75</v>
      </c>
      <c r="S941">
        <f t="shared" si="162"/>
        <v>6.9089362443424118E-3</v>
      </c>
      <c r="T941">
        <v>2921.4499510000001</v>
      </c>
      <c r="U941">
        <f t="shared" si="163"/>
        <v>2.2298839119931912E-3</v>
      </c>
      <c r="W941">
        <f t="shared" si="164"/>
        <v>1.2305877981691696E-3</v>
      </c>
      <c r="X941">
        <v>1.5535867639200895E-3</v>
      </c>
    </row>
    <row r="942" spans="1:24" x14ac:dyDescent="0.35">
      <c r="A942" s="1">
        <v>44204</v>
      </c>
      <c r="B942">
        <v>1784.804443</v>
      </c>
      <c r="C942">
        <f t="shared" si="154"/>
        <v>1.1799153073268842E-2</v>
      </c>
      <c r="D942">
        <v>3120.8999020000001</v>
      </c>
      <c r="E942">
        <f t="shared" si="155"/>
        <v>2.9049014632220649E-2</v>
      </c>
      <c r="F942">
        <v>1431.650024</v>
      </c>
      <c r="G942">
        <f t="shared" si="156"/>
        <v>1.0873803353927736E-2</v>
      </c>
      <c r="H942">
        <v>530.29376219999995</v>
      </c>
      <c r="I942">
        <f t="shared" si="157"/>
        <v>-9.1700714427106478E-3</v>
      </c>
      <c r="J942">
        <v>1312.099976</v>
      </c>
      <c r="K942">
        <f t="shared" si="158"/>
        <v>3.9575289030775229E-2</v>
      </c>
      <c r="L942">
        <v>201.5</v>
      </c>
      <c r="M942">
        <f t="shared" si="159"/>
        <v>-6.410271598265016E-3</v>
      </c>
      <c r="N942">
        <v>620.79998780000005</v>
      </c>
      <c r="O942">
        <f t="shared" si="160"/>
        <v>3.1400502797520824E-2</v>
      </c>
      <c r="P942">
        <v>100.6500015</v>
      </c>
      <c r="Q942">
        <f t="shared" si="161"/>
        <v>2.8089886895020122E-2</v>
      </c>
      <c r="R942">
        <v>198.1499939</v>
      </c>
      <c r="S942">
        <f t="shared" si="162"/>
        <v>7.1155979669630387E-3</v>
      </c>
      <c r="T942">
        <v>2967.5</v>
      </c>
      <c r="U942">
        <f t="shared" si="163"/>
        <v>1.5762737603715271E-2</v>
      </c>
      <c r="W942">
        <f t="shared" si="164"/>
        <v>1.5808564231243605E-2</v>
      </c>
      <c r="X942">
        <v>1.5710150428823843E-3</v>
      </c>
    </row>
    <row r="943" spans="1:24" x14ac:dyDescent="0.35">
      <c r="A943" s="1">
        <v>44207</v>
      </c>
      <c r="B943">
        <v>1751.1611330000001</v>
      </c>
      <c r="C943">
        <f t="shared" si="154"/>
        <v>-1.8849857827253236E-2</v>
      </c>
      <c r="D943">
        <v>3176.4499510000001</v>
      </c>
      <c r="E943">
        <f t="shared" si="155"/>
        <v>1.7799369010329746E-2</v>
      </c>
      <c r="F943">
        <v>1451.4499510000001</v>
      </c>
      <c r="G943">
        <f t="shared" si="156"/>
        <v>1.3830144705812453E-2</v>
      </c>
      <c r="H943">
        <v>537.0665894</v>
      </c>
      <c r="I943">
        <f t="shared" si="157"/>
        <v>1.2771840219092834E-2</v>
      </c>
      <c r="J943">
        <v>1376.1999510000001</v>
      </c>
      <c r="K943">
        <f t="shared" si="158"/>
        <v>4.8852965606639209E-2</v>
      </c>
      <c r="L943">
        <v>202.5</v>
      </c>
      <c r="M943">
        <f t="shared" si="159"/>
        <v>4.9627791563275903E-3</v>
      </c>
      <c r="N943">
        <v>621</v>
      </c>
      <c r="O943">
        <f t="shared" si="160"/>
        <v>3.2218460684707573E-4</v>
      </c>
      <c r="P943">
        <v>102.5500031</v>
      </c>
      <c r="Q943">
        <f t="shared" si="161"/>
        <v>1.8877313181162814E-2</v>
      </c>
      <c r="R943">
        <v>220.6499939</v>
      </c>
      <c r="S943">
        <f t="shared" si="162"/>
        <v>0.11355034414664189</v>
      </c>
      <c r="T943">
        <v>2984.8500979999999</v>
      </c>
      <c r="U943">
        <f t="shared" si="163"/>
        <v>5.8467053074977571E-3</v>
      </c>
      <c r="W943">
        <f t="shared" si="164"/>
        <v>2.1796378811309816E-2</v>
      </c>
      <c r="X943">
        <v>1.5790580591640401E-3</v>
      </c>
    </row>
    <row r="944" spans="1:24" x14ac:dyDescent="0.35">
      <c r="A944" s="1">
        <v>44208</v>
      </c>
      <c r="B944">
        <v>1806.356567</v>
      </c>
      <c r="C944">
        <f t="shared" si="154"/>
        <v>3.1519334777286856E-2</v>
      </c>
      <c r="D944">
        <v>3174.8500979999999</v>
      </c>
      <c r="E944">
        <f t="shared" si="155"/>
        <v>-5.0366069816287773E-4</v>
      </c>
      <c r="F944">
        <v>1481</v>
      </c>
      <c r="G944">
        <f t="shared" si="156"/>
        <v>2.0358985840084332E-2</v>
      </c>
      <c r="H944">
        <v>555.32379149999997</v>
      </c>
      <c r="I944">
        <f t="shared" si="157"/>
        <v>3.3994298771026887E-2</v>
      </c>
      <c r="J944">
        <v>1371.75</v>
      </c>
      <c r="K944">
        <f t="shared" si="158"/>
        <v>-3.2335061462300807E-3</v>
      </c>
      <c r="L944">
        <v>206.4499969</v>
      </c>
      <c r="M944">
        <f t="shared" si="159"/>
        <v>1.9506157530864154E-2</v>
      </c>
      <c r="N944">
        <v>609.65002440000001</v>
      </c>
      <c r="O944">
        <f t="shared" si="160"/>
        <v>-1.8276933333333356E-2</v>
      </c>
      <c r="P944">
        <v>103.4499969</v>
      </c>
      <c r="Q944">
        <f t="shared" si="161"/>
        <v>8.7761460048167983E-3</v>
      </c>
      <c r="R944">
        <v>237.8000031</v>
      </c>
      <c r="S944">
        <f t="shared" si="162"/>
        <v>7.7724947537376687E-2</v>
      </c>
      <c r="T944">
        <v>2998.1999510000001</v>
      </c>
      <c r="U944">
        <f t="shared" si="163"/>
        <v>4.4725371665883529E-3</v>
      </c>
      <c r="W944">
        <f t="shared" si="164"/>
        <v>1.7433830745031773E-2</v>
      </c>
      <c r="X944">
        <v>1.5836155765120321E-3</v>
      </c>
    </row>
    <row r="945" spans="1:24" x14ac:dyDescent="0.35">
      <c r="A945" s="1">
        <v>44209</v>
      </c>
      <c r="B945">
        <v>1789.5117190000001</v>
      </c>
      <c r="C945">
        <f t="shared" si="154"/>
        <v>-9.3253172201631651E-3</v>
      </c>
      <c r="D945">
        <v>3158.9499510000001</v>
      </c>
      <c r="E945">
        <f t="shared" si="155"/>
        <v>-5.0081567662095816E-3</v>
      </c>
      <c r="F945">
        <v>1470.650024</v>
      </c>
      <c r="G945">
        <f t="shared" si="156"/>
        <v>-6.9885050641458335E-3</v>
      </c>
      <c r="H945">
        <v>567.59344480000004</v>
      </c>
      <c r="I945">
        <f t="shared" si="157"/>
        <v>2.2094593258571216E-2</v>
      </c>
      <c r="J945">
        <v>1387.150024</v>
      </c>
      <c r="K945">
        <f t="shared" si="158"/>
        <v>1.1226552943320645E-2</v>
      </c>
      <c r="L945">
        <v>211.25</v>
      </c>
      <c r="M945">
        <f t="shared" si="159"/>
        <v>2.3250197006905449E-2</v>
      </c>
      <c r="N945">
        <v>602.29998780000005</v>
      </c>
      <c r="O945">
        <f t="shared" si="160"/>
        <v>-1.2056157312933191E-2</v>
      </c>
      <c r="P945">
        <v>105.25</v>
      </c>
      <c r="Q945">
        <f t="shared" si="161"/>
        <v>1.7399740492404003E-2</v>
      </c>
      <c r="R945">
        <v>242.6000061</v>
      </c>
      <c r="S945">
        <f t="shared" si="162"/>
        <v>2.0185041789009039E-2</v>
      </c>
      <c r="T945">
        <v>2926.1000979999999</v>
      </c>
      <c r="U945">
        <f t="shared" si="163"/>
        <v>-2.4047713354125144E-2</v>
      </c>
      <c r="W945">
        <f t="shared" si="164"/>
        <v>3.6730275772633427E-3</v>
      </c>
      <c r="X945">
        <v>1.5837644065633373E-3</v>
      </c>
    </row>
    <row r="946" spans="1:24" x14ac:dyDescent="0.35">
      <c r="A946" s="1">
        <v>44210</v>
      </c>
      <c r="B946">
        <v>1809.6331789999999</v>
      </c>
      <c r="C946">
        <f t="shared" si="154"/>
        <v>1.1244106303614387E-2</v>
      </c>
      <c r="D946">
        <v>3250.6999510000001</v>
      </c>
      <c r="E946">
        <f t="shared" si="155"/>
        <v>2.9044461426479984E-2</v>
      </c>
      <c r="F946">
        <v>1468.75</v>
      </c>
      <c r="G946">
        <f t="shared" si="156"/>
        <v>-1.2919620365097195E-3</v>
      </c>
      <c r="H946">
        <v>569.85107419999997</v>
      </c>
      <c r="I946">
        <f t="shared" si="157"/>
        <v>3.9775466413207727E-3</v>
      </c>
      <c r="J946">
        <v>1370.5</v>
      </c>
      <c r="K946">
        <f t="shared" si="158"/>
        <v>-1.2003044884783209E-2</v>
      </c>
      <c r="L946">
        <v>214.1499939</v>
      </c>
      <c r="M946">
        <f t="shared" si="159"/>
        <v>1.3727781775147996E-2</v>
      </c>
      <c r="N946">
        <v>607.04998780000005</v>
      </c>
      <c r="O946">
        <f t="shared" si="160"/>
        <v>7.8864354909753409E-3</v>
      </c>
      <c r="P946">
        <v>105.0500031</v>
      </c>
      <c r="Q946">
        <f t="shared" si="161"/>
        <v>-1.9002080760095463E-3</v>
      </c>
      <c r="R946">
        <v>245.1000061</v>
      </c>
      <c r="S946">
        <f t="shared" si="162"/>
        <v>1.0305028594968402E-2</v>
      </c>
      <c r="T946">
        <v>2895.5500489999999</v>
      </c>
      <c r="U946">
        <f t="shared" si="163"/>
        <v>-1.0440534491926945E-2</v>
      </c>
      <c r="W946">
        <f t="shared" si="164"/>
        <v>5.0549610743277464E-3</v>
      </c>
      <c r="X946">
        <v>1.5900164790596414E-3</v>
      </c>
    </row>
    <row r="947" spans="1:24" x14ac:dyDescent="0.35">
      <c r="A947" s="1">
        <v>44211</v>
      </c>
      <c r="B947">
        <v>1788.2657469999999</v>
      </c>
      <c r="C947">
        <f t="shared" si="154"/>
        <v>-1.180760402050518E-2</v>
      </c>
      <c r="D947">
        <v>3233.3500979999999</v>
      </c>
      <c r="E947">
        <f t="shared" si="155"/>
        <v>-5.3372668230000642E-3</v>
      </c>
      <c r="F947">
        <v>1466.650024</v>
      </c>
      <c r="G947">
        <f t="shared" si="156"/>
        <v>-1.4297708936169551E-3</v>
      </c>
      <c r="H947">
        <v>591.54376219999995</v>
      </c>
      <c r="I947">
        <f t="shared" si="157"/>
        <v>3.8067293337042063E-2</v>
      </c>
      <c r="J947">
        <v>1344.9499510000001</v>
      </c>
      <c r="K947">
        <f t="shared" si="158"/>
        <v>-1.8642866836920846E-2</v>
      </c>
      <c r="L947">
        <v>217.8500061</v>
      </c>
      <c r="M947">
        <f t="shared" si="159"/>
        <v>1.727766661402641E-2</v>
      </c>
      <c r="N947">
        <v>604.29998780000005</v>
      </c>
      <c r="O947">
        <f t="shared" si="160"/>
        <v>-4.5301046952759272E-3</v>
      </c>
      <c r="P947">
        <v>101.4000015</v>
      </c>
      <c r="Q947">
        <f t="shared" si="161"/>
        <v>-3.4745373558204062E-2</v>
      </c>
      <c r="R947">
        <v>260.2999878</v>
      </c>
      <c r="S947">
        <f t="shared" si="162"/>
        <v>6.2015427669138701E-2</v>
      </c>
      <c r="T947">
        <v>2820.9499510000001</v>
      </c>
      <c r="U947">
        <f t="shared" si="163"/>
        <v>-2.5763705250324898E-2</v>
      </c>
      <c r="W947">
        <f t="shared" si="164"/>
        <v>1.5103695542359242E-3</v>
      </c>
      <c r="X947">
        <v>1.6016667581976172E-3</v>
      </c>
    </row>
    <row r="948" spans="1:24" x14ac:dyDescent="0.35">
      <c r="A948" s="1">
        <v>44214</v>
      </c>
      <c r="B948">
        <v>1831.1851810000001</v>
      </c>
      <c r="C948">
        <f t="shared" si="154"/>
        <v>2.400059055652215E-2</v>
      </c>
      <c r="D948">
        <v>3221.75</v>
      </c>
      <c r="E948">
        <f t="shared" si="155"/>
        <v>-3.5876405735262296E-3</v>
      </c>
      <c r="F948">
        <v>1483.099976</v>
      </c>
      <c r="G948">
        <f t="shared" si="156"/>
        <v>1.1216003634688443E-2</v>
      </c>
      <c r="H948">
        <v>576.13311769999996</v>
      </c>
      <c r="I948">
        <f t="shared" si="157"/>
        <v>-2.6051571303341126E-2</v>
      </c>
      <c r="J948">
        <v>1312.0500489999999</v>
      </c>
      <c r="K948">
        <f t="shared" si="158"/>
        <v>-2.4461803932211978E-2</v>
      </c>
      <c r="L948">
        <v>219.75</v>
      </c>
      <c r="M948">
        <f t="shared" si="159"/>
        <v>8.721569184293898E-3</v>
      </c>
      <c r="N948">
        <v>581.45001219999995</v>
      </c>
      <c r="O948">
        <f t="shared" si="160"/>
        <v>-3.7812305247907019E-2</v>
      </c>
      <c r="P948">
        <v>96.650001529999997</v>
      </c>
      <c r="Q948">
        <f t="shared" si="161"/>
        <v>-4.6844180470746899E-2</v>
      </c>
      <c r="R948">
        <v>245.9499969</v>
      </c>
      <c r="S948">
        <f t="shared" si="162"/>
        <v>-5.5128665280713474E-2</v>
      </c>
      <c r="T948">
        <v>2744.8999020000001</v>
      </c>
      <c r="U948">
        <f t="shared" si="163"/>
        <v>-2.6959021011004114E-2</v>
      </c>
      <c r="W948">
        <f t="shared" si="164"/>
        <v>-1.7690702444394638E-2</v>
      </c>
      <c r="X948">
        <v>1.6025771356639852E-3</v>
      </c>
    </row>
    <row r="949" spans="1:24" x14ac:dyDescent="0.35">
      <c r="A949" s="1">
        <v>44215</v>
      </c>
      <c r="B949">
        <v>1861.1365969999999</v>
      </c>
      <c r="C949">
        <f t="shared" si="154"/>
        <v>1.635630099608143E-2</v>
      </c>
      <c r="D949">
        <v>3260.6999510000001</v>
      </c>
      <c r="E949">
        <f t="shared" si="155"/>
        <v>1.2089687592147236E-2</v>
      </c>
      <c r="F949">
        <v>1503.849976</v>
      </c>
      <c r="G949">
        <f t="shared" si="156"/>
        <v>1.3990965097284924E-2</v>
      </c>
      <c r="H949">
        <v>581.38452150000001</v>
      </c>
      <c r="I949">
        <f t="shared" si="157"/>
        <v>9.1149139646136135E-3</v>
      </c>
      <c r="J949">
        <v>1316.650024</v>
      </c>
      <c r="K949">
        <f t="shared" si="158"/>
        <v>3.5059447644592012E-3</v>
      </c>
      <c r="L949">
        <v>218.8500061</v>
      </c>
      <c r="M949">
        <f t="shared" si="159"/>
        <v>-4.0955353811148454E-3</v>
      </c>
      <c r="N949">
        <v>596.54998780000005</v>
      </c>
      <c r="O949">
        <f t="shared" si="160"/>
        <v>2.5969516352518651E-2</v>
      </c>
      <c r="P949">
        <v>98.099998470000003</v>
      </c>
      <c r="Q949">
        <f t="shared" si="161"/>
        <v>1.500255475474499E-2</v>
      </c>
      <c r="R949">
        <v>258.64999390000003</v>
      </c>
      <c r="S949">
        <f t="shared" si="162"/>
        <v>5.1636499939309521E-2</v>
      </c>
      <c r="T949">
        <v>2778.3999020000001</v>
      </c>
      <c r="U949">
        <f t="shared" si="163"/>
        <v>1.2204452328331117E-2</v>
      </c>
      <c r="W949">
        <f t="shared" si="164"/>
        <v>1.5577530040837586E-2</v>
      </c>
      <c r="X949">
        <v>1.6058050121981473E-3</v>
      </c>
    </row>
    <row r="950" spans="1:24" x14ac:dyDescent="0.35">
      <c r="A950" s="1">
        <v>44216</v>
      </c>
      <c r="B950">
        <v>1896.487427</v>
      </c>
      <c r="C950">
        <f t="shared" si="154"/>
        <v>1.8994215715806506E-2</v>
      </c>
      <c r="D950">
        <v>3308.8000489999999</v>
      </c>
      <c r="E950">
        <f t="shared" si="155"/>
        <v>1.4751464017794147E-2</v>
      </c>
      <c r="F950">
        <v>1492</v>
      </c>
      <c r="G950">
        <f t="shared" si="156"/>
        <v>-7.8797594102564261E-3</v>
      </c>
      <c r="H950">
        <v>585.16357419999997</v>
      </c>
      <c r="I950">
        <f t="shared" si="157"/>
        <v>6.5000916953374954E-3</v>
      </c>
      <c r="J950">
        <v>1339.4499510000001</v>
      </c>
      <c r="K950">
        <f t="shared" si="158"/>
        <v>1.7316619135230527E-2</v>
      </c>
      <c r="L950">
        <v>217.6499939</v>
      </c>
      <c r="M950">
        <f t="shared" si="159"/>
        <v>-5.4832632696005801E-3</v>
      </c>
      <c r="N950">
        <v>594.70001219999995</v>
      </c>
      <c r="O950">
        <f t="shared" si="160"/>
        <v>-3.1011241938375678E-3</v>
      </c>
      <c r="P950">
        <v>98.849998470000003</v>
      </c>
      <c r="Q950">
        <f t="shared" si="161"/>
        <v>7.6452600580758645E-3</v>
      </c>
      <c r="R950">
        <v>274.89999390000003</v>
      </c>
      <c r="S950">
        <f t="shared" si="162"/>
        <v>6.2826214510883105E-2</v>
      </c>
      <c r="T950">
        <v>2764.9499510000001</v>
      </c>
      <c r="U950">
        <f t="shared" si="163"/>
        <v>-4.8408981695968745E-3</v>
      </c>
      <c r="W950">
        <f t="shared" si="164"/>
        <v>1.0672882008983621E-2</v>
      </c>
      <c r="X950">
        <v>1.6090339749936346E-3</v>
      </c>
    </row>
    <row r="951" spans="1:24" x14ac:dyDescent="0.35">
      <c r="A951" s="1">
        <v>44217</v>
      </c>
      <c r="B951">
        <v>1937.7454829999999</v>
      </c>
      <c r="C951">
        <f t="shared" si="154"/>
        <v>2.1754985249369696E-2</v>
      </c>
      <c r="D951">
        <v>3273.8500979999999</v>
      </c>
      <c r="E951">
        <f t="shared" si="155"/>
        <v>-1.0562726814079548E-2</v>
      </c>
      <c r="F951">
        <v>1474.8000489999999</v>
      </c>
      <c r="G951">
        <f t="shared" si="156"/>
        <v>-1.1528117292225248E-2</v>
      </c>
      <c r="H951">
        <v>570.63629149999997</v>
      </c>
      <c r="I951">
        <f t="shared" si="157"/>
        <v>-2.4826020177111663E-2</v>
      </c>
      <c r="J951">
        <v>1339.6999510000001</v>
      </c>
      <c r="K951">
        <f t="shared" si="158"/>
        <v>1.8664377852517511E-4</v>
      </c>
      <c r="L951">
        <v>213.6999969</v>
      </c>
      <c r="M951">
        <f t="shared" si="159"/>
        <v>-1.8148390124995029E-2</v>
      </c>
      <c r="N951">
        <v>582.90002440000001</v>
      </c>
      <c r="O951">
        <f t="shared" si="160"/>
        <v>-1.9841916189555331E-2</v>
      </c>
      <c r="P951">
        <v>94.699996949999999</v>
      </c>
      <c r="Q951">
        <f t="shared" si="161"/>
        <v>-4.198281825223793E-2</v>
      </c>
      <c r="R951">
        <v>290.60000609999997</v>
      </c>
      <c r="S951">
        <f t="shared" si="162"/>
        <v>5.7111722620521777E-2</v>
      </c>
      <c r="T951">
        <v>2719.1499020000001</v>
      </c>
      <c r="U951">
        <f t="shared" si="163"/>
        <v>-1.6564512852551116E-2</v>
      </c>
      <c r="W951">
        <f t="shared" si="164"/>
        <v>-6.4401150054339221E-3</v>
      </c>
      <c r="X951">
        <v>1.6135122601946056E-3</v>
      </c>
    </row>
    <row r="952" spans="1:24" x14ac:dyDescent="0.35">
      <c r="A952" s="1">
        <v>44218</v>
      </c>
      <c r="B952">
        <v>1891.7801509999999</v>
      </c>
      <c r="C952">
        <f t="shared" si="154"/>
        <v>-2.3721036845786858E-2</v>
      </c>
      <c r="D952">
        <v>3303.1000979999999</v>
      </c>
      <c r="E952">
        <f t="shared" si="155"/>
        <v>8.9344347249951106E-3</v>
      </c>
      <c r="F952">
        <v>1443.5500489999999</v>
      </c>
      <c r="G952">
        <f t="shared" si="156"/>
        <v>-2.1189313101250162E-2</v>
      </c>
      <c r="H952">
        <v>566.21923830000003</v>
      </c>
      <c r="I952">
        <f t="shared" si="157"/>
        <v>-7.7405753293207091E-3</v>
      </c>
      <c r="J952">
        <v>1340.849976</v>
      </c>
      <c r="K952">
        <f t="shared" si="158"/>
        <v>8.5841982687351326E-4</v>
      </c>
      <c r="L952">
        <v>210.6999969</v>
      </c>
      <c r="M952">
        <f t="shared" si="159"/>
        <v>-1.4038371752545409E-2</v>
      </c>
      <c r="N952">
        <v>575.20001219999995</v>
      </c>
      <c r="O952">
        <f t="shared" si="160"/>
        <v>-1.3209833380820268E-2</v>
      </c>
      <c r="P952">
        <v>92.75</v>
      </c>
      <c r="Q952">
        <f t="shared" si="161"/>
        <v>-2.0591309533299795E-2</v>
      </c>
      <c r="R952">
        <v>289.35000609999997</v>
      </c>
      <c r="S952">
        <f t="shared" si="162"/>
        <v>-4.3014451953240496E-3</v>
      </c>
      <c r="T952">
        <v>2862.75</v>
      </c>
      <c r="U952">
        <f t="shared" si="163"/>
        <v>5.2810658910116937E-2</v>
      </c>
      <c r="W952">
        <f t="shared" si="164"/>
        <v>-4.2188371676361693E-3</v>
      </c>
      <c r="X952">
        <v>1.6173612484051028E-3</v>
      </c>
    </row>
    <row r="953" spans="1:24" x14ac:dyDescent="0.35">
      <c r="A953" s="1">
        <v>44221</v>
      </c>
      <c r="B953">
        <v>1791.5423579999999</v>
      </c>
      <c r="C953">
        <f t="shared" si="154"/>
        <v>-5.2985962955057975E-2</v>
      </c>
      <c r="D953">
        <v>3291.3000489999999</v>
      </c>
      <c r="E953">
        <f t="shared" si="155"/>
        <v>-3.5724164118261514E-3</v>
      </c>
      <c r="F953">
        <v>1462.849976</v>
      </c>
      <c r="G953">
        <f t="shared" si="156"/>
        <v>1.3369766440290531E-2</v>
      </c>
      <c r="H953">
        <v>570.04736330000003</v>
      </c>
      <c r="I953">
        <f t="shared" si="157"/>
        <v>6.7608529365648096E-3</v>
      </c>
      <c r="J953">
        <v>1325.099976</v>
      </c>
      <c r="K953">
        <f t="shared" si="158"/>
        <v>-1.1746280554805311E-2</v>
      </c>
      <c r="L953">
        <v>207.8000031</v>
      </c>
      <c r="M953">
        <f t="shared" si="159"/>
        <v>-1.3763615769659343E-2</v>
      </c>
      <c r="N953">
        <v>586.40002440000001</v>
      </c>
      <c r="O953">
        <f t="shared" si="160"/>
        <v>1.9471508975048124E-2</v>
      </c>
      <c r="P953">
        <v>91.349998470000003</v>
      </c>
      <c r="Q953">
        <f t="shared" si="161"/>
        <v>-1.5094356118598329E-2</v>
      </c>
      <c r="R953">
        <v>279.14999390000003</v>
      </c>
      <c r="S953">
        <f t="shared" si="162"/>
        <v>-3.5251467029431494E-2</v>
      </c>
      <c r="T953">
        <v>2837</v>
      </c>
      <c r="U953">
        <f t="shared" si="163"/>
        <v>-8.9948476115623288E-3</v>
      </c>
      <c r="W953">
        <f t="shared" si="164"/>
        <v>-1.0180681809903747E-2</v>
      </c>
      <c r="X953">
        <v>1.6174385974847439E-3</v>
      </c>
    </row>
    <row r="954" spans="1:24" x14ac:dyDescent="0.35">
      <c r="A954" s="1">
        <v>44223</v>
      </c>
      <c r="B954">
        <v>1749.084351</v>
      </c>
      <c r="C954">
        <f t="shared" si="154"/>
        <v>-2.3699136562642109E-2</v>
      </c>
      <c r="D954">
        <v>3261.0500489999999</v>
      </c>
      <c r="E954">
        <f t="shared" si="155"/>
        <v>-9.1908970770352427E-3</v>
      </c>
      <c r="F954">
        <v>1409.599976</v>
      </c>
      <c r="G954">
        <f t="shared" si="156"/>
        <v>-3.6401545526634327E-2</v>
      </c>
      <c r="H954">
        <v>560.28070070000001</v>
      </c>
      <c r="I954">
        <f t="shared" si="157"/>
        <v>-1.7133072142393346E-2</v>
      </c>
      <c r="J954">
        <v>1301</v>
      </c>
      <c r="K954">
        <f t="shared" si="158"/>
        <v>-1.8187288835933013E-2</v>
      </c>
      <c r="L954">
        <v>210.6499939</v>
      </c>
      <c r="M954">
        <f t="shared" si="159"/>
        <v>1.3715066205405746E-2</v>
      </c>
      <c r="N954">
        <v>569.79998780000005</v>
      </c>
      <c r="O954">
        <f t="shared" si="160"/>
        <v>-2.8308383201356424E-2</v>
      </c>
      <c r="P954">
        <v>89.699996949999999</v>
      </c>
      <c r="Q954">
        <f t="shared" si="161"/>
        <v>-1.806241431456479E-2</v>
      </c>
      <c r="R954">
        <v>267.5</v>
      </c>
      <c r="S954">
        <f t="shared" si="162"/>
        <v>-4.1733813915730944E-2</v>
      </c>
      <c r="T954">
        <v>2811.75</v>
      </c>
      <c r="U954">
        <f t="shared" si="163"/>
        <v>-8.9002467395136176E-3</v>
      </c>
      <c r="W954">
        <f t="shared" si="164"/>
        <v>-1.8790173211039807E-2</v>
      </c>
      <c r="X954">
        <v>1.6270969634269662E-3</v>
      </c>
    </row>
    <row r="955" spans="1:24" x14ac:dyDescent="0.35">
      <c r="A955" s="1">
        <v>44224</v>
      </c>
      <c r="B955">
        <v>1732.0550539999999</v>
      </c>
      <c r="C955">
        <f t="shared" si="154"/>
        <v>-9.7361210682972432E-3</v>
      </c>
      <c r="D955">
        <v>3196.5500489999999</v>
      </c>
      <c r="E955">
        <f t="shared" si="155"/>
        <v>-1.9778905270030678E-2</v>
      </c>
      <c r="F955">
        <v>1371.4499510000001</v>
      </c>
      <c r="G955">
        <f t="shared" si="156"/>
        <v>-2.7064433633333107E-2</v>
      </c>
      <c r="H955">
        <v>560.37890630000004</v>
      </c>
      <c r="I955">
        <f t="shared" si="157"/>
        <v>1.7527928389693415E-4</v>
      </c>
      <c r="J955">
        <v>1276.1999510000001</v>
      </c>
      <c r="K955">
        <f t="shared" si="158"/>
        <v>-1.906229746348953E-2</v>
      </c>
      <c r="L955">
        <v>206.6000061</v>
      </c>
      <c r="M955">
        <f t="shared" si="159"/>
        <v>-1.9226147245570813E-2</v>
      </c>
      <c r="N955">
        <v>564.34997559999999</v>
      </c>
      <c r="O955">
        <f t="shared" si="160"/>
        <v>-9.5647811805728011E-3</v>
      </c>
      <c r="P955">
        <v>90.650001529999997</v>
      </c>
      <c r="Q955">
        <f t="shared" si="161"/>
        <v>1.0590909836145634E-2</v>
      </c>
      <c r="R955">
        <v>266.7999878</v>
      </c>
      <c r="S955">
        <f t="shared" si="162"/>
        <v>-2.6168680373831466E-3</v>
      </c>
      <c r="T955">
        <v>2794.4499510000001</v>
      </c>
      <c r="U955">
        <f t="shared" si="163"/>
        <v>-6.152769271805747E-3</v>
      </c>
      <c r="W955">
        <f t="shared" si="164"/>
        <v>-1.0243613405044049E-2</v>
      </c>
      <c r="X955">
        <v>1.6481951645075264E-3</v>
      </c>
    </row>
    <row r="956" spans="1:24" x14ac:dyDescent="0.35">
      <c r="A956" s="1">
        <v>44225</v>
      </c>
      <c r="B956">
        <v>1700.119263</v>
      </c>
      <c r="C956">
        <f t="shared" si="154"/>
        <v>-1.8438092326365396E-2</v>
      </c>
      <c r="D956">
        <v>3111.3500979999999</v>
      </c>
      <c r="E956">
        <f t="shared" si="155"/>
        <v>-2.6653720321586638E-2</v>
      </c>
      <c r="F956">
        <v>1390.5</v>
      </c>
      <c r="G956">
        <f t="shared" si="156"/>
        <v>1.3890444187270257E-2</v>
      </c>
      <c r="H956">
        <v>543.39770510000005</v>
      </c>
      <c r="I956">
        <f t="shared" si="157"/>
        <v>-3.0303069956935658E-2</v>
      </c>
      <c r="J956">
        <v>1239.0500489999999</v>
      </c>
      <c r="K956">
        <f t="shared" si="158"/>
        <v>-2.9109781716329275E-2</v>
      </c>
      <c r="L956">
        <v>203.25</v>
      </c>
      <c r="M956">
        <f t="shared" si="159"/>
        <v>-1.6214937081746816E-2</v>
      </c>
      <c r="N956">
        <v>586.20001219999995</v>
      </c>
      <c r="O956">
        <f t="shared" si="160"/>
        <v>3.8717174704880009E-2</v>
      </c>
      <c r="P956">
        <v>88.300003050000001</v>
      </c>
      <c r="Q956">
        <f t="shared" si="161"/>
        <v>-2.592386586140627E-2</v>
      </c>
      <c r="R956">
        <v>262.7000122</v>
      </c>
      <c r="S956">
        <f t="shared" si="162"/>
        <v>-1.5367225590255384E-2</v>
      </c>
      <c r="T956">
        <v>2651.5</v>
      </c>
      <c r="U956">
        <f t="shared" si="163"/>
        <v>-5.1154951245000913E-2</v>
      </c>
      <c r="W956">
        <f t="shared" si="164"/>
        <v>-1.6055802520747609E-2</v>
      </c>
      <c r="X956">
        <v>1.6522496054335867E-3</v>
      </c>
    </row>
    <row r="957" spans="1:24" x14ac:dyDescent="0.35">
      <c r="A957" s="1">
        <v>44228</v>
      </c>
      <c r="B957">
        <v>1749.361328</v>
      </c>
      <c r="C957">
        <f t="shared" si="154"/>
        <v>2.8963888635146873E-2</v>
      </c>
      <c r="D957">
        <v>3139.3500979999999</v>
      </c>
      <c r="E957">
        <f t="shared" si="155"/>
        <v>8.9993086981752235E-3</v>
      </c>
      <c r="F957">
        <v>1476.75</v>
      </c>
      <c r="G957">
        <f t="shared" si="156"/>
        <v>6.2028047464940617E-2</v>
      </c>
      <c r="H957">
        <v>568.47686769999996</v>
      </c>
      <c r="I957">
        <f t="shared" si="157"/>
        <v>4.6152500028288967E-2</v>
      </c>
      <c r="J957">
        <v>1260.900024</v>
      </c>
      <c r="K957">
        <f t="shared" si="158"/>
        <v>1.7634457153393068E-2</v>
      </c>
      <c r="L957">
        <v>215.9499969</v>
      </c>
      <c r="M957">
        <f t="shared" si="159"/>
        <v>6.2484609594095852E-2</v>
      </c>
      <c r="N957">
        <v>590.15002440000001</v>
      </c>
      <c r="O957">
        <f t="shared" si="160"/>
        <v>6.7383352401779728E-3</v>
      </c>
      <c r="P957">
        <v>90.849998470000003</v>
      </c>
      <c r="Q957">
        <f t="shared" si="161"/>
        <v>2.8878769330914489E-2</v>
      </c>
      <c r="R957">
        <v>279.60000609999997</v>
      </c>
      <c r="S957">
        <f t="shared" si="162"/>
        <v>6.4331911363344707E-2</v>
      </c>
      <c r="T957">
        <v>2812</v>
      </c>
      <c r="U957">
        <f t="shared" si="163"/>
        <v>6.053177446728264E-2</v>
      </c>
      <c r="W957">
        <f t="shared" si="164"/>
        <v>3.8674360197576044E-2</v>
      </c>
      <c r="X957">
        <v>1.6546299151283471E-3</v>
      </c>
    </row>
    <row r="958" spans="1:24" x14ac:dyDescent="0.35">
      <c r="A958" s="1">
        <v>44229</v>
      </c>
      <c r="B958">
        <v>1777.512817</v>
      </c>
      <c r="C958">
        <f t="shared" si="154"/>
        <v>1.6092438165524747E-2</v>
      </c>
      <c r="D958">
        <v>3203.4499510000001</v>
      </c>
      <c r="E958">
        <f t="shared" si="155"/>
        <v>2.0418191982103817E-2</v>
      </c>
      <c r="F958">
        <v>1560.5500489999999</v>
      </c>
      <c r="G958">
        <f t="shared" si="156"/>
        <v>5.674626646351788E-2</v>
      </c>
      <c r="H958">
        <v>588.3045654</v>
      </c>
      <c r="I958">
        <f t="shared" si="157"/>
        <v>3.4878635924485257E-2</v>
      </c>
      <c r="J958">
        <v>1271.25</v>
      </c>
      <c r="K958">
        <f t="shared" si="158"/>
        <v>8.2084033650553501E-3</v>
      </c>
      <c r="L958">
        <v>218.1999969</v>
      </c>
      <c r="M958">
        <f t="shared" si="159"/>
        <v>1.0419078639958945E-2</v>
      </c>
      <c r="N958">
        <v>609.45001219999995</v>
      </c>
      <c r="O958">
        <f t="shared" si="160"/>
        <v>3.2703527920077802E-2</v>
      </c>
      <c r="P958">
        <v>92.849998470000003</v>
      </c>
      <c r="Q958">
        <f t="shared" si="161"/>
        <v>2.2014309671787524E-2</v>
      </c>
      <c r="R958">
        <v>322</v>
      </c>
      <c r="S958">
        <f t="shared" si="162"/>
        <v>0.15164518231389268</v>
      </c>
      <c r="T958">
        <v>2869.1000979999999</v>
      </c>
      <c r="U958">
        <f t="shared" si="163"/>
        <v>2.0305866998577393E-2</v>
      </c>
      <c r="W958">
        <f t="shared" si="164"/>
        <v>3.7343190144498141E-2</v>
      </c>
      <c r="X958">
        <v>1.6634034448902105E-3</v>
      </c>
    </row>
    <row r="959" spans="1:24" x14ac:dyDescent="0.35">
      <c r="A959" s="1">
        <v>44230</v>
      </c>
      <c r="B959">
        <v>1781.98938</v>
      </c>
      <c r="C959">
        <f t="shared" si="154"/>
        <v>2.5184420372030836E-3</v>
      </c>
      <c r="D959">
        <v>3200.0500489999999</v>
      </c>
      <c r="E959">
        <f t="shared" si="155"/>
        <v>-1.0613251500741772E-3</v>
      </c>
      <c r="F959">
        <v>1574.8000489999999</v>
      </c>
      <c r="G959">
        <f t="shared" si="156"/>
        <v>9.1313956954672815E-3</v>
      </c>
      <c r="H959">
        <v>597.62951659999999</v>
      </c>
      <c r="I959">
        <f t="shared" si="157"/>
        <v>1.5850550460474011E-2</v>
      </c>
      <c r="J959">
        <v>1284.650024</v>
      </c>
      <c r="K959">
        <f t="shared" si="158"/>
        <v>1.0540825172074664E-2</v>
      </c>
      <c r="L959">
        <v>216.75</v>
      </c>
      <c r="M959">
        <f t="shared" si="159"/>
        <v>-6.6452654472975992E-3</v>
      </c>
      <c r="N959">
        <v>629.20001219999995</v>
      </c>
      <c r="O959">
        <f t="shared" si="160"/>
        <v>3.2406267297798941E-2</v>
      </c>
      <c r="P959">
        <v>93.349998470000003</v>
      </c>
      <c r="Q959">
        <f t="shared" si="161"/>
        <v>5.3850297063984254E-3</v>
      </c>
      <c r="R959">
        <v>331</v>
      </c>
      <c r="S959">
        <f t="shared" si="162"/>
        <v>2.7950310559006208E-2</v>
      </c>
      <c r="T959">
        <v>2877</v>
      </c>
      <c r="U959">
        <f t="shared" si="163"/>
        <v>2.7534424489081832E-3</v>
      </c>
      <c r="W959">
        <f t="shared" si="164"/>
        <v>9.8829672779959018E-3</v>
      </c>
      <c r="X959">
        <v>1.6806643205091176E-3</v>
      </c>
    </row>
    <row r="960" spans="1:24" x14ac:dyDescent="0.35">
      <c r="A960" s="1">
        <v>44231</v>
      </c>
      <c r="B960">
        <v>1776.1282960000001</v>
      </c>
      <c r="C960">
        <f t="shared" si="154"/>
        <v>-3.2890678618970881E-3</v>
      </c>
      <c r="D960">
        <v>3188.4499510000001</v>
      </c>
      <c r="E960">
        <f t="shared" si="155"/>
        <v>-3.6249739292748551E-3</v>
      </c>
      <c r="F960">
        <v>1579.099976</v>
      </c>
      <c r="G960">
        <f t="shared" si="156"/>
        <v>2.7304590209598079E-3</v>
      </c>
      <c r="H960">
        <v>589.53155519999996</v>
      </c>
      <c r="I960">
        <f t="shared" si="157"/>
        <v>-1.3550136288566383E-2</v>
      </c>
      <c r="J960">
        <v>1279.349976</v>
      </c>
      <c r="K960">
        <f t="shared" si="158"/>
        <v>-4.1256746203119921E-3</v>
      </c>
      <c r="L960">
        <v>229.9499969</v>
      </c>
      <c r="M960">
        <f t="shared" si="159"/>
        <v>6.0899639677047368E-2</v>
      </c>
      <c r="N960">
        <v>631.5</v>
      </c>
      <c r="O960">
        <f t="shared" si="160"/>
        <v>3.6554160130386482E-3</v>
      </c>
      <c r="P960">
        <v>97.650001529999997</v>
      </c>
      <c r="Q960">
        <f t="shared" si="161"/>
        <v>4.6063236534298335E-2</v>
      </c>
      <c r="R960">
        <v>326.14999390000003</v>
      </c>
      <c r="S960">
        <f t="shared" si="162"/>
        <v>-1.4652586404833801E-2</v>
      </c>
      <c r="T960">
        <v>2959.8500979999999</v>
      </c>
      <c r="U960">
        <f t="shared" si="163"/>
        <v>2.8797392422662549E-2</v>
      </c>
      <c r="W960">
        <f t="shared" si="164"/>
        <v>1.0290370456312259E-2</v>
      </c>
      <c r="X960">
        <v>1.688135161092941E-3</v>
      </c>
    </row>
    <row r="961" spans="1:24" x14ac:dyDescent="0.35">
      <c r="A961" s="1">
        <v>44232</v>
      </c>
      <c r="B961">
        <v>1775.6206050000001</v>
      </c>
      <c r="C961">
        <f t="shared" si="154"/>
        <v>-2.8584140072729358E-4</v>
      </c>
      <c r="D961">
        <v>3157.9499510000001</v>
      </c>
      <c r="E961">
        <f t="shared" si="155"/>
        <v>-9.5657766214690687E-3</v>
      </c>
      <c r="F961">
        <v>1597.599976</v>
      </c>
      <c r="G961">
        <f t="shared" si="156"/>
        <v>1.1715534343089695E-2</v>
      </c>
      <c r="H961">
        <v>570.39093019999996</v>
      </c>
      <c r="I961">
        <f t="shared" si="157"/>
        <v>-3.2467515659117652E-2</v>
      </c>
      <c r="J961">
        <v>1272.099976</v>
      </c>
      <c r="K961">
        <f t="shared" si="158"/>
        <v>-5.6669403494012949E-3</v>
      </c>
      <c r="L961">
        <v>234.3500061</v>
      </c>
      <c r="M961">
        <f t="shared" si="159"/>
        <v>1.9134634743715351E-2</v>
      </c>
      <c r="N961">
        <v>634.75</v>
      </c>
      <c r="O961">
        <f t="shared" si="160"/>
        <v>5.1464766429136777E-3</v>
      </c>
      <c r="P961">
        <v>97.650001529999997</v>
      </c>
      <c r="Q961">
        <f t="shared" si="161"/>
        <v>0</v>
      </c>
      <c r="R961">
        <v>315.89999390000003</v>
      </c>
      <c r="S961">
        <f t="shared" si="162"/>
        <v>-3.1427257984688817E-2</v>
      </c>
      <c r="T961">
        <v>2946.0500489999999</v>
      </c>
      <c r="U961">
        <f t="shared" si="163"/>
        <v>-4.6624148328744397E-3</v>
      </c>
      <c r="W961">
        <f t="shared" si="164"/>
        <v>-4.8079101118559849E-3</v>
      </c>
      <c r="X961">
        <v>1.7038317379101226E-3</v>
      </c>
    </row>
    <row r="962" spans="1:24" x14ac:dyDescent="0.35">
      <c r="A962" s="1">
        <v>44235</v>
      </c>
      <c r="B962">
        <v>1801.1877440000001</v>
      </c>
      <c r="C962">
        <f t="shared" si="154"/>
        <v>1.4398987558493559E-2</v>
      </c>
      <c r="D962">
        <v>3214.1000979999999</v>
      </c>
      <c r="E962">
        <f t="shared" si="155"/>
        <v>1.778056899927094E-2</v>
      </c>
      <c r="F962">
        <v>1605.25</v>
      </c>
      <c r="G962">
        <f t="shared" si="156"/>
        <v>4.7884477434418926E-3</v>
      </c>
      <c r="H962">
        <v>586.29235840000001</v>
      </c>
      <c r="I962">
        <f t="shared" si="157"/>
        <v>2.7878122456162613E-2</v>
      </c>
      <c r="J962">
        <v>1303.5500489999999</v>
      </c>
      <c r="K962">
        <f t="shared" si="158"/>
        <v>2.4722956995008927E-2</v>
      </c>
      <c r="L962">
        <v>233.1000061</v>
      </c>
      <c r="M962">
        <f t="shared" si="159"/>
        <v>-5.3339021440717005E-3</v>
      </c>
      <c r="N962">
        <v>634.65002440000001</v>
      </c>
      <c r="O962">
        <f t="shared" si="160"/>
        <v>-1.5750389917290608E-4</v>
      </c>
      <c r="P962">
        <v>99.650001529999997</v>
      </c>
      <c r="Q962">
        <f t="shared" si="161"/>
        <v>2.0481310482986181E-2</v>
      </c>
      <c r="R962">
        <v>335.9500122</v>
      </c>
      <c r="S962">
        <f t="shared" si="162"/>
        <v>6.3469511513656096E-2</v>
      </c>
      <c r="T962">
        <v>2984.3999020000001</v>
      </c>
      <c r="U962">
        <f t="shared" si="163"/>
        <v>1.3017380004463064E-2</v>
      </c>
      <c r="W962">
        <f t="shared" si="164"/>
        <v>1.8104587971023867E-2</v>
      </c>
      <c r="X962">
        <v>1.7579621420453996E-3</v>
      </c>
    </row>
    <row r="963" spans="1:24" x14ac:dyDescent="0.35">
      <c r="A963" s="1">
        <v>44236</v>
      </c>
      <c r="B963">
        <v>1805.5257570000001</v>
      </c>
      <c r="C963">
        <f t="shared" si="154"/>
        <v>2.4084180088670415E-3</v>
      </c>
      <c r="D963">
        <v>3176.8999020000001</v>
      </c>
      <c r="E963">
        <f t="shared" si="155"/>
        <v>-1.1574062681852348E-2</v>
      </c>
      <c r="F963">
        <v>1611.849976</v>
      </c>
      <c r="G963">
        <f t="shared" si="156"/>
        <v>4.111494159788176E-3</v>
      </c>
      <c r="H963">
        <v>587.9119263</v>
      </c>
      <c r="I963">
        <f t="shared" si="157"/>
        <v>2.7623895771382578E-3</v>
      </c>
      <c r="J963">
        <v>1305.5500489999999</v>
      </c>
      <c r="K963">
        <f t="shared" si="158"/>
        <v>1.5342717385760096E-3</v>
      </c>
      <c r="L963">
        <v>229</v>
      </c>
      <c r="M963">
        <f t="shared" si="159"/>
        <v>-1.758904329775568E-2</v>
      </c>
      <c r="N963">
        <v>623.59997559999999</v>
      </c>
      <c r="O963">
        <f t="shared" si="160"/>
        <v>-1.7411247735232949E-2</v>
      </c>
      <c r="P963">
        <v>101</v>
      </c>
      <c r="Q963">
        <f t="shared" si="161"/>
        <v>1.354740039410407E-2</v>
      </c>
      <c r="R963">
        <v>325.0499878</v>
      </c>
      <c r="S963">
        <f t="shared" si="162"/>
        <v>-3.2445375812372168E-2</v>
      </c>
      <c r="T963">
        <v>2925</v>
      </c>
      <c r="U963">
        <f t="shared" si="163"/>
        <v>-1.9903466006748305E-2</v>
      </c>
      <c r="W963">
        <f t="shared" si="164"/>
        <v>-7.4559221655487893E-3</v>
      </c>
      <c r="X963">
        <v>1.7622770318503238E-3</v>
      </c>
    </row>
    <row r="964" spans="1:24" x14ac:dyDescent="0.35">
      <c r="A964" s="1">
        <v>44237</v>
      </c>
      <c r="B964">
        <v>1822.278198</v>
      </c>
      <c r="C964">
        <f t="shared" ref="C964:C1027" si="165">B964/B963 - 1</f>
        <v>9.278428144849693E-3</v>
      </c>
      <c r="D964">
        <v>3213.3000489999999</v>
      </c>
      <c r="E964">
        <f t="shared" ref="E964:E1027" si="166">D964/D963 - 1</f>
        <v>1.1457756971531952E-2</v>
      </c>
      <c r="F964">
        <v>1581.75</v>
      </c>
      <c r="G964">
        <f t="shared" ref="G964:G1027" si="167">F964/F963 - 1</f>
        <v>-1.8674179637174881E-2</v>
      </c>
      <c r="H964">
        <v>579.32318120000002</v>
      </c>
      <c r="I964">
        <f t="shared" ref="I964:I1027" si="168">H964/H963 - 1</f>
        <v>-1.4608897550442479E-2</v>
      </c>
      <c r="J964">
        <v>1296.5</v>
      </c>
      <c r="K964">
        <f t="shared" ref="K964:K1027" si="169">J964/J963 -1</f>
        <v>-6.931981663155673E-3</v>
      </c>
      <c r="L964">
        <v>227.5500031</v>
      </c>
      <c r="M964">
        <f t="shared" ref="M964:M1027" si="170">L964/L963 -1</f>
        <v>-6.3318641921397134E-3</v>
      </c>
      <c r="N964">
        <v>627.09997559999999</v>
      </c>
      <c r="O964">
        <f t="shared" ref="O964:O1027" si="171">N964/N963-1</f>
        <v>5.6125723812487927E-3</v>
      </c>
      <c r="P964">
        <v>100</v>
      </c>
      <c r="Q964">
        <f t="shared" ref="Q964:Q1027" si="172">P964/P963 -1</f>
        <v>-9.9009900990099098E-3</v>
      </c>
      <c r="R964">
        <v>328.89999390000003</v>
      </c>
      <c r="S964">
        <f t="shared" ref="S964:S1027" si="173">R964/R963 - 1</f>
        <v>1.1844350852179941E-2</v>
      </c>
      <c r="T964">
        <v>2967.6999510000001</v>
      </c>
      <c r="U964">
        <f t="shared" ref="U964:U1027" si="174">T964/T963 - 1</f>
        <v>1.4598273846153864E-2</v>
      </c>
      <c r="W964">
        <f t="shared" ref="W964:W1027" si="175">0.1*C964+0.1*E964+0.1*G964+0.1*I964+0.1*K964+0.1*M964+0.1*O964+0.1*Q964+0.1*S964+0.1*U964</f>
        <v>-3.6565309459584143E-4</v>
      </c>
      <c r="X964">
        <v>1.7677605572013586E-3</v>
      </c>
    </row>
    <row r="965" spans="1:24" x14ac:dyDescent="0.35">
      <c r="A965" s="1">
        <v>44238</v>
      </c>
      <c r="B965">
        <v>1897.4104</v>
      </c>
      <c r="C965">
        <f t="shared" si="165"/>
        <v>4.1229819948710222E-2</v>
      </c>
      <c r="D965">
        <v>3206</v>
      </c>
      <c r="E965">
        <f t="shared" si="166"/>
        <v>-2.2718230133136341E-3</v>
      </c>
      <c r="F965">
        <v>1572.349976</v>
      </c>
      <c r="G965">
        <f t="shared" si="167"/>
        <v>-5.9428000632211209E-3</v>
      </c>
      <c r="H965">
        <v>587.07763669999997</v>
      </c>
      <c r="I965">
        <f t="shared" si="168"/>
        <v>1.3385370638781424E-2</v>
      </c>
      <c r="J965">
        <v>1292.650024</v>
      </c>
      <c r="K965">
        <f t="shared" si="169"/>
        <v>-2.969514847666721E-3</v>
      </c>
      <c r="L965">
        <v>226.4499969</v>
      </c>
      <c r="M965">
        <f t="shared" si="170"/>
        <v>-4.8341295759797287E-3</v>
      </c>
      <c r="N965">
        <v>643.65002440000001</v>
      </c>
      <c r="O965">
        <f t="shared" si="171"/>
        <v>2.6391403992904294E-2</v>
      </c>
      <c r="P965">
        <v>99.449996949999999</v>
      </c>
      <c r="Q965">
        <f t="shared" si="172"/>
        <v>-5.5000305000000305E-3</v>
      </c>
      <c r="R965">
        <v>325</v>
      </c>
      <c r="S965">
        <f t="shared" si="173"/>
        <v>-1.1857689183131459E-2</v>
      </c>
      <c r="T965">
        <v>2951.8999020000001</v>
      </c>
      <c r="U965">
        <f t="shared" si="174"/>
        <v>-5.3240048727554168E-3</v>
      </c>
      <c r="W965">
        <f t="shared" si="175"/>
        <v>4.2306602524327837E-3</v>
      </c>
      <c r="X965">
        <v>1.7883077788339418E-3</v>
      </c>
    </row>
    <row r="966" spans="1:24" x14ac:dyDescent="0.35">
      <c r="A966" s="1">
        <v>44239</v>
      </c>
      <c r="B966">
        <v>1884.3961179999999</v>
      </c>
      <c r="C966">
        <f t="shared" si="165"/>
        <v>-6.8589705210849727E-3</v>
      </c>
      <c r="D966">
        <v>3190.8000489999999</v>
      </c>
      <c r="E966">
        <f t="shared" si="166"/>
        <v>-4.7410951341235741E-3</v>
      </c>
      <c r="F966">
        <v>1581.9499510000001</v>
      </c>
      <c r="G966">
        <f t="shared" si="167"/>
        <v>6.1054950529666474E-3</v>
      </c>
      <c r="H966">
        <v>575.44598389999999</v>
      </c>
      <c r="I966">
        <f t="shared" si="168"/>
        <v>-1.9812801702654204E-2</v>
      </c>
      <c r="J966">
        <v>1309.8000489999999</v>
      </c>
      <c r="K966">
        <f t="shared" si="169"/>
        <v>1.3267338167008758E-2</v>
      </c>
      <c r="L966">
        <v>217.4499969</v>
      </c>
      <c r="M966">
        <f t="shared" si="170"/>
        <v>-3.9743873363683013E-2</v>
      </c>
      <c r="N966">
        <v>627.15002440000001</v>
      </c>
      <c r="O966">
        <f t="shared" si="171"/>
        <v>-2.5635049133076682E-2</v>
      </c>
      <c r="P966">
        <v>97</v>
      </c>
      <c r="Q966">
        <f t="shared" si="172"/>
        <v>-2.463546531058991E-2</v>
      </c>
      <c r="R966">
        <v>325.39999390000003</v>
      </c>
      <c r="S966">
        <f t="shared" si="173"/>
        <v>1.2307504615385323E-3</v>
      </c>
      <c r="T966">
        <v>2928.8999020000001</v>
      </c>
      <c r="U966">
        <f t="shared" si="174"/>
        <v>-7.7915921147654332E-3</v>
      </c>
      <c r="W966">
        <f t="shared" si="175"/>
        <v>-1.0861526359846385E-2</v>
      </c>
      <c r="X966">
        <v>1.8017185743751669E-3</v>
      </c>
    </row>
    <row r="967" spans="1:24" x14ac:dyDescent="0.35">
      <c r="A967" s="1">
        <v>44242</v>
      </c>
      <c r="B967">
        <v>1876.089111</v>
      </c>
      <c r="C967">
        <f t="shared" si="165"/>
        <v>-4.40831252020224E-3</v>
      </c>
      <c r="D967">
        <v>3139.8500979999999</v>
      </c>
      <c r="E967">
        <f t="shared" si="166"/>
        <v>-1.5967766772464476E-2</v>
      </c>
      <c r="F967">
        <v>1616.599976</v>
      </c>
      <c r="G967">
        <f t="shared" si="167"/>
        <v>2.1903363616590177E-2</v>
      </c>
      <c r="H967">
        <v>582.75872800000002</v>
      </c>
      <c r="I967">
        <f t="shared" si="168"/>
        <v>1.2707959225710441E-2</v>
      </c>
      <c r="J967">
        <v>1309.650024</v>
      </c>
      <c r="K967">
        <f t="shared" si="169"/>
        <v>-1.1454038356040197E-4</v>
      </c>
      <c r="L967">
        <v>218.6000061</v>
      </c>
      <c r="M967">
        <f t="shared" si="170"/>
        <v>5.28861446950879E-3</v>
      </c>
      <c r="N967">
        <v>627.5</v>
      </c>
      <c r="O967">
        <f t="shared" si="171"/>
        <v>5.5804127622383071E-4</v>
      </c>
      <c r="P967">
        <v>98.449996949999999</v>
      </c>
      <c r="Q967">
        <f t="shared" si="172"/>
        <v>1.4948422164948516E-2</v>
      </c>
      <c r="R967">
        <v>333.35000609999997</v>
      </c>
      <c r="S967">
        <f t="shared" si="173"/>
        <v>2.4431506911592349E-2</v>
      </c>
      <c r="T967">
        <v>3044.5500489999999</v>
      </c>
      <c r="U967">
        <f t="shared" si="174"/>
        <v>3.9485865297420375E-2</v>
      </c>
      <c r="W967">
        <f t="shared" si="175"/>
        <v>9.8833153285767354E-3</v>
      </c>
      <c r="X967">
        <v>1.8158264929809542E-3</v>
      </c>
    </row>
    <row r="968" spans="1:24" x14ac:dyDescent="0.35">
      <c r="A968" s="1">
        <v>44243</v>
      </c>
      <c r="B968">
        <v>1900.9178469999999</v>
      </c>
      <c r="C968">
        <f t="shared" si="165"/>
        <v>1.3234305265364288E-2</v>
      </c>
      <c r="D968">
        <v>3108.8000489999999</v>
      </c>
      <c r="E968">
        <f t="shared" si="166"/>
        <v>-9.8890227338489511E-3</v>
      </c>
      <c r="F968">
        <v>1626.650024</v>
      </c>
      <c r="G968">
        <f t="shared" si="167"/>
        <v>6.2167809904756233E-3</v>
      </c>
      <c r="H968">
        <v>583.0040894</v>
      </c>
      <c r="I968">
        <f t="shared" si="168"/>
        <v>4.2103427749951017E-4</v>
      </c>
      <c r="J968">
        <v>1290.400024</v>
      </c>
      <c r="K968">
        <f t="shared" si="169"/>
        <v>-1.4698583321676839E-2</v>
      </c>
      <c r="L968">
        <v>218.25</v>
      </c>
      <c r="M968">
        <f t="shared" si="170"/>
        <v>-1.6011257558697922E-3</v>
      </c>
      <c r="N968">
        <v>631.15002440000001</v>
      </c>
      <c r="O968">
        <f t="shared" si="171"/>
        <v>5.8167719521913241E-3</v>
      </c>
      <c r="P968">
        <v>103.75</v>
      </c>
      <c r="Q968">
        <f t="shared" si="172"/>
        <v>5.3834466370697109E-2</v>
      </c>
      <c r="R968">
        <v>329.2000122</v>
      </c>
      <c r="S968">
        <f t="shared" si="173"/>
        <v>-1.244935900422639E-2</v>
      </c>
      <c r="T968">
        <v>3130.8500979999999</v>
      </c>
      <c r="U968">
        <f t="shared" si="174"/>
        <v>2.8345748176596963E-2</v>
      </c>
      <c r="W968">
        <f t="shared" si="175"/>
        <v>6.9231016217202847E-3</v>
      </c>
      <c r="X968">
        <v>1.8194174333973209E-3</v>
      </c>
    </row>
    <row r="969" spans="1:24" x14ac:dyDescent="0.35">
      <c r="A969" s="1">
        <v>44244</v>
      </c>
      <c r="B969">
        <v>1922.839111</v>
      </c>
      <c r="C969">
        <f t="shared" si="165"/>
        <v>1.1531936550859267E-2</v>
      </c>
      <c r="D969">
        <v>3073.1000979999999</v>
      </c>
      <c r="E969">
        <f t="shared" si="166"/>
        <v>-1.148351468003983E-2</v>
      </c>
      <c r="F969">
        <v>1586.5</v>
      </c>
      <c r="G969">
        <f t="shared" si="167"/>
        <v>-2.4682644335054627E-2</v>
      </c>
      <c r="H969">
        <v>582.90594480000004</v>
      </c>
      <c r="I969">
        <f t="shared" si="168"/>
        <v>-1.6834290150680165E-4</v>
      </c>
      <c r="J969">
        <v>1281.3000489999999</v>
      </c>
      <c r="K969">
        <f t="shared" si="169"/>
        <v>-7.0520573703896083E-3</v>
      </c>
      <c r="L969">
        <v>217.75</v>
      </c>
      <c r="M969">
        <f t="shared" si="170"/>
        <v>-2.2909507445589838E-3</v>
      </c>
      <c r="N969">
        <v>621.25</v>
      </c>
      <c r="O969">
        <f t="shared" si="171"/>
        <v>-1.568569122596708E-2</v>
      </c>
      <c r="P969">
        <v>102.25</v>
      </c>
      <c r="Q969">
        <f t="shared" si="172"/>
        <v>-1.4457831325301207E-2</v>
      </c>
      <c r="R969">
        <v>330.14999390000003</v>
      </c>
      <c r="S969">
        <f t="shared" si="173"/>
        <v>2.8857280218534953E-3</v>
      </c>
      <c r="T969">
        <v>3190.25</v>
      </c>
      <c r="U969">
        <f t="shared" si="174"/>
        <v>1.8972451615599573E-2</v>
      </c>
      <c r="W969">
        <f t="shared" si="175"/>
        <v>-4.2430916394505819E-3</v>
      </c>
      <c r="X969">
        <v>1.82655557498178E-3</v>
      </c>
    </row>
    <row r="970" spans="1:24" x14ac:dyDescent="0.35">
      <c r="A970" s="1">
        <v>44245</v>
      </c>
      <c r="B970">
        <v>1908.4864500000001</v>
      </c>
      <c r="C970">
        <f t="shared" si="165"/>
        <v>-7.464306773194096E-3</v>
      </c>
      <c r="D970">
        <v>3057.3500979999999</v>
      </c>
      <c r="E970">
        <f t="shared" si="166"/>
        <v>-5.1251177956260774E-3</v>
      </c>
      <c r="F970">
        <v>1554.3000489999999</v>
      </c>
      <c r="G970">
        <f t="shared" si="167"/>
        <v>-2.029621872045384E-2</v>
      </c>
      <c r="H970">
        <v>578.19439699999998</v>
      </c>
      <c r="I970">
        <f t="shared" si="168"/>
        <v>-8.0828611237043768E-3</v>
      </c>
      <c r="J970">
        <v>1292.4499510000001</v>
      </c>
      <c r="K970">
        <f t="shared" si="169"/>
        <v>8.7020226126597322E-3</v>
      </c>
      <c r="L970">
        <v>218.8500061</v>
      </c>
      <c r="M970">
        <f t="shared" si="170"/>
        <v>5.0516927669346234E-3</v>
      </c>
      <c r="N970">
        <v>616.04998780000005</v>
      </c>
      <c r="O970">
        <f t="shared" si="171"/>
        <v>-8.3702409657946397E-3</v>
      </c>
      <c r="P970">
        <v>110.6999969</v>
      </c>
      <c r="Q970">
        <f t="shared" si="172"/>
        <v>8.2640556479217642E-2</v>
      </c>
      <c r="R970">
        <v>323.85000609999997</v>
      </c>
      <c r="S970">
        <f t="shared" si="173"/>
        <v>-1.9082198747240597E-2</v>
      </c>
      <c r="T970">
        <v>3127.75</v>
      </c>
      <c r="U970">
        <f t="shared" si="174"/>
        <v>-1.9590941148812768E-2</v>
      </c>
      <c r="W970">
        <f t="shared" si="175"/>
        <v>8.3823865839856033E-4</v>
      </c>
      <c r="X970">
        <v>1.8456578229610336E-3</v>
      </c>
    </row>
    <row r="971" spans="1:24" x14ac:dyDescent="0.35">
      <c r="A971" s="1">
        <v>44246</v>
      </c>
      <c r="B971">
        <v>1920.116211</v>
      </c>
      <c r="C971">
        <f t="shared" si="165"/>
        <v>6.0937089702679526E-3</v>
      </c>
      <c r="D971">
        <v>3071.8500979999999</v>
      </c>
      <c r="E971">
        <f t="shared" si="166"/>
        <v>4.7426691530960685E-3</v>
      </c>
      <c r="F971">
        <v>1539.099976</v>
      </c>
      <c r="G971">
        <f t="shared" si="167"/>
        <v>-9.7793685394138574E-3</v>
      </c>
      <c r="H971">
        <v>570.63629149999997</v>
      </c>
      <c r="I971">
        <f t="shared" si="168"/>
        <v>-1.3071910657065811E-2</v>
      </c>
      <c r="J971">
        <v>1291.3000489999999</v>
      </c>
      <c r="K971">
        <f t="shared" si="169"/>
        <v>-8.8970717907521646E-4</v>
      </c>
      <c r="L971">
        <v>215.9499969</v>
      </c>
      <c r="M971">
        <f t="shared" si="170"/>
        <v>-1.325112688676322E-2</v>
      </c>
      <c r="N971">
        <v>607.29998780000005</v>
      </c>
      <c r="O971">
        <f t="shared" si="171"/>
        <v>-1.4203392863049058E-2</v>
      </c>
      <c r="P971">
        <v>105.0999985</v>
      </c>
      <c r="Q971">
        <f t="shared" si="172"/>
        <v>-5.0587159501537471E-2</v>
      </c>
      <c r="R971">
        <v>311.85000609999997</v>
      </c>
      <c r="S971">
        <f t="shared" si="173"/>
        <v>-3.7054191057493968E-2</v>
      </c>
      <c r="T971">
        <v>3101.6499020000001</v>
      </c>
      <c r="U971">
        <f t="shared" si="174"/>
        <v>-8.3446880345295904E-3</v>
      </c>
      <c r="W971">
        <f t="shared" si="175"/>
        <v>-1.3634516659556416E-2</v>
      </c>
      <c r="X971">
        <v>1.8472627040374339E-3</v>
      </c>
    </row>
    <row r="972" spans="1:24" x14ac:dyDescent="0.35">
      <c r="A972" s="1">
        <v>44249</v>
      </c>
      <c r="B972">
        <v>1853.4757079999999</v>
      </c>
      <c r="C972">
        <f t="shared" si="165"/>
        <v>-3.4706494647682606E-2</v>
      </c>
      <c r="D972">
        <v>2958.4499510000001</v>
      </c>
      <c r="E972">
        <f t="shared" si="166"/>
        <v>-3.6915911708657823E-2</v>
      </c>
      <c r="F972">
        <v>1548</v>
      </c>
      <c r="G972">
        <f t="shared" si="167"/>
        <v>5.7826159046083792E-3</v>
      </c>
      <c r="H972">
        <v>559.78991699999995</v>
      </c>
      <c r="I972">
        <f t="shared" si="168"/>
        <v>-1.9007509093907693E-2</v>
      </c>
      <c r="J972">
        <v>1265.1999510000001</v>
      </c>
      <c r="K972">
        <f t="shared" si="169"/>
        <v>-2.021226439216206E-2</v>
      </c>
      <c r="L972">
        <v>207.0500031</v>
      </c>
      <c r="M972">
        <f t="shared" si="170"/>
        <v>-4.121321568770997E-2</v>
      </c>
      <c r="N972">
        <v>595.29998780000005</v>
      </c>
      <c r="O972">
        <f t="shared" si="171"/>
        <v>-1.9759592032055018E-2</v>
      </c>
      <c r="P972">
        <v>106.3000031</v>
      </c>
      <c r="Q972">
        <f t="shared" si="172"/>
        <v>1.1417741361813727E-2</v>
      </c>
      <c r="R972">
        <v>304.5</v>
      </c>
      <c r="S972">
        <f t="shared" si="173"/>
        <v>-2.3569042668683093E-2</v>
      </c>
      <c r="T972">
        <v>2992.6000979999999</v>
      </c>
      <c r="U972">
        <f t="shared" si="174"/>
        <v>-3.5158643768815723E-2</v>
      </c>
      <c r="W972">
        <f t="shared" si="175"/>
        <v>-2.1334231673325186E-2</v>
      </c>
      <c r="X972">
        <v>1.8661157558943489E-3</v>
      </c>
    </row>
    <row r="973" spans="1:24" x14ac:dyDescent="0.35">
      <c r="A973" s="1">
        <v>44250</v>
      </c>
      <c r="B973">
        <v>1867.643677</v>
      </c>
      <c r="C973">
        <f t="shared" si="165"/>
        <v>7.6440003712203719E-3</v>
      </c>
      <c r="D973">
        <v>2980.1999510000001</v>
      </c>
      <c r="E973">
        <f t="shared" si="166"/>
        <v>7.3518228667848184E-3</v>
      </c>
      <c r="F973">
        <v>1529.150024</v>
      </c>
      <c r="G973">
        <f t="shared" si="167"/>
        <v>-1.2176987080103285E-2</v>
      </c>
      <c r="H973">
        <v>555.12750240000003</v>
      </c>
      <c r="I973">
        <f t="shared" si="168"/>
        <v>-8.3288649159429795E-3</v>
      </c>
      <c r="J973">
        <v>1266.349976</v>
      </c>
      <c r="K973">
        <f t="shared" si="169"/>
        <v>9.089669969486458E-4</v>
      </c>
      <c r="L973">
        <v>208.5</v>
      </c>
      <c r="M973">
        <f t="shared" si="170"/>
        <v>7.0031242612427214E-3</v>
      </c>
      <c r="N973">
        <v>604.04998780000005</v>
      </c>
      <c r="O973">
        <f t="shared" si="171"/>
        <v>1.4698471660207213E-2</v>
      </c>
      <c r="P973">
        <v>112.1999969</v>
      </c>
      <c r="Q973">
        <f t="shared" si="172"/>
        <v>5.5503232624082521E-2</v>
      </c>
      <c r="R973">
        <v>324</v>
      </c>
      <c r="S973">
        <f t="shared" si="173"/>
        <v>6.4039408866995107E-2</v>
      </c>
      <c r="T973">
        <v>3151.9499510000001</v>
      </c>
      <c r="U973">
        <f t="shared" si="174"/>
        <v>5.3247960897446989E-2</v>
      </c>
      <c r="W973">
        <f t="shared" si="175"/>
        <v>1.8989113654888215E-2</v>
      </c>
      <c r="X973">
        <v>1.885436835077226E-3</v>
      </c>
    </row>
    <row r="974" spans="1:24" x14ac:dyDescent="0.35">
      <c r="A974" s="1">
        <v>44251</v>
      </c>
      <c r="B974">
        <v>1902.3023679999999</v>
      </c>
      <c r="C974">
        <f t="shared" si="165"/>
        <v>1.8557442957037873E-2</v>
      </c>
      <c r="D974">
        <v>2948.1000979999999</v>
      </c>
      <c r="E974">
        <f t="shared" si="166"/>
        <v>-1.0771040040192359E-2</v>
      </c>
      <c r="F974">
        <v>1606.4499510000001</v>
      </c>
      <c r="G974">
        <f t="shared" si="167"/>
        <v>5.0550911151148181E-2</v>
      </c>
      <c r="H974">
        <v>562.39111330000003</v>
      </c>
      <c r="I974">
        <f t="shared" si="168"/>
        <v>1.3084581233314907E-2</v>
      </c>
      <c r="J974">
        <v>1274.3000489999999</v>
      </c>
      <c r="K974">
        <f t="shared" si="169"/>
        <v>6.2779430257595692E-3</v>
      </c>
      <c r="L974">
        <v>208.8500061</v>
      </c>
      <c r="M974">
        <f t="shared" si="170"/>
        <v>1.678686330935264E-3</v>
      </c>
      <c r="N974">
        <v>601.45001219999995</v>
      </c>
      <c r="O974">
        <f t="shared" si="171"/>
        <v>-4.3042391399914504E-3</v>
      </c>
      <c r="P974">
        <v>113.5999985</v>
      </c>
      <c r="Q974">
        <f t="shared" si="172"/>
        <v>1.2477732965070931E-2</v>
      </c>
      <c r="R974">
        <v>321.64999390000003</v>
      </c>
      <c r="S974">
        <f t="shared" si="173"/>
        <v>-7.2531052469134716E-3</v>
      </c>
      <c r="T974">
        <v>3139.6999510000001</v>
      </c>
      <c r="U974">
        <f t="shared" si="174"/>
        <v>-3.8864830312783649E-3</v>
      </c>
      <c r="W974">
        <f t="shared" si="175"/>
        <v>7.6412430204891102E-3</v>
      </c>
      <c r="X974">
        <v>1.9095940156284123E-3</v>
      </c>
    </row>
    <row r="975" spans="1:24" x14ac:dyDescent="0.35">
      <c r="A975" s="1">
        <v>44252</v>
      </c>
      <c r="B975">
        <v>1979.234375</v>
      </c>
      <c r="C975">
        <f t="shared" si="165"/>
        <v>4.0441524067955203E-2</v>
      </c>
      <c r="D975">
        <v>2995.3000489999999</v>
      </c>
      <c r="E975">
        <f t="shared" si="166"/>
        <v>1.6010294573111983E-2</v>
      </c>
      <c r="F975">
        <v>1606.400024</v>
      </c>
      <c r="G975">
        <f t="shared" si="167"/>
        <v>-3.1079088376739783E-5</v>
      </c>
      <c r="H975">
        <v>568.47686769999996</v>
      </c>
      <c r="I975">
        <f t="shared" si="168"/>
        <v>1.0821213664437002E-2</v>
      </c>
      <c r="J975">
        <v>1274.5500489999999</v>
      </c>
      <c r="K975">
        <f t="shared" si="169"/>
        <v>1.9618613386707118E-4</v>
      </c>
      <c r="L975">
        <v>209.1499939</v>
      </c>
      <c r="M975">
        <f t="shared" si="170"/>
        <v>1.4363791775824364E-3</v>
      </c>
      <c r="N975">
        <v>609.54998780000005</v>
      </c>
      <c r="O975">
        <f t="shared" si="171"/>
        <v>1.3467412811867474E-2</v>
      </c>
      <c r="P975">
        <v>119.0500031</v>
      </c>
      <c r="Q975">
        <f t="shared" si="172"/>
        <v>4.7975393239111597E-2</v>
      </c>
      <c r="R975">
        <v>333.14999390000003</v>
      </c>
      <c r="S975">
        <f t="shared" si="173"/>
        <v>3.5753148509542143E-2</v>
      </c>
      <c r="T975">
        <v>3089.1999510000001</v>
      </c>
      <c r="U975">
        <f t="shared" si="174"/>
        <v>-1.6084339519104596E-2</v>
      </c>
      <c r="W975">
        <f t="shared" si="175"/>
        <v>1.4998613356999358E-2</v>
      </c>
      <c r="X975">
        <v>1.9137136989413781E-3</v>
      </c>
    </row>
    <row r="976" spans="1:24" x14ac:dyDescent="0.35">
      <c r="A976" s="1">
        <v>44253</v>
      </c>
      <c r="B976">
        <v>1925.192749</v>
      </c>
      <c r="C976">
        <f t="shared" si="165"/>
        <v>-2.7304308515761266E-2</v>
      </c>
      <c r="D976">
        <v>2894.3000489999999</v>
      </c>
      <c r="E976">
        <f t="shared" si="166"/>
        <v>-3.3719493322119543E-2</v>
      </c>
      <c r="F976">
        <v>1534.400024</v>
      </c>
      <c r="G976">
        <f t="shared" si="167"/>
        <v>-4.4820716461841936E-2</v>
      </c>
      <c r="H976">
        <v>546.04797359999998</v>
      </c>
      <c r="I976">
        <f t="shared" si="168"/>
        <v>-3.9454365470920627E-2</v>
      </c>
      <c r="J976">
        <v>1253.3000489999999</v>
      </c>
      <c r="K976">
        <f t="shared" si="169"/>
        <v>-1.6672550455490209E-2</v>
      </c>
      <c r="L976">
        <v>203.8500061</v>
      </c>
      <c r="M976">
        <f t="shared" si="170"/>
        <v>-2.5340607002523052E-2</v>
      </c>
      <c r="N976">
        <v>594.59997559999999</v>
      </c>
      <c r="O976">
        <f t="shared" si="171"/>
        <v>-2.4526310391634887E-2</v>
      </c>
      <c r="P976">
        <v>111</v>
      </c>
      <c r="Q976">
        <f t="shared" si="172"/>
        <v>-6.7618671905771643E-2</v>
      </c>
      <c r="R976">
        <v>322.9500122</v>
      </c>
      <c r="S976">
        <f t="shared" si="173"/>
        <v>-3.0616784891977833E-2</v>
      </c>
      <c r="T976">
        <v>2994.1999510000001</v>
      </c>
      <c r="U976">
        <f t="shared" si="174"/>
        <v>-3.0752298817448787E-2</v>
      </c>
      <c r="W976">
        <f t="shared" si="175"/>
        <v>-3.4082610723548977E-2</v>
      </c>
      <c r="X976">
        <v>1.913717157994055E-3</v>
      </c>
    </row>
    <row r="977" spans="1:24" x14ac:dyDescent="0.35">
      <c r="A977" s="1">
        <v>44256</v>
      </c>
      <c r="B977">
        <v>1939.868408</v>
      </c>
      <c r="C977">
        <f t="shared" si="165"/>
        <v>7.6229556794367159E-3</v>
      </c>
      <c r="D977">
        <v>2924.1999510000001</v>
      </c>
      <c r="E977">
        <f t="shared" si="166"/>
        <v>1.0330615863524795E-2</v>
      </c>
      <c r="F977">
        <v>1558.900024</v>
      </c>
      <c r="G977">
        <f t="shared" si="167"/>
        <v>1.5967153034924575E-2</v>
      </c>
      <c r="H977">
        <v>522.39208980000001</v>
      </c>
      <c r="I977">
        <f t="shared" si="168"/>
        <v>-4.3321988073759865E-2</v>
      </c>
      <c r="J977">
        <v>1267</v>
      </c>
      <c r="K977">
        <f t="shared" si="169"/>
        <v>1.0931102261530379E-2</v>
      </c>
      <c r="L977">
        <v>206.8999939</v>
      </c>
      <c r="M977">
        <f t="shared" si="170"/>
        <v>1.4961921553751756E-2</v>
      </c>
      <c r="N977">
        <v>604.45001219999995</v>
      </c>
      <c r="O977">
        <f t="shared" si="171"/>
        <v>1.6565820726885283E-2</v>
      </c>
      <c r="P977">
        <v>117.0500031</v>
      </c>
      <c r="Q977">
        <f t="shared" si="172"/>
        <v>5.4504532432432473E-2</v>
      </c>
      <c r="R977">
        <v>328.2999878</v>
      </c>
      <c r="S977">
        <f t="shared" si="173"/>
        <v>1.6565955714182845E-2</v>
      </c>
      <c r="T977">
        <v>2908.4499510000001</v>
      </c>
      <c r="U977">
        <f t="shared" si="174"/>
        <v>-2.8638701958218049E-2</v>
      </c>
      <c r="W977">
        <f t="shared" si="175"/>
        <v>7.5489367234690902E-3</v>
      </c>
      <c r="X977">
        <v>1.9325978985956114E-3</v>
      </c>
    </row>
    <row r="978" spans="1:24" x14ac:dyDescent="0.35">
      <c r="A978" s="1">
        <v>44257</v>
      </c>
      <c r="B978">
        <v>1943.83728</v>
      </c>
      <c r="C978">
        <f t="shared" si="165"/>
        <v>2.0459490879032316E-3</v>
      </c>
      <c r="D978">
        <v>3006.3500979999999</v>
      </c>
      <c r="E978">
        <f t="shared" si="166"/>
        <v>2.8093204423967899E-2</v>
      </c>
      <c r="F978">
        <v>1568.1999510000001</v>
      </c>
      <c r="G978">
        <f t="shared" si="167"/>
        <v>5.9656981569204959E-3</v>
      </c>
      <c r="H978">
        <v>531.22625730000004</v>
      </c>
      <c r="I978">
        <f t="shared" si="168"/>
        <v>1.6910990178626628E-2</v>
      </c>
      <c r="J978">
        <v>1304.5</v>
      </c>
      <c r="K978">
        <f t="shared" si="169"/>
        <v>2.9597474348855624E-2</v>
      </c>
      <c r="L978">
        <v>209.8999939</v>
      </c>
      <c r="M978">
        <f t="shared" si="170"/>
        <v>1.4499758764855208E-2</v>
      </c>
      <c r="N978">
        <v>614.20001219999995</v>
      </c>
      <c r="O978">
        <f t="shared" si="171"/>
        <v>1.6130366123268347E-2</v>
      </c>
      <c r="P978">
        <v>113.5</v>
      </c>
      <c r="Q978">
        <f t="shared" si="172"/>
        <v>-3.0328944946435454E-2</v>
      </c>
      <c r="R978">
        <v>345.75</v>
      </c>
      <c r="S978">
        <f t="shared" si="173"/>
        <v>5.3152643461657822E-2</v>
      </c>
      <c r="T978">
        <v>3073.5</v>
      </c>
      <c r="U978">
        <f t="shared" si="174"/>
        <v>5.6748457694192567E-2</v>
      </c>
      <c r="W978">
        <f t="shared" si="175"/>
        <v>1.928155972938124E-2</v>
      </c>
      <c r="X978">
        <v>1.9355910806488352E-3</v>
      </c>
    </row>
    <row r="979" spans="1:24" x14ac:dyDescent="0.35">
      <c r="A979" s="1">
        <v>44258</v>
      </c>
      <c r="B979">
        <v>2032.5375979999999</v>
      </c>
      <c r="C979">
        <f t="shared" si="165"/>
        <v>4.5631555126877554E-2</v>
      </c>
      <c r="D979">
        <v>3059.1000979999999</v>
      </c>
      <c r="E979">
        <f t="shared" si="166"/>
        <v>1.7546193317635295E-2</v>
      </c>
      <c r="F979">
        <v>1586.849976</v>
      </c>
      <c r="G979">
        <f t="shared" si="167"/>
        <v>1.1892632051230034E-2</v>
      </c>
      <c r="H979">
        <v>536.2322388</v>
      </c>
      <c r="I979">
        <f t="shared" si="168"/>
        <v>9.4234451539412234E-3</v>
      </c>
      <c r="J979">
        <v>1343.5500489999999</v>
      </c>
      <c r="K979">
        <f t="shared" si="169"/>
        <v>2.9934878497508643E-2</v>
      </c>
      <c r="L979">
        <v>209.9499969</v>
      </c>
      <c r="M979">
        <f t="shared" si="170"/>
        <v>2.3822297023889938E-4</v>
      </c>
      <c r="N979">
        <v>624.34997559999999</v>
      </c>
      <c r="O979">
        <f t="shared" si="171"/>
        <v>1.652550178832457E-2</v>
      </c>
      <c r="P979">
        <v>114</v>
      </c>
      <c r="Q979">
        <f t="shared" si="172"/>
        <v>4.405286343612369E-3</v>
      </c>
      <c r="R979">
        <v>348.5</v>
      </c>
      <c r="S979">
        <f t="shared" si="173"/>
        <v>7.9537237888647194E-3</v>
      </c>
      <c r="T979">
        <v>3167.6999510000001</v>
      </c>
      <c r="U979">
        <f t="shared" si="174"/>
        <v>3.06490811778104E-2</v>
      </c>
      <c r="W979">
        <f t="shared" si="175"/>
        <v>1.7420052021604369E-2</v>
      </c>
      <c r="X979">
        <v>1.9426927172067066E-3</v>
      </c>
    </row>
    <row r="980" spans="1:24" x14ac:dyDescent="0.35">
      <c r="A980" s="1">
        <v>44259</v>
      </c>
      <c r="B980">
        <v>2008.3088379999999</v>
      </c>
      <c r="C980">
        <f t="shared" si="165"/>
        <v>-1.1920448617452784E-2</v>
      </c>
      <c r="D980">
        <v>3049.6999510000001</v>
      </c>
      <c r="E980">
        <f t="shared" si="166"/>
        <v>-3.0728471442126315E-3</v>
      </c>
      <c r="F980">
        <v>1552.0500489999999</v>
      </c>
      <c r="G980">
        <f t="shared" si="167"/>
        <v>-2.1930193481630056E-2</v>
      </c>
      <c r="H980">
        <v>529.65570070000001</v>
      </c>
      <c r="I980">
        <f t="shared" si="168"/>
        <v>-1.2264346721706287E-2</v>
      </c>
      <c r="J980">
        <v>1330.349976</v>
      </c>
      <c r="K980">
        <f t="shared" si="169"/>
        <v>-9.8247720729307542E-3</v>
      </c>
      <c r="L980">
        <v>209.6999969</v>
      </c>
      <c r="M980">
        <f t="shared" si="170"/>
        <v>-1.190759722273671E-3</v>
      </c>
      <c r="N980">
        <v>618.95001219999995</v>
      </c>
      <c r="O980">
        <f t="shared" si="171"/>
        <v>-8.6489366717932281E-3</v>
      </c>
      <c r="P980">
        <v>112.6999969</v>
      </c>
      <c r="Q980">
        <f t="shared" si="172"/>
        <v>-1.1403535964912281E-2</v>
      </c>
      <c r="R980">
        <v>339.2000122</v>
      </c>
      <c r="S980">
        <f t="shared" si="173"/>
        <v>-2.6685761262553842E-2</v>
      </c>
      <c r="T980">
        <v>3178.6999510000001</v>
      </c>
      <c r="U980">
        <f t="shared" si="174"/>
        <v>3.4725511160005329E-3</v>
      </c>
      <c r="W980">
        <f t="shared" si="175"/>
        <v>-1.0346905054346503E-2</v>
      </c>
      <c r="X980">
        <v>1.9537885548684634E-3</v>
      </c>
    </row>
    <row r="981" spans="1:24" x14ac:dyDescent="0.35">
      <c r="A981" s="1">
        <v>44260</v>
      </c>
      <c r="B981">
        <v>2010.939331</v>
      </c>
      <c r="C981">
        <f t="shared" si="165"/>
        <v>1.3098050211339807E-3</v>
      </c>
      <c r="D981">
        <v>3008.0500489999999</v>
      </c>
      <c r="E981">
        <f t="shared" si="166"/>
        <v>-1.3657049109484731E-2</v>
      </c>
      <c r="F981">
        <v>1530</v>
      </c>
      <c r="G981">
        <f t="shared" si="167"/>
        <v>-1.4207047649144378E-2</v>
      </c>
      <c r="H981">
        <v>522.98101810000003</v>
      </c>
      <c r="I981">
        <f t="shared" si="168"/>
        <v>-1.26019272353316E-2</v>
      </c>
      <c r="J981">
        <v>1316.6999510000001</v>
      </c>
      <c r="K981">
        <f t="shared" si="169"/>
        <v>-1.0260476751419834E-2</v>
      </c>
      <c r="L981">
        <v>208.5500031</v>
      </c>
      <c r="M981">
        <f t="shared" si="170"/>
        <v>-5.4839953123528851E-3</v>
      </c>
      <c r="N981">
        <v>611.20001219999995</v>
      </c>
      <c r="O981">
        <f t="shared" si="171"/>
        <v>-1.2521205020181392E-2</v>
      </c>
      <c r="P981">
        <v>114.9499969</v>
      </c>
      <c r="Q981">
        <f t="shared" si="172"/>
        <v>1.9964508091304234E-2</v>
      </c>
      <c r="R981">
        <v>325.14999390000003</v>
      </c>
      <c r="S981">
        <f t="shared" si="173"/>
        <v>-4.1421043026719451E-2</v>
      </c>
      <c r="T981">
        <v>3286.1000979999999</v>
      </c>
      <c r="U981">
        <f t="shared" si="174"/>
        <v>3.3787444129859567E-2</v>
      </c>
      <c r="W981">
        <f t="shared" si="175"/>
        <v>-5.5090986862336485E-3</v>
      </c>
      <c r="X981">
        <v>1.961523538975652E-3</v>
      </c>
    </row>
    <row r="982" spans="1:24" x14ac:dyDescent="0.35">
      <c r="A982" s="1">
        <v>44263</v>
      </c>
      <c r="B982">
        <v>2022.384644</v>
      </c>
      <c r="C982">
        <f t="shared" si="165"/>
        <v>5.6915257579195355E-3</v>
      </c>
      <c r="D982">
        <v>3006.9499510000001</v>
      </c>
      <c r="E982">
        <f t="shared" si="166"/>
        <v>-3.6571798410256484E-4</v>
      </c>
      <c r="F982">
        <v>1519.5</v>
      </c>
      <c r="G982">
        <f t="shared" si="167"/>
        <v>-6.8627450980391913E-3</v>
      </c>
      <c r="H982">
        <v>516.0119019</v>
      </c>
      <c r="I982">
        <f t="shared" si="168"/>
        <v>-1.3325753629297998E-2</v>
      </c>
      <c r="J982">
        <v>1335.75</v>
      </c>
      <c r="K982">
        <f t="shared" si="169"/>
        <v>1.4468025904863069E-2</v>
      </c>
      <c r="L982">
        <v>208</v>
      </c>
      <c r="M982">
        <f t="shared" si="170"/>
        <v>-2.6372720777965153E-3</v>
      </c>
      <c r="N982">
        <v>614.79998780000005</v>
      </c>
      <c r="O982">
        <f t="shared" si="171"/>
        <v>5.8900123169862706E-3</v>
      </c>
      <c r="P982">
        <v>118.25</v>
      </c>
      <c r="Q982">
        <f t="shared" si="172"/>
        <v>2.8708161713747682E-2</v>
      </c>
      <c r="R982">
        <v>321.25</v>
      </c>
      <c r="S982">
        <f t="shared" si="173"/>
        <v>-1.1994445557946043E-2</v>
      </c>
      <c r="T982">
        <v>3191.1499020000001</v>
      </c>
      <c r="U982">
        <f t="shared" si="174"/>
        <v>-2.8894492915108927E-2</v>
      </c>
      <c r="W982">
        <f t="shared" si="175"/>
        <v>-9.3227015687746785E-4</v>
      </c>
      <c r="X982">
        <v>1.9799877015661107E-3</v>
      </c>
    </row>
    <row r="983" spans="1:24" x14ac:dyDescent="0.35">
      <c r="A983" s="1">
        <v>44264</v>
      </c>
      <c r="B983">
        <v>2022.338379</v>
      </c>
      <c r="C983">
        <f t="shared" si="165"/>
        <v>-2.2876459301213181E-5</v>
      </c>
      <c r="D983">
        <v>3050.9499510000001</v>
      </c>
      <c r="E983">
        <f t="shared" si="166"/>
        <v>1.4632767660588186E-2</v>
      </c>
      <c r="F983">
        <v>1562.5</v>
      </c>
      <c r="G983">
        <f t="shared" si="167"/>
        <v>2.8298782494241559E-2</v>
      </c>
      <c r="H983">
        <v>512.1346436</v>
      </c>
      <c r="I983">
        <f t="shared" si="168"/>
        <v>-7.5138931596802072E-3</v>
      </c>
      <c r="J983">
        <v>1345.5500489999999</v>
      </c>
      <c r="K983">
        <f t="shared" si="169"/>
        <v>7.3367389107241721E-3</v>
      </c>
      <c r="L983">
        <v>207.8000031</v>
      </c>
      <c r="M983">
        <f t="shared" si="170"/>
        <v>-9.6152355769230091E-4</v>
      </c>
      <c r="N983">
        <v>612.59997559999999</v>
      </c>
      <c r="O983">
        <f t="shared" si="171"/>
        <v>-3.5784193943668718E-3</v>
      </c>
      <c r="P983">
        <v>116.75</v>
      </c>
      <c r="Q983">
        <f t="shared" si="172"/>
        <v>-1.2684989429175508E-2</v>
      </c>
      <c r="R983">
        <v>315.2000122</v>
      </c>
      <c r="S983">
        <f t="shared" si="173"/>
        <v>-1.8832646848249035E-2</v>
      </c>
      <c r="T983">
        <v>3151.8500979999999</v>
      </c>
      <c r="U983">
        <f t="shared" si="174"/>
        <v>-1.2315248486249319E-2</v>
      </c>
      <c r="W983">
        <f t="shared" si="175"/>
        <v>-5.6413082691605444E-4</v>
      </c>
      <c r="X983">
        <v>1.9950320968491371E-3</v>
      </c>
    </row>
    <row r="984" spans="1:24" x14ac:dyDescent="0.35">
      <c r="A984" s="1">
        <v>44265</v>
      </c>
      <c r="B984">
        <v>2013.939087</v>
      </c>
      <c r="C984">
        <f t="shared" si="165"/>
        <v>-4.1532574801618205E-3</v>
      </c>
      <c r="D984">
        <v>3070.9499510000001</v>
      </c>
      <c r="E984">
        <f t="shared" si="166"/>
        <v>6.5553353287373106E-3</v>
      </c>
      <c r="F984">
        <v>1555.75</v>
      </c>
      <c r="G984">
        <f t="shared" si="167"/>
        <v>-4.3199999999999905E-3</v>
      </c>
      <c r="H984">
        <v>516.15911870000002</v>
      </c>
      <c r="I984">
        <f t="shared" si="168"/>
        <v>7.8582364038299879E-3</v>
      </c>
      <c r="J984">
        <v>1368.150024</v>
      </c>
      <c r="K984">
        <f t="shared" si="169"/>
        <v>1.6796086490276751E-2</v>
      </c>
      <c r="L984">
        <v>206.5</v>
      </c>
      <c r="M984">
        <f t="shared" si="170"/>
        <v>-6.2560302242844479E-3</v>
      </c>
      <c r="N984">
        <v>626</v>
      </c>
      <c r="O984">
        <f t="shared" si="171"/>
        <v>2.1874020459885957E-2</v>
      </c>
      <c r="P984">
        <v>114.4000015</v>
      </c>
      <c r="Q984">
        <f t="shared" si="172"/>
        <v>-2.0128466809421819E-2</v>
      </c>
      <c r="R984">
        <v>321.4500122</v>
      </c>
      <c r="S984">
        <f t="shared" si="173"/>
        <v>1.98286794355651E-2</v>
      </c>
      <c r="T984">
        <v>3155.1999510000001</v>
      </c>
      <c r="U984">
        <f t="shared" si="174"/>
        <v>1.0628211672014665E-3</v>
      </c>
      <c r="W984">
        <f t="shared" si="175"/>
        <v>3.9117424771628502E-3</v>
      </c>
      <c r="X984">
        <v>2.0055778977302145E-3</v>
      </c>
    </row>
    <row r="985" spans="1:24" x14ac:dyDescent="0.35">
      <c r="A985" s="1">
        <v>44267</v>
      </c>
      <c r="B985">
        <v>1973.00415</v>
      </c>
      <c r="C985">
        <f t="shared" si="165"/>
        <v>-2.0325806904605725E-2</v>
      </c>
      <c r="D985">
        <v>3057.9499510000001</v>
      </c>
      <c r="E985">
        <f t="shared" si="166"/>
        <v>-4.233217801471123E-3</v>
      </c>
      <c r="F985">
        <v>1551.9499510000001</v>
      </c>
      <c r="G985">
        <f t="shared" si="167"/>
        <v>-2.442583319942071E-3</v>
      </c>
      <c r="H985">
        <v>514.53948969999999</v>
      </c>
      <c r="I985">
        <f t="shared" si="168"/>
        <v>-3.1378482745383351E-3</v>
      </c>
      <c r="J985">
        <v>1374.849976</v>
      </c>
      <c r="K985">
        <f t="shared" si="169"/>
        <v>4.8970886836017247E-3</v>
      </c>
      <c r="L985">
        <v>205.1999969</v>
      </c>
      <c r="M985">
        <f t="shared" si="170"/>
        <v>-6.2954145278449891E-3</v>
      </c>
      <c r="N985">
        <v>613.59997559999999</v>
      </c>
      <c r="O985">
        <f t="shared" si="171"/>
        <v>-1.980834568690093E-2</v>
      </c>
      <c r="P985">
        <v>115.0500031</v>
      </c>
      <c r="Q985">
        <f t="shared" si="172"/>
        <v>5.6818320933325062E-3</v>
      </c>
      <c r="R985">
        <v>317.5499878</v>
      </c>
      <c r="S985">
        <f t="shared" si="173"/>
        <v>-1.2132599943948663E-2</v>
      </c>
      <c r="T985">
        <v>3129.3500979999999</v>
      </c>
      <c r="U985">
        <f t="shared" si="174"/>
        <v>-8.1927780810872042E-3</v>
      </c>
      <c r="W985">
        <f t="shared" si="175"/>
        <v>-6.5989673763404821E-3</v>
      </c>
      <c r="X985">
        <v>2.0069813798163976E-3</v>
      </c>
    </row>
    <row r="986" spans="1:24" x14ac:dyDescent="0.35">
      <c r="A986" s="1">
        <v>44270</v>
      </c>
      <c r="B986">
        <v>1946.514038</v>
      </c>
      <c r="C986">
        <f t="shared" si="165"/>
        <v>-1.3426282960428582E-2</v>
      </c>
      <c r="D986">
        <v>3066.1499020000001</v>
      </c>
      <c r="E986">
        <f t="shared" si="166"/>
        <v>2.6815190344493534E-3</v>
      </c>
      <c r="F986">
        <v>1528.650024</v>
      </c>
      <c r="G986">
        <f t="shared" si="167"/>
        <v>-1.501332371252484E-2</v>
      </c>
      <c r="H986">
        <v>513.21441649999997</v>
      </c>
      <c r="I986">
        <f t="shared" si="168"/>
        <v>-2.5752604542997881E-3</v>
      </c>
      <c r="J986">
        <v>1373.599976</v>
      </c>
      <c r="K986">
        <f t="shared" si="169"/>
        <v>-9.0919010933598887E-4</v>
      </c>
      <c r="L986">
        <v>205.4499969</v>
      </c>
      <c r="M986">
        <f t="shared" si="170"/>
        <v>1.2183236051501733E-3</v>
      </c>
      <c r="N986">
        <v>605.5</v>
      </c>
      <c r="O986">
        <f t="shared" si="171"/>
        <v>-1.3200743028191186E-2</v>
      </c>
      <c r="P986">
        <v>114.3499985</v>
      </c>
      <c r="Q986">
        <f t="shared" si="172"/>
        <v>-6.0843509877315238E-3</v>
      </c>
      <c r="R986">
        <v>318.5499878</v>
      </c>
      <c r="S986">
        <f t="shared" si="173"/>
        <v>3.14911049730493E-3</v>
      </c>
      <c r="T986">
        <v>3108.75</v>
      </c>
      <c r="U986">
        <f t="shared" si="174"/>
        <v>-6.5828678015814601E-3</v>
      </c>
      <c r="W986">
        <f t="shared" si="175"/>
        <v>-5.0743065917188915E-3</v>
      </c>
      <c r="X986">
        <v>2.0071648885367278E-3</v>
      </c>
    </row>
    <row r="987" spans="1:24" x14ac:dyDescent="0.35">
      <c r="A987" s="1">
        <v>44271</v>
      </c>
      <c r="B987">
        <v>1938.853149</v>
      </c>
      <c r="C987">
        <f t="shared" si="165"/>
        <v>-3.9356967637753648E-3</v>
      </c>
      <c r="D987">
        <v>3110.0500489999999</v>
      </c>
      <c r="E987">
        <f t="shared" si="166"/>
        <v>1.4317678001119383E-2</v>
      </c>
      <c r="F987">
        <v>1512.150024</v>
      </c>
      <c r="G987">
        <f t="shared" si="167"/>
        <v>-1.0793837530466699E-2</v>
      </c>
      <c r="H987">
        <v>519.54553220000003</v>
      </c>
      <c r="I987">
        <f t="shared" si="168"/>
        <v>1.2336200029564148E-2</v>
      </c>
      <c r="J987">
        <v>1384</v>
      </c>
      <c r="K987">
        <f t="shared" si="169"/>
        <v>7.5713629744560418E-3</v>
      </c>
      <c r="L987">
        <v>207.8500061</v>
      </c>
      <c r="M987">
        <f t="shared" si="170"/>
        <v>1.1681719329342144E-2</v>
      </c>
      <c r="N987">
        <v>602.29998780000005</v>
      </c>
      <c r="O987">
        <f t="shared" si="171"/>
        <v>-5.2849086705201165E-3</v>
      </c>
      <c r="P987">
        <v>115.0999985</v>
      </c>
      <c r="Q987">
        <f t="shared" si="172"/>
        <v>6.5588107550347274E-3</v>
      </c>
      <c r="R987">
        <v>319.9500122</v>
      </c>
      <c r="S987">
        <f t="shared" si="173"/>
        <v>4.3949912215315301E-3</v>
      </c>
      <c r="T987">
        <v>3071</v>
      </c>
      <c r="U987">
        <f t="shared" si="174"/>
        <v>-1.2143144350623247E-2</v>
      </c>
      <c r="W987">
        <f t="shared" si="175"/>
        <v>2.4703174995662548E-3</v>
      </c>
      <c r="X987">
        <v>2.0113518920973567E-3</v>
      </c>
    </row>
    <row r="988" spans="1:24" x14ac:dyDescent="0.35">
      <c r="A988" s="1">
        <v>44272</v>
      </c>
      <c r="B988">
        <v>1897.0874020000001</v>
      </c>
      <c r="C988">
        <f t="shared" si="165"/>
        <v>-2.1541470029095011E-2</v>
      </c>
      <c r="D988">
        <v>3112.9499510000001</v>
      </c>
      <c r="E988">
        <f t="shared" si="166"/>
        <v>9.3242936747350846E-4</v>
      </c>
      <c r="F988">
        <v>1495.349976</v>
      </c>
      <c r="G988">
        <f t="shared" si="167"/>
        <v>-1.1110040494236029E-2</v>
      </c>
      <c r="H988">
        <v>513.2634888</v>
      </c>
      <c r="I988">
        <f t="shared" si="168"/>
        <v>-1.2091420309975343E-2</v>
      </c>
      <c r="J988">
        <v>1387</v>
      </c>
      <c r="K988">
        <f t="shared" si="169"/>
        <v>2.1676300578035157E-3</v>
      </c>
      <c r="L988">
        <v>210.6000061</v>
      </c>
      <c r="M988">
        <f t="shared" si="170"/>
        <v>1.3230694824598377E-2</v>
      </c>
      <c r="N988">
        <v>584.75</v>
      </c>
      <c r="O988">
        <f t="shared" si="171"/>
        <v>-2.9138283505706686E-2</v>
      </c>
      <c r="P988">
        <v>109.3499985</v>
      </c>
      <c r="Q988">
        <f t="shared" si="172"/>
        <v>-4.9956560164507779E-2</v>
      </c>
      <c r="R988">
        <v>305.7999878</v>
      </c>
      <c r="S988">
        <f t="shared" si="173"/>
        <v>-4.4225734834961838E-2</v>
      </c>
      <c r="T988">
        <v>3014.8500979999999</v>
      </c>
      <c r="U988">
        <f t="shared" si="174"/>
        <v>-1.8283914685770175E-2</v>
      </c>
      <c r="W988">
        <f t="shared" si="175"/>
        <v>-1.7001666977437744E-2</v>
      </c>
      <c r="X988">
        <v>2.0368767613745398E-3</v>
      </c>
    </row>
    <row r="989" spans="1:24" x14ac:dyDescent="0.35">
      <c r="A989" s="1">
        <v>44273</v>
      </c>
      <c r="B989">
        <v>1854.398682</v>
      </c>
      <c r="C989">
        <f t="shared" si="165"/>
        <v>-2.2502242097541481E-2</v>
      </c>
      <c r="D989">
        <v>3036.5</v>
      </c>
      <c r="E989">
        <f t="shared" si="166"/>
        <v>-2.4558682986676739E-2</v>
      </c>
      <c r="F989">
        <v>1491</v>
      </c>
      <c r="G989">
        <f t="shared" si="167"/>
        <v>-2.9090019525970234E-3</v>
      </c>
      <c r="H989">
        <v>517.4842529</v>
      </c>
      <c r="I989">
        <f t="shared" si="168"/>
        <v>8.2233866076624196E-3</v>
      </c>
      <c r="J989">
        <v>1337.099976</v>
      </c>
      <c r="K989">
        <f t="shared" si="169"/>
        <v>-3.5976945926460058E-2</v>
      </c>
      <c r="L989">
        <v>217.6499939</v>
      </c>
      <c r="M989">
        <f t="shared" si="170"/>
        <v>3.3475724576439214E-2</v>
      </c>
      <c r="N989">
        <v>574.54998780000005</v>
      </c>
      <c r="O989">
        <f t="shared" si="171"/>
        <v>-1.7443372723385919E-2</v>
      </c>
      <c r="P989">
        <v>110.1999969</v>
      </c>
      <c r="Q989">
        <f t="shared" si="172"/>
        <v>7.7731907787819132E-3</v>
      </c>
      <c r="R989">
        <v>307</v>
      </c>
      <c r="S989">
        <f t="shared" si="173"/>
        <v>3.9241734724491106E-3</v>
      </c>
      <c r="T989">
        <v>3034.6000979999999</v>
      </c>
      <c r="U989">
        <f t="shared" si="174"/>
        <v>6.5509061339739105E-3</v>
      </c>
      <c r="W989">
        <f t="shared" si="175"/>
        <v>-4.3442864117354679E-3</v>
      </c>
      <c r="X989">
        <v>2.0482096151431596E-3</v>
      </c>
    </row>
    <row r="990" spans="1:24" x14ac:dyDescent="0.35">
      <c r="A990" s="1">
        <v>44274</v>
      </c>
      <c r="B990">
        <v>1921.685303</v>
      </c>
      <c r="C990">
        <f t="shared" si="165"/>
        <v>3.6284873179175392E-2</v>
      </c>
      <c r="D990">
        <v>3050.1999510000001</v>
      </c>
      <c r="E990">
        <f t="shared" si="166"/>
        <v>4.5117572863493383E-3</v>
      </c>
      <c r="F990">
        <v>1497.5</v>
      </c>
      <c r="G990">
        <f t="shared" si="167"/>
        <v>4.3594902749832798E-3</v>
      </c>
      <c r="H990">
        <v>520.1835327</v>
      </c>
      <c r="I990">
        <f t="shared" si="168"/>
        <v>5.2161583369410014E-3</v>
      </c>
      <c r="J990">
        <v>1344.4499510000001</v>
      </c>
      <c r="K990">
        <f t="shared" si="169"/>
        <v>5.496952458250659E-3</v>
      </c>
      <c r="L990">
        <v>222.9499969</v>
      </c>
      <c r="M990">
        <f t="shared" si="170"/>
        <v>2.4351036749558075E-2</v>
      </c>
      <c r="N990">
        <v>578.29998780000005</v>
      </c>
      <c r="O990">
        <f t="shared" si="171"/>
        <v>6.5268472363197994E-3</v>
      </c>
      <c r="P990">
        <v>110.5</v>
      </c>
      <c r="Q990">
        <f t="shared" si="172"/>
        <v>2.7223512562548624E-3</v>
      </c>
      <c r="R990">
        <v>308.9500122</v>
      </c>
      <c r="S990">
        <f t="shared" si="173"/>
        <v>6.3518312703583213E-3</v>
      </c>
      <c r="T990">
        <v>2960.3000489999999</v>
      </c>
      <c r="U990">
        <f t="shared" si="174"/>
        <v>-2.448429664553442E-2</v>
      </c>
      <c r="W990">
        <f t="shared" si="175"/>
        <v>7.1337001402656305E-3</v>
      </c>
      <c r="X990">
        <v>2.0687337632436576E-3</v>
      </c>
    </row>
    <row r="991" spans="1:24" x14ac:dyDescent="0.35">
      <c r="A991" s="1">
        <v>44277</v>
      </c>
      <c r="B991">
        <v>1903.594482</v>
      </c>
      <c r="C991">
        <f t="shared" si="165"/>
        <v>-9.4140393183825832E-3</v>
      </c>
      <c r="D991">
        <v>3129.6499020000001</v>
      </c>
      <c r="E991">
        <f t="shared" si="166"/>
        <v>2.6047456650818201E-2</v>
      </c>
      <c r="F991">
        <v>1469.150024</v>
      </c>
      <c r="G991">
        <f t="shared" si="167"/>
        <v>-1.8931536560934825E-2</v>
      </c>
      <c r="H991">
        <v>518.2694702</v>
      </c>
      <c r="I991">
        <f t="shared" si="168"/>
        <v>-3.6795907207309853E-3</v>
      </c>
      <c r="J991">
        <v>1370.8000489999999</v>
      </c>
      <c r="K991">
        <f t="shared" si="169"/>
        <v>1.9599166172307614E-2</v>
      </c>
      <c r="L991">
        <v>226</v>
      </c>
      <c r="M991">
        <f t="shared" si="170"/>
        <v>1.3680211448345636E-2</v>
      </c>
      <c r="N991">
        <v>591</v>
      </c>
      <c r="O991">
        <f t="shared" si="171"/>
        <v>2.1960941497360276E-2</v>
      </c>
      <c r="P991">
        <v>109.5999985</v>
      </c>
      <c r="Q991">
        <f t="shared" si="172"/>
        <v>-8.1448099547511976E-3</v>
      </c>
      <c r="R991">
        <v>303.0499878</v>
      </c>
      <c r="S991">
        <f t="shared" si="173"/>
        <v>-1.9097019475696309E-2</v>
      </c>
      <c r="T991">
        <v>2880.1000979999999</v>
      </c>
      <c r="U991">
        <f t="shared" si="174"/>
        <v>-2.709183179829755E-2</v>
      </c>
      <c r="W991">
        <f t="shared" si="175"/>
        <v>-5.0710520599617269E-4</v>
      </c>
      <c r="X991">
        <v>2.1084936092898745E-3</v>
      </c>
    </row>
    <row r="992" spans="1:24" x14ac:dyDescent="0.35">
      <c r="A992" s="1">
        <v>44278</v>
      </c>
      <c r="B992">
        <v>1926.761841</v>
      </c>
      <c r="C992">
        <f t="shared" si="165"/>
        <v>1.2170322628619612E-2</v>
      </c>
      <c r="D992">
        <v>3142.6000979999999</v>
      </c>
      <c r="E992">
        <f t="shared" si="166"/>
        <v>4.1379056461632313E-3</v>
      </c>
      <c r="F992">
        <v>1500.150024</v>
      </c>
      <c r="G992">
        <f t="shared" si="167"/>
        <v>2.1100636077721724E-2</v>
      </c>
      <c r="H992">
        <v>519.49645999999996</v>
      </c>
      <c r="I992">
        <f t="shared" si="168"/>
        <v>2.3674745871611336E-3</v>
      </c>
      <c r="J992">
        <v>1371.5500489999999</v>
      </c>
      <c r="K992">
        <f t="shared" si="169"/>
        <v>5.4712574641868628E-4</v>
      </c>
      <c r="L992">
        <v>222.1999969</v>
      </c>
      <c r="M992">
        <f t="shared" si="170"/>
        <v>-1.6814173008849576E-2</v>
      </c>
      <c r="N992">
        <v>587.84997559999999</v>
      </c>
      <c r="O992">
        <f t="shared" si="171"/>
        <v>-5.3299905245346446E-3</v>
      </c>
      <c r="P992">
        <v>107.1500015</v>
      </c>
      <c r="Q992">
        <f t="shared" si="172"/>
        <v>-2.2353987532216957E-2</v>
      </c>
      <c r="R992">
        <v>307.39999390000003</v>
      </c>
      <c r="S992">
        <f t="shared" si="173"/>
        <v>1.4354087692195705E-2</v>
      </c>
      <c r="T992">
        <v>2933.6499020000001</v>
      </c>
      <c r="U992">
        <f t="shared" si="174"/>
        <v>1.8593035720246842E-2</v>
      </c>
      <c r="W992">
        <f t="shared" si="175"/>
        <v>2.8772437032925759E-3</v>
      </c>
      <c r="X992">
        <v>2.1149094028586014E-3</v>
      </c>
    </row>
    <row r="993" spans="1:24" x14ac:dyDescent="0.35">
      <c r="A993" s="1">
        <v>44279</v>
      </c>
      <c r="B993">
        <v>1889.6572269999999</v>
      </c>
      <c r="C993">
        <f t="shared" si="165"/>
        <v>-1.9257498882551349E-2</v>
      </c>
      <c r="D993">
        <v>3121.1000979999999</v>
      </c>
      <c r="E993">
        <f t="shared" si="166"/>
        <v>-6.8414686341042863E-3</v>
      </c>
      <c r="F993">
        <v>1478.8000489999999</v>
      </c>
      <c r="G993">
        <f t="shared" si="167"/>
        <v>-1.4231893249631478E-2</v>
      </c>
      <c r="H993">
        <v>513.99963379999997</v>
      </c>
      <c r="I993">
        <f t="shared" si="168"/>
        <v>-1.0581065749706964E-2</v>
      </c>
      <c r="J993">
        <v>1353.75</v>
      </c>
      <c r="K993">
        <f t="shared" si="169"/>
        <v>-1.2978052833710341E-2</v>
      </c>
      <c r="L993">
        <v>215.9499969</v>
      </c>
      <c r="M993">
        <f t="shared" si="170"/>
        <v>-2.8127813173700389E-2</v>
      </c>
      <c r="N993">
        <v>585.29998780000005</v>
      </c>
      <c r="O993">
        <f t="shared" si="171"/>
        <v>-4.3378207124994406E-3</v>
      </c>
      <c r="P993">
        <v>104.8000031</v>
      </c>
      <c r="Q993">
        <f t="shared" si="172"/>
        <v>-2.1931855969222758E-2</v>
      </c>
      <c r="R993">
        <v>294.4500122</v>
      </c>
      <c r="S993">
        <f t="shared" si="173"/>
        <v>-4.212746244950405E-2</v>
      </c>
      <c r="T993">
        <v>2855.6000979999999</v>
      </c>
      <c r="U993">
        <f t="shared" si="174"/>
        <v>-2.660501648366087E-2</v>
      </c>
      <c r="W993">
        <f t="shared" si="175"/>
        <v>-1.8701994813829191E-2</v>
      </c>
      <c r="X993">
        <v>2.1513635794530141E-3</v>
      </c>
    </row>
    <row r="994" spans="1:24" x14ac:dyDescent="0.35">
      <c r="A994" s="1">
        <v>44280</v>
      </c>
      <c r="B994">
        <v>1838.1076660000001</v>
      </c>
      <c r="C994">
        <f t="shared" si="165"/>
        <v>-2.727984751067225E-2</v>
      </c>
      <c r="D994">
        <v>3064.8500979999999</v>
      </c>
      <c r="E994">
        <f t="shared" si="166"/>
        <v>-1.8022491504211868E-2</v>
      </c>
      <c r="F994">
        <v>1463.349976</v>
      </c>
      <c r="G994">
        <f t="shared" si="167"/>
        <v>-1.0447709283244677E-2</v>
      </c>
      <c r="H994">
        <v>498.3926697</v>
      </c>
      <c r="I994">
        <f t="shared" si="168"/>
        <v>-3.0363765017919708E-2</v>
      </c>
      <c r="J994">
        <v>1333.8000489999999</v>
      </c>
      <c r="K994">
        <f t="shared" si="169"/>
        <v>-1.4736805909510653E-2</v>
      </c>
      <c r="L994">
        <v>211.6000061</v>
      </c>
      <c r="M994">
        <f t="shared" si="170"/>
        <v>-2.0143509434799145E-2</v>
      </c>
      <c r="N994">
        <v>575.75</v>
      </c>
      <c r="O994">
        <f t="shared" si="171"/>
        <v>-1.6316398426550638E-2</v>
      </c>
      <c r="P994">
        <v>102</v>
      </c>
      <c r="Q994">
        <f t="shared" si="172"/>
        <v>-2.6717586041750785E-2</v>
      </c>
      <c r="R994">
        <v>285.5499878</v>
      </c>
      <c r="S994">
        <f t="shared" si="173"/>
        <v>-3.0225926409386039E-2</v>
      </c>
      <c r="T994">
        <v>2796</v>
      </c>
      <c r="U994">
        <f t="shared" si="174"/>
        <v>-2.087130408832194E-2</v>
      </c>
      <c r="W994">
        <f t="shared" si="175"/>
        <v>-2.1512534362636771E-2</v>
      </c>
      <c r="X994">
        <v>2.1547518673266097E-3</v>
      </c>
    </row>
    <row r="995" spans="1:24" x14ac:dyDescent="0.35">
      <c r="A995" s="1">
        <v>44281</v>
      </c>
      <c r="B995">
        <v>1841.061279</v>
      </c>
      <c r="C995">
        <f t="shared" si="165"/>
        <v>1.6068770369841445E-3</v>
      </c>
      <c r="D995">
        <v>3066.8000489999999</v>
      </c>
      <c r="E995">
        <f t="shared" si="166"/>
        <v>6.3623046401928285E-4</v>
      </c>
      <c r="F995">
        <v>1491.3000489999999</v>
      </c>
      <c r="G995">
        <f t="shared" si="167"/>
        <v>1.9100060449244172E-2</v>
      </c>
      <c r="H995">
        <v>512.87084960000004</v>
      </c>
      <c r="I995">
        <f t="shared" si="168"/>
        <v>2.9049744870274674E-2</v>
      </c>
      <c r="J995">
        <v>1336.1999510000001</v>
      </c>
      <c r="K995">
        <f t="shared" si="169"/>
        <v>1.7992966800379762E-3</v>
      </c>
      <c r="L995">
        <v>210.8999939</v>
      </c>
      <c r="M995">
        <f t="shared" si="170"/>
        <v>-3.3081861050098249E-3</v>
      </c>
      <c r="N995">
        <v>587.20001219999995</v>
      </c>
      <c r="O995">
        <f t="shared" si="171"/>
        <v>1.9887124967433722E-2</v>
      </c>
      <c r="P995">
        <v>102.4000015</v>
      </c>
      <c r="Q995">
        <f t="shared" si="172"/>
        <v>3.9215833333332561E-3</v>
      </c>
      <c r="R995">
        <v>296.39999390000003</v>
      </c>
      <c r="S995">
        <f t="shared" si="173"/>
        <v>3.7996871173391122E-2</v>
      </c>
      <c r="T995">
        <v>2855.1999510000001</v>
      </c>
      <c r="U995">
        <f t="shared" si="174"/>
        <v>2.1173086909871186E-2</v>
      </c>
      <c r="W995">
        <f t="shared" si="175"/>
        <v>1.3186268977957971E-2</v>
      </c>
      <c r="X995">
        <v>2.1593035589572264E-3</v>
      </c>
    </row>
    <row r="996" spans="1:24" x14ac:dyDescent="0.35">
      <c r="A996" s="1">
        <v>44285</v>
      </c>
      <c r="B996">
        <v>1873.0432129999999</v>
      </c>
      <c r="C996">
        <f t="shared" si="165"/>
        <v>1.7371466319345608E-2</v>
      </c>
      <c r="D996">
        <v>3158.5500489999999</v>
      </c>
      <c r="E996">
        <f t="shared" si="166"/>
        <v>2.9917177036017373E-2</v>
      </c>
      <c r="F996">
        <v>1553.6999510000001</v>
      </c>
      <c r="G996">
        <f t="shared" si="167"/>
        <v>4.1842620498700356E-2</v>
      </c>
      <c r="H996">
        <v>511.88928220000003</v>
      </c>
      <c r="I996">
        <f t="shared" si="168"/>
        <v>-1.9138685709385594E-3</v>
      </c>
      <c r="J996">
        <v>1385.3000489999999</v>
      </c>
      <c r="K996">
        <f t="shared" si="169"/>
        <v>3.6746070798201913E-2</v>
      </c>
      <c r="L996">
        <v>214.5500031</v>
      </c>
      <c r="M996">
        <f t="shared" si="170"/>
        <v>1.7306824587821845E-2</v>
      </c>
      <c r="N996">
        <v>597.70001219999995</v>
      </c>
      <c r="O996">
        <f t="shared" si="171"/>
        <v>1.7881471018130313E-2</v>
      </c>
      <c r="P996">
        <v>103.5</v>
      </c>
      <c r="Q996">
        <f t="shared" si="172"/>
        <v>1.074217269420652E-2</v>
      </c>
      <c r="R996">
        <v>297.0499878</v>
      </c>
      <c r="S996">
        <f t="shared" si="173"/>
        <v>2.1929619209750673E-3</v>
      </c>
      <c r="T996">
        <v>2837.5500489999999</v>
      </c>
      <c r="U996">
        <f t="shared" si="174"/>
        <v>-6.1816693411677059E-3</v>
      </c>
      <c r="W996">
        <f t="shared" si="175"/>
        <v>1.6590522696129272E-2</v>
      </c>
      <c r="X996">
        <v>2.1631979845194165E-3</v>
      </c>
    </row>
    <row r="997" spans="1:24" x14ac:dyDescent="0.35">
      <c r="A997" s="1">
        <v>44286</v>
      </c>
      <c r="B997">
        <v>1848.860596</v>
      </c>
      <c r="C997">
        <f t="shared" si="165"/>
        <v>-1.291086977180167E-2</v>
      </c>
      <c r="D997">
        <v>3177.8500979999999</v>
      </c>
      <c r="E997">
        <f t="shared" si="166"/>
        <v>6.1104141775782939E-3</v>
      </c>
      <c r="F997">
        <v>1493.650024</v>
      </c>
      <c r="G997">
        <f t="shared" si="167"/>
        <v>-3.8649629203727831E-2</v>
      </c>
      <c r="H997">
        <v>507.7666931</v>
      </c>
      <c r="I997">
        <f t="shared" si="168"/>
        <v>-8.0536734082063965E-3</v>
      </c>
      <c r="J997">
        <v>1368.0500489999999</v>
      </c>
      <c r="K997">
        <f t="shared" si="169"/>
        <v>-1.2452175983428404E-2</v>
      </c>
      <c r="L997">
        <v>218.5</v>
      </c>
      <c r="M997">
        <f t="shared" si="170"/>
        <v>1.8410612178639596E-2</v>
      </c>
      <c r="N997">
        <v>597.79998780000005</v>
      </c>
      <c r="O997">
        <f t="shared" si="171"/>
        <v>1.6726718748438785E-4</v>
      </c>
      <c r="P997">
        <v>102.1500015</v>
      </c>
      <c r="Q997">
        <f t="shared" si="172"/>
        <v>-1.3043463768115937E-2</v>
      </c>
      <c r="R997">
        <v>301.7999878</v>
      </c>
      <c r="S997">
        <f t="shared" si="173"/>
        <v>1.5990574634186183E-2</v>
      </c>
      <c r="T997">
        <v>2859.0500489999999</v>
      </c>
      <c r="U997">
        <f t="shared" si="174"/>
        <v>7.5769588654750475E-3</v>
      </c>
      <c r="W997">
        <f t="shared" si="175"/>
        <v>-3.6853985091916727E-3</v>
      </c>
      <c r="X997">
        <v>2.1726680735523083E-3</v>
      </c>
    </row>
    <row r="998" spans="1:24" x14ac:dyDescent="0.35">
      <c r="A998" s="1">
        <v>44287</v>
      </c>
      <c r="B998">
        <v>1866.16687</v>
      </c>
      <c r="C998">
        <f t="shared" si="165"/>
        <v>9.3605077837897177E-3</v>
      </c>
      <c r="D998">
        <v>3165</v>
      </c>
      <c r="E998">
        <f t="shared" si="166"/>
        <v>-4.043645107139282E-3</v>
      </c>
      <c r="F998">
        <v>1486.75</v>
      </c>
      <c r="G998">
        <f t="shared" si="167"/>
        <v>-4.6195721147057611E-3</v>
      </c>
      <c r="H998">
        <v>511.202179</v>
      </c>
      <c r="I998">
        <f t="shared" si="168"/>
        <v>6.7658748529286772E-3</v>
      </c>
      <c r="J998">
        <v>1385.1999510000001</v>
      </c>
      <c r="K998">
        <f t="shared" si="169"/>
        <v>1.2536019433306622E-2</v>
      </c>
      <c r="L998">
        <v>220.0500031</v>
      </c>
      <c r="M998">
        <f t="shared" si="170"/>
        <v>7.0938356979404205E-3</v>
      </c>
      <c r="N998">
        <v>610.75</v>
      </c>
      <c r="O998">
        <f t="shared" si="171"/>
        <v>2.1662784316302863E-2</v>
      </c>
      <c r="P998">
        <v>104.3499985</v>
      </c>
      <c r="Q998">
        <f t="shared" si="172"/>
        <v>2.1536925772830173E-2</v>
      </c>
      <c r="R998">
        <v>307.75</v>
      </c>
      <c r="S998">
        <f t="shared" si="173"/>
        <v>1.9715084295971019E-2</v>
      </c>
      <c r="T998">
        <v>2912.6999510000001</v>
      </c>
      <c r="U998">
        <f t="shared" si="174"/>
        <v>1.8764939780877565E-2</v>
      </c>
      <c r="W998">
        <f t="shared" si="175"/>
        <v>1.0877275471210202E-2</v>
      </c>
      <c r="X998">
        <v>2.1814261596915805E-3</v>
      </c>
    </row>
    <row r="999" spans="1:24" x14ac:dyDescent="0.35">
      <c r="A999" s="1">
        <v>44291</v>
      </c>
      <c r="B999">
        <v>1839.169189</v>
      </c>
      <c r="C999">
        <f t="shared" si="165"/>
        <v>-1.4466916884019132E-2</v>
      </c>
      <c r="D999">
        <v>3238.8999020000001</v>
      </c>
      <c r="E999">
        <f t="shared" si="166"/>
        <v>2.3349100157977976E-2</v>
      </c>
      <c r="F999">
        <v>1449.599976</v>
      </c>
      <c r="G999">
        <f t="shared" si="167"/>
        <v>-2.4987404741886654E-2</v>
      </c>
      <c r="H999">
        <v>518.51489260000005</v>
      </c>
      <c r="I999">
        <f t="shared" si="168"/>
        <v>1.4304934330102048E-2</v>
      </c>
      <c r="J999">
        <v>1409.900024</v>
      </c>
      <c r="K999">
        <f t="shared" si="169"/>
        <v>1.7831413423144093E-2</v>
      </c>
      <c r="L999">
        <v>212.5500031</v>
      </c>
      <c r="M999">
        <f t="shared" si="170"/>
        <v>-3.4083162437365089E-2</v>
      </c>
      <c r="N999">
        <v>608.79998780000005</v>
      </c>
      <c r="O999">
        <f t="shared" si="171"/>
        <v>-3.1928157183789274E-3</v>
      </c>
      <c r="P999">
        <v>103.4499969</v>
      </c>
      <c r="Q999">
        <f t="shared" si="172"/>
        <v>-8.6248357732366943E-3</v>
      </c>
      <c r="R999">
        <v>305.0499878</v>
      </c>
      <c r="S999">
        <f t="shared" si="173"/>
        <v>-8.7733946385052386E-3</v>
      </c>
      <c r="T999">
        <v>2846.9499510000001</v>
      </c>
      <c r="U999">
        <f t="shared" si="174"/>
        <v>-2.2573557560375046E-2</v>
      </c>
      <c r="W999">
        <f t="shared" si="175"/>
        <v>-6.1216639842542669E-3</v>
      </c>
      <c r="X999">
        <v>2.1846996191657972E-3</v>
      </c>
    </row>
    <row r="1000" spans="1:24" x14ac:dyDescent="0.35">
      <c r="A1000" s="1">
        <v>44292</v>
      </c>
      <c r="B1000">
        <v>1831.5083010000001</v>
      </c>
      <c r="C1000">
        <f t="shared" si="165"/>
        <v>-4.1654068836186608E-3</v>
      </c>
      <c r="D1000">
        <v>3264.6999510000001</v>
      </c>
      <c r="E1000">
        <f t="shared" si="166"/>
        <v>7.9656827258134388E-3</v>
      </c>
      <c r="F1000">
        <v>1440.25</v>
      </c>
      <c r="G1000">
        <f t="shared" si="167"/>
        <v>-6.4500387381353219E-3</v>
      </c>
      <c r="H1000">
        <v>522.39208980000001</v>
      </c>
      <c r="I1000">
        <f t="shared" si="168"/>
        <v>7.4775040318677544E-3</v>
      </c>
      <c r="J1000">
        <v>1411.0500489999999</v>
      </c>
      <c r="K1000">
        <f t="shared" si="169"/>
        <v>8.1567840302398942E-4</v>
      </c>
      <c r="L1000">
        <v>212.6499939</v>
      </c>
      <c r="M1000">
        <f t="shared" si="170"/>
        <v>4.704342439032505E-4</v>
      </c>
      <c r="N1000">
        <v>620.45001219999995</v>
      </c>
      <c r="O1000">
        <f t="shared" si="171"/>
        <v>1.9136045718560535E-2</v>
      </c>
      <c r="P1000">
        <v>103.9499969</v>
      </c>
      <c r="Q1000">
        <f t="shared" si="172"/>
        <v>4.8332529239543121E-3</v>
      </c>
      <c r="R1000">
        <v>307.75</v>
      </c>
      <c r="S1000">
        <f t="shared" si="173"/>
        <v>8.851048378897941E-3</v>
      </c>
      <c r="T1000">
        <v>2843.6499020000001</v>
      </c>
      <c r="U1000">
        <f t="shared" si="174"/>
        <v>-1.1591524462313263E-3</v>
      </c>
      <c r="W1000">
        <f t="shared" si="175"/>
        <v>3.7775048358035914E-3</v>
      </c>
      <c r="X1000">
        <v>2.1848833227058107E-3</v>
      </c>
    </row>
    <row r="1001" spans="1:24" x14ac:dyDescent="0.35">
      <c r="A1001" s="1">
        <v>44293</v>
      </c>
      <c r="B1001">
        <v>1848.6298830000001</v>
      </c>
      <c r="C1001">
        <f t="shared" si="165"/>
        <v>9.3483507503906438E-3</v>
      </c>
      <c r="D1001">
        <v>3271.3999020000001</v>
      </c>
      <c r="E1001">
        <f t="shared" si="166"/>
        <v>2.0522409717769197E-3</v>
      </c>
      <c r="F1001">
        <v>1447.1999510000001</v>
      </c>
      <c r="G1001">
        <f t="shared" si="167"/>
        <v>4.8255170977260509E-3</v>
      </c>
      <c r="H1001">
        <v>531.61883539999997</v>
      </c>
      <c r="I1001">
        <f t="shared" si="168"/>
        <v>1.7662491029549088E-2</v>
      </c>
      <c r="J1001">
        <v>1430.1999510000001</v>
      </c>
      <c r="K1001">
        <f t="shared" si="169"/>
        <v>1.3571383958755678E-2</v>
      </c>
      <c r="L1001">
        <v>213.8000031</v>
      </c>
      <c r="M1001">
        <f t="shared" si="170"/>
        <v>5.4079907500057534E-3</v>
      </c>
      <c r="N1001">
        <v>621.04998780000005</v>
      </c>
      <c r="O1001">
        <f t="shared" si="171"/>
        <v>9.6700070626587475E-4</v>
      </c>
      <c r="P1001">
        <v>104.6500015</v>
      </c>
      <c r="Q1001">
        <f t="shared" si="172"/>
        <v>6.7340511868740904E-3</v>
      </c>
      <c r="R1001">
        <v>307.7999878</v>
      </c>
      <c r="S1001">
        <f t="shared" si="173"/>
        <v>1.6242989439474442E-4</v>
      </c>
      <c r="T1001">
        <v>2890.6499020000001</v>
      </c>
      <c r="U1001">
        <f t="shared" si="174"/>
        <v>1.6528054303359907E-2</v>
      </c>
      <c r="W1001">
        <f t="shared" si="175"/>
        <v>7.7259510649098761E-3</v>
      </c>
      <c r="X1001">
        <v>2.2014993417956322E-3</v>
      </c>
    </row>
    <row r="1002" spans="1:24" x14ac:dyDescent="0.35">
      <c r="A1002" s="1">
        <v>44294</v>
      </c>
      <c r="B1002">
        <v>1850.9373780000001</v>
      </c>
      <c r="C1002">
        <f t="shared" si="165"/>
        <v>1.2482190303315654E-3</v>
      </c>
      <c r="D1002">
        <v>3317.3500979999999</v>
      </c>
      <c r="E1002">
        <f t="shared" si="166"/>
        <v>1.4046034534606289E-2</v>
      </c>
      <c r="F1002">
        <v>1432.8000489999999</v>
      </c>
      <c r="G1002">
        <f t="shared" si="167"/>
        <v>-9.9501813761463387E-3</v>
      </c>
      <c r="H1002">
        <v>532.99304199999995</v>
      </c>
      <c r="I1002">
        <f t="shared" si="168"/>
        <v>2.5849471623140552E-3</v>
      </c>
      <c r="J1002">
        <v>1439.849976</v>
      </c>
      <c r="K1002">
        <f t="shared" si="169"/>
        <v>6.7473257800438891E-3</v>
      </c>
      <c r="L1002">
        <v>213.25</v>
      </c>
      <c r="M1002">
        <f t="shared" si="170"/>
        <v>-2.5725121235977699E-3</v>
      </c>
      <c r="N1002">
        <v>614.25</v>
      </c>
      <c r="O1002">
        <f t="shared" si="171"/>
        <v>-1.0949179508220053E-2</v>
      </c>
      <c r="P1002">
        <v>103.5999985</v>
      </c>
      <c r="Q1002">
        <f t="shared" si="172"/>
        <v>-1.0033473339223997E-2</v>
      </c>
      <c r="R1002">
        <v>313.9500122</v>
      </c>
      <c r="S1002">
        <f t="shared" si="173"/>
        <v>1.9980586886819918E-2</v>
      </c>
      <c r="T1002">
        <v>2936.5</v>
      </c>
      <c r="U1002">
        <f t="shared" si="174"/>
        <v>1.5861518881368886E-2</v>
      </c>
      <c r="W1002">
        <f t="shared" si="175"/>
        <v>2.6963285928296443E-3</v>
      </c>
      <c r="X1002">
        <v>2.212397900542229E-3</v>
      </c>
    </row>
    <row r="1003" spans="1:24" x14ac:dyDescent="0.35">
      <c r="A1003" s="1">
        <v>44295</v>
      </c>
      <c r="B1003">
        <v>1829.431519</v>
      </c>
      <c r="C1003">
        <f t="shared" si="165"/>
        <v>-1.1618901458048225E-2</v>
      </c>
      <c r="D1003">
        <v>3322.25</v>
      </c>
      <c r="E1003">
        <f t="shared" si="166"/>
        <v>1.4770530258334524E-3</v>
      </c>
      <c r="F1003">
        <v>1421.75</v>
      </c>
      <c r="G1003">
        <f t="shared" si="167"/>
        <v>-7.7122059059895332E-3</v>
      </c>
      <c r="H1003">
        <v>535.20159909999995</v>
      </c>
      <c r="I1003">
        <f t="shared" si="168"/>
        <v>4.1436884273622354E-3</v>
      </c>
      <c r="J1003">
        <v>1441.0500489999999</v>
      </c>
      <c r="K1003">
        <f t="shared" si="169"/>
        <v>8.3347086155027839E-4</v>
      </c>
      <c r="L1003">
        <v>213.1000061</v>
      </c>
      <c r="M1003">
        <f t="shared" si="170"/>
        <v>-7.0337116060958937E-4</v>
      </c>
      <c r="N1003">
        <v>636.75</v>
      </c>
      <c r="O1003">
        <f t="shared" si="171"/>
        <v>3.6630036630036722E-2</v>
      </c>
      <c r="P1003">
        <v>103.8000031</v>
      </c>
      <c r="Q1003">
        <f t="shared" si="172"/>
        <v>1.9305463599983419E-3</v>
      </c>
      <c r="R1003">
        <v>318.2000122</v>
      </c>
      <c r="S1003">
        <f t="shared" si="173"/>
        <v>1.3537186924180045E-2</v>
      </c>
      <c r="T1003">
        <v>2947.75</v>
      </c>
      <c r="U1003">
        <f t="shared" si="174"/>
        <v>3.8310914353822945E-3</v>
      </c>
      <c r="W1003">
        <f t="shared" si="175"/>
        <v>4.2348595139696027E-3</v>
      </c>
      <c r="X1003">
        <v>2.2128104590119937E-3</v>
      </c>
    </row>
    <row r="1004" spans="1:24" x14ac:dyDescent="0.35">
      <c r="A1004" s="1">
        <v>44298</v>
      </c>
      <c r="B1004">
        <v>1763.990845</v>
      </c>
      <c r="C1004">
        <f t="shared" si="165"/>
        <v>-3.5771043255978796E-2</v>
      </c>
      <c r="D1004">
        <v>3246.5500489999999</v>
      </c>
      <c r="E1004">
        <f t="shared" si="166"/>
        <v>-2.2785747911806764E-2</v>
      </c>
      <c r="F1004">
        <v>1367.0500489999999</v>
      </c>
      <c r="G1004">
        <f t="shared" si="167"/>
        <v>-3.8473677510110771E-2</v>
      </c>
      <c r="H1004">
        <v>512.82177730000001</v>
      </c>
      <c r="I1004">
        <f t="shared" si="168"/>
        <v>-4.1815685598910912E-2</v>
      </c>
      <c r="J1004">
        <v>1425.75</v>
      </c>
      <c r="K1004">
        <f t="shared" si="169"/>
        <v>-1.0617291891157565E-2</v>
      </c>
      <c r="L1004">
        <v>205.3000031</v>
      </c>
      <c r="M1004">
        <f t="shared" si="170"/>
        <v>-3.6602547051733825E-2</v>
      </c>
      <c r="N1004">
        <v>619.34997559999999</v>
      </c>
      <c r="O1004">
        <f t="shared" si="171"/>
        <v>-2.7326304515115862E-2</v>
      </c>
      <c r="P1004">
        <v>98.050003050000001</v>
      </c>
      <c r="Q1004">
        <f t="shared" si="172"/>
        <v>-5.5394989193405908E-2</v>
      </c>
      <c r="R1004">
        <v>286.5499878</v>
      </c>
      <c r="S1004">
        <f t="shared" si="173"/>
        <v>-9.9465817682328872E-2</v>
      </c>
      <c r="T1004">
        <v>2814.8999020000001</v>
      </c>
      <c r="U1004">
        <f t="shared" si="174"/>
        <v>-4.5068305656856933E-2</v>
      </c>
      <c r="W1004">
        <f t="shared" si="175"/>
        <v>-4.1332141026740619E-2</v>
      </c>
      <c r="X1004">
        <v>2.2215515806634058E-3</v>
      </c>
    </row>
    <row r="1005" spans="1:24" x14ac:dyDescent="0.35">
      <c r="A1005" s="1">
        <v>44299</v>
      </c>
      <c r="B1005">
        <v>1783.0507809999999</v>
      </c>
      <c r="C1005">
        <f t="shared" si="165"/>
        <v>1.0805008457966059E-2</v>
      </c>
      <c r="D1005">
        <v>3104.0500489999999</v>
      </c>
      <c r="E1005">
        <f t="shared" si="166"/>
        <v>-4.3892747023534295E-2</v>
      </c>
      <c r="F1005">
        <v>1400.349976</v>
      </c>
      <c r="G1005">
        <f t="shared" si="167"/>
        <v>2.4358966977367835E-2</v>
      </c>
      <c r="H1005">
        <v>526.26928710000004</v>
      </c>
      <c r="I1005">
        <f t="shared" si="168"/>
        <v>2.6222579452068073E-2</v>
      </c>
      <c r="J1005">
        <v>1397.150024</v>
      </c>
      <c r="K1005">
        <f t="shared" si="169"/>
        <v>-2.0059600911800812E-2</v>
      </c>
      <c r="L1005">
        <v>208.6999969</v>
      </c>
      <c r="M1005">
        <f t="shared" si="170"/>
        <v>1.6561099603802143E-2</v>
      </c>
      <c r="N1005">
        <v>627.34997559999999</v>
      </c>
      <c r="O1005">
        <f t="shared" si="171"/>
        <v>1.2916768087784192E-2</v>
      </c>
      <c r="P1005">
        <v>102.0500031</v>
      </c>
      <c r="Q1005">
        <f t="shared" si="172"/>
        <v>4.0795511734560863E-2</v>
      </c>
      <c r="R1005">
        <v>302.85000609999997</v>
      </c>
      <c r="S1005">
        <f t="shared" si="173"/>
        <v>5.6883681709931633E-2</v>
      </c>
      <c r="T1005">
        <v>2832.6999510000001</v>
      </c>
      <c r="U1005">
        <f t="shared" si="174"/>
        <v>6.3235104691832245E-3</v>
      </c>
      <c r="W1005">
        <f t="shared" si="175"/>
        <v>1.3091477855732891E-2</v>
      </c>
      <c r="X1005">
        <v>2.2336944277897126E-3</v>
      </c>
    </row>
    <row r="1006" spans="1:24" x14ac:dyDescent="0.35">
      <c r="A1006" s="1">
        <v>44301</v>
      </c>
      <c r="B1006">
        <v>1794.5882570000001</v>
      </c>
      <c r="C1006">
        <f t="shared" si="165"/>
        <v>6.4706379217811527E-3</v>
      </c>
      <c r="D1006">
        <v>3218.9499510000001</v>
      </c>
      <c r="E1006">
        <f t="shared" si="166"/>
        <v>3.7016124155928587E-2</v>
      </c>
      <c r="F1006">
        <v>1430.099976</v>
      </c>
      <c r="G1006">
        <f t="shared" si="167"/>
        <v>2.1244689191896704E-2</v>
      </c>
      <c r="H1006">
        <v>529.4103394</v>
      </c>
      <c r="I1006">
        <f t="shared" si="168"/>
        <v>5.9685267162532529E-3</v>
      </c>
      <c r="J1006">
        <v>1360.75</v>
      </c>
      <c r="K1006">
        <f t="shared" si="169"/>
        <v>-2.6053053268959458E-2</v>
      </c>
      <c r="L1006">
        <v>206.6999969</v>
      </c>
      <c r="M1006">
        <f t="shared" si="170"/>
        <v>-9.5831338270614408E-3</v>
      </c>
      <c r="N1006">
        <v>633.25</v>
      </c>
      <c r="O1006">
        <f t="shared" si="171"/>
        <v>9.4046778185608026E-3</v>
      </c>
      <c r="P1006">
        <v>105.0999985</v>
      </c>
      <c r="Q1006">
        <f t="shared" si="172"/>
        <v>2.9887264158250604E-2</v>
      </c>
      <c r="R1006">
        <v>303.5</v>
      </c>
      <c r="S1006">
        <f t="shared" si="173"/>
        <v>2.1462568496215528E-3</v>
      </c>
      <c r="T1006">
        <v>2928.8999020000001</v>
      </c>
      <c r="U1006">
        <f t="shared" si="174"/>
        <v>3.396051564375524E-2</v>
      </c>
      <c r="W1006">
        <f t="shared" si="175"/>
        <v>1.1046250536002699E-2</v>
      </c>
      <c r="X1006">
        <v>2.2507891937656233E-3</v>
      </c>
    </row>
    <row r="1007" spans="1:24" x14ac:dyDescent="0.35">
      <c r="A1007" s="1">
        <v>44302</v>
      </c>
      <c r="B1007">
        <v>1783.3276370000001</v>
      </c>
      <c r="C1007">
        <f t="shared" si="165"/>
        <v>-6.2747652315658931E-3</v>
      </c>
      <c r="D1007">
        <v>3195.1499020000001</v>
      </c>
      <c r="E1007">
        <f t="shared" si="166"/>
        <v>-7.3937306768644406E-3</v>
      </c>
      <c r="F1007">
        <v>1428.650024</v>
      </c>
      <c r="G1007">
        <f t="shared" si="167"/>
        <v>-1.0138815637599219E-3</v>
      </c>
      <c r="H1007">
        <v>530.78454590000001</v>
      </c>
      <c r="I1007">
        <f t="shared" si="168"/>
        <v>2.5957303772297102E-3</v>
      </c>
      <c r="J1007">
        <v>1353.75</v>
      </c>
      <c r="K1007">
        <f t="shared" si="169"/>
        <v>-5.1442219364321584E-3</v>
      </c>
      <c r="L1007">
        <v>207.9499969</v>
      </c>
      <c r="M1007">
        <f t="shared" si="170"/>
        <v>6.047411798485669E-3</v>
      </c>
      <c r="N1007">
        <v>646.04998780000005</v>
      </c>
      <c r="O1007">
        <f t="shared" si="171"/>
        <v>2.0213166679826422E-2</v>
      </c>
      <c r="P1007">
        <v>107.3000031</v>
      </c>
      <c r="Q1007">
        <f t="shared" si="172"/>
        <v>2.093248935679104E-2</v>
      </c>
      <c r="R1007">
        <v>310</v>
      </c>
      <c r="S1007">
        <f t="shared" si="173"/>
        <v>2.1416803953871577E-2</v>
      </c>
      <c r="T1007">
        <v>2919.8999020000001</v>
      </c>
      <c r="U1007">
        <f t="shared" si="174"/>
        <v>-3.0728260784379513E-3</v>
      </c>
      <c r="W1007">
        <f t="shared" si="175"/>
        <v>4.8306176679144049E-3</v>
      </c>
      <c r="X1007">
        <v>2.2609226484496042E-3</v>
      </c>
    </row>
    <row r="1008" spans="1:24" x14ac:dyDescent="0.35">
      <c r="A1008" s="1">
        <v>44305</v>
      </c>
      <c r="B1008">
        <v>1755.268433</v>
      </c>
      <c r="C1008">
        <f t="shared" si="165"/>
        <v>-1.57341833423289E-2</v>
      </c>
      <c r="D1008">
        <v>3161.8000489999999</v>
      </c>
      <c r="E1008">
        <f t="shared" si="166"/>
        <v>-1.0437648943833588E-2</v>
      </c>
      <c r="F1008">
        <v>1412.400024</v>
      </c>
      <c r="G1008">
        <f t="shared" si="167"/>
        <v>-1.1374374218328542E-2</v>
      </c>
      <c r="H1008">
        <v>516.74804689999996</v>
      </c>
      <c r="I1008">
        <f t="shared" si="168"/>
        <v>-2.644481477168803E-2</v>
      </c>
      <c r="J1008">
        <v>1362.5500489999999</v>
      </c>
      <c r="K1008">
        <f t="shared" si="169"/>
        <v>6.5004978762694954E-3</v>
      </c>
      <c r="L1008">
        <v>205.6000061</v>
      </c>
      <c r="M1008">
        <f t="shared" si="170"/>
        <v>-1.1300749387027298E-2</v>
      </c>
      <c r="N1008">
        <v>640.65002440000001</v>
      </c>
      <c r="O1008">
        <f t="shared" si="171"/>
        <v>-8.3584296911584088E-3</v>
      </c>
      <c r="P1008">
        <v>103.0500031</v>
      </c>
      <c r="Q1008">
        <f t="shared" si="172"/>
        <v>-3.960857294700304E-2</v>
      </c>
      <c r="R1008">
        <v>301.39999390000003</v>
      </c>
      <c r="S1008">
        <f t="shared" si="173"/>
        <v>-2.7741955161290188E-2</v>
      </c>
      <c r="T1008">
        <v>2850.75</v>
      </c>
      <c r="U1008">
        <f t="shared" si="174"/>
        <v>-2.3682285119649316E-2</v>
      </c>
      <c r="W1008">
        <f t="shared" si="175"/>
        <v>-1.6818251570603782E-2</v>
      </c>
      <c r="X1008">
        <v>2.2631079818873361E-3</v>
      </c>
    </row>
    <row r="1009" spans="1:24" x14ac:dyDescent="0.35">
      <c r="A1009" s="1">
        <v>44306</v>
      </c>
      <c r="B1009">
        <v>1754.7608640000001</v>
      </c>
      <c r="C1009">
        <f t="shared" si="165"/>
        <v>-2.8916887608598785E-4</v>
      </c>
      <c r="D1009">
        <v>3144.5500489999999</v>
      </c>
      <c r="E1009">
        <f t="shared" si="166"/>
        <v>-5.4557529675084426E-3</v>
      </c>
      <c r="F1009">
        <v>1391.400024</v>
      </c>
      <c r="G1009">
        <f t="shared" si="167"/>
        <v>-1.4868309008185032E-2</v>
      </c>
      <c r="H1009">
        <v>520.42895510000005</v>
      </c>
      <c r="I1009">
        <f t="shared" si="168"/>
        <v>7.1232164728673997E-3</v>
      </c>
      <c r="J1009">
        <v>1351.349976</v>
      </c>
      <c r="K1009">
        <f t="shared" si="169"/>
        <v>-8.2199351196089454E-3</v>
      </c>
      <c r="L1009">
        <v>203.5500031</v>
      </c>
      <c r="M1009">
        <f t="shared" si="170"/>
        <v>-9.9708314162351153E-3</v>
      </c>
      <c r="N1009">
        <v>645.15002440000001</v>
      </c>
      <c r="O1009">
        <f t="shared" si="171"/>
        <v>7.0241158645307777E-3</v>
      </c>
      <c r="P1009">
        <v>102.8499985</v>
      </c>
      <c r="Q1009">
        <f t="shared" si="172"/>
        <v>-1.9408500143945906E-3</v>
      </c>
      <c r="R1009">
        <v>298.0499878</v>
      </c>
      <c r="S1009">
        <f t="shared" si="173"/>
        <v>-1.1114818074984822E-2</v>
      </c>
      <c r="T1009">
        <v>2778.25</v>
      </c>
      <c r="U1009">
        <f t="shared" si="174"/>
        <v>-2.5431903884942542E-2</v>
      </c>
      <c r="W1009">
        <f t="shared" si="175"/>
        <v>-6.3144237024547294E-3</v>
      </c>
      <c r="X1009">
        <v>2.2665846093438695E-3</v>
      </c>
    </row>
    <row r="1010" spans="1:24" x14ac:dyDescent="0.35">
      <c r="A1010" s="1">
        <v>44308</v>
      </c>
      <c r="B1010">
        <v>1759.606567</v>
      </c>
      <c r="C1010">
        <f t="shared" si="165"/>
        <v>2.7614606066346248E-3</v>
      </c>
      <c r="D1010">
        <v>3118.8000489999999</v>
      </c>
      <c r="E1010">
        <f t="shared" si="166"/>
        <v>-8.1887709207200121E-3</v>
      </c>
      <c r="F1010">
        <v>1422.5</v>
      </c>
      <c r="G1010">
        <f t="shared" si="167"/>
        <v>2.2351570693950107E-2</v>
      </c>
      <c r="H1010">
        <v>521.06695560000003</v>
      </c>
      <c r="I1010">
        <f t="shared" si="168"/>
        <v>1.2259127662821445E-3</v>
      </c>
      <c r="J1010">
        <v>1351.099976</v>
      </c>
      <c r="K1010">
        <f t="shared" si="169"/>
        <v>-1.850001882858221E-4</v>
      </c>
      <c r="L1010">
        <v>205.8999939</v>
      </c>
      <c r="M1010">
        <f t="shared" si="170"/>
        <v>1.1545029546599972E-2</v>
      </c>
      <c r="N1010">
        <v>639.95001219999995</v>
      </c>
      <c r="O1010">
        <f t="shared" si="171"/>
        <v>-8.0601596579589208E-3</v>
      </c>
      <c r="P1010">
        <v>103.0999985</v>
      </c>
      <c r="Q1010">
        <f t="shared" si="172"/>
        <v>2.4307243913086474E-3</v>
      </c>
      <c r="R1010">
        <v>294.5499878</v>
      </c>
      <c r="S1010">
        <f t="shared" si="173"/>
        <v>-1.174299662225986E-2</v>
      </c>
      <c r="T1010">
        <v>2717.6000979999999</v>
      </c>
      <c r="U1010">
        <f t="shared" si="174"/>
        <v>-2.1830253576891945E-2</v>
      </c>
      <c r="W1010">
        <f t="shared" si="175"/>
        <v>-9.692482961341062E-4</v>
      </c>
      <c r="X1010">
        <v>2.2785418714351803E-3</v>
      </c>
    </row>
    <row r="1011" spans="1:24" x14ac:dyDescent="0.35">
      <c r="A1011" s="1">
        <v>44309</v>
      </c>
      <c r="B1011">
        <v>1757.7144780000001</v>
      </c>
      <c r="C1011">
        <f t="shared" si="165"/>
        <v>-1.0752909403071165E-3</v>
      </c>
      <c r="D1011">
        <v>3109.5</v>
      </c>
      <c r="E1011">
        <f t="shared" si="166"/>
        <v>-2.9819317859065553E-3</v>
      </c>
      <c r="F1011">
        <v>1414.150024</v>
      </c>
      <c r="G1011">
        <f t="shared" si="167"/>
        <v>-5.8699304042179046E-3</v>
      </c>
      <c r="H1011">
        <v>512.96899410000003</v>
      </c>
      <c r="I1011">
        <f t="shared" si="168"/>
        <v>-1.554111503899791E-2</v>
      </c>
      <c r="J1011">
        <v>1333.8000489999999</v>
      </c>
      <c r="K1011">
        <f t="shared" si="169"/>
        <v>-1.2804327812377947E-2</v>
      </c>
      <c r="L1011">
        <v>205.3500061</v>
      </c>
      <c r="M1011">
        <f t="shared" si="170"/>
        <v>-2.671140438533004E-3</v>
      </c>
      <c r="N1011">
        <v>637.95001219999995</v>
      </c>
      <c r="O1011">
        <f t="shared" si="171"/>
        <v>-3.1252441001203835E-3</v>
      </c>
      <c r="P1011">
        <v>102.4000015</v>
      </c>
      <c r="Q1011">
        <f t="shared" si="172"/>
        <v>-6.7894957340857154E-3</v>
      </c>
      <c r="R1011">
        <v>294</v>
      </c>
      <c r="S1011">
        <f t="shared" si="173"/>
        <v>-1.8672137931760036E-3</v>
      </c>
      <c r="T1011">
        <v>2713.6999510000001</v>
      </c>
      <c r="U1011">
        <f t="shared" si="174"/>
        <v>-1.4351438251971604E-3</v>
      </c>
      <c r="W1011">
        <f t="shared" si="175"/>
        <v>-5.4160833872919706E-3</v>
      </c>
      <c r="X1011">
        <v>2.3064309441759409E-3</v>
      </c>
    </row>
    <row r="1012" spans="1:24" x14ac:dyDescent="0.35">
      <c r="A1012" s="1">
        <v>44312</v>
      </c>
      <c r="B1012">
        <v>1788.634888</v>
      </c>
      <c r="C1012">
        <f t="shared" si="165"/>
        <v>1.7591258641268315E-2</v>
      </c>
      <c r="D1012">
        <v>3100.8000489999999</v>
      </c>
      <c r="E1012">
        <f t="shared" si="166"/>
        <v>-2.7978617141020123E-3</v>
      </c>
      <c r="F1012">
        <v>1404.8000489999999</v>
      </c>
      <c r="G1012">
        <f t="shared" si="167"/>
        <v>-6.6117277808709352E-3</v>
      </c>
      <c r="H1012">
        <v>517.82775879999997</v>
      </c>
      <c r="I1012">
        <f t="shared" si="168"/>
        <v>9.4718487001823615E-3</v>
      </c>
      <c r="J1012">
        <v>1343.5500489999999</v>
      </c>
      <c r="K1012">
        <f t="shared" si="169"/>
        <v>7.3099412519215257E-3</v>
      </c>
      <c r="L1012">
        <v>205.3000031</v>
      </c>
      <c r="M1012">
        <f t="shared" si="170"/>
        <v>-2.4350133194372958E-4</v>
      </c>
      <c r="N1012">
        <v>634.70001219999995</v>
      </c>
      <c r="O1012">
        <f t="shared" si="171"/>
        <v>-5.0944430407521279E-3</v>
      </c>
      <c r="P1012">
        <v>102.8000031</v>
      </c>
      <c r="Q1012">
        <f t="shared" si="172"/>
        <v>3.9062655677792879E-3</v>
      </c>
      <c r="R1012">
        <v>295.39999390000003</v>
      </c>
      <c r="S1012">
        <f t="shared" si="173"/>
        <v>4.7618840136054441E-3</v>
      </c>
      <c r="T1012">
        <v>2808.25</v>
      </c>
      <c r="U1012">
        <f t="shared" si="174"/>
        <v>3.4841747690328884E-2</v>
      </c>
      <c r="W1012">
        <f t="shared" si="175"/>
        <v>6.3135411997417012E-3</v>
      </c>
      <c r="X1012">
        <v>2.3074562686599357E-3</v>
      </c>
    </row>
    <row r="1013" spans="1:24" x14ac:dyDescent="0.35">
      <c r="A1013" s="1">
        <v>44313</v>
      </c>
      <c r="B1013">
        <v>1835.5233149999999</v>
      </c>
      <c r="C1013">
        <f t="shared" si="165"/>
        <v>2.6214644092305006E-2</v>
      </c>
      <c r="D1013">
        <v>3132</v>
      </c>
      <c r="E1013">
        <f t="shared" si="166"/>
        <v>1.0061903543268524E-2</v>
      </c>
      <c r="F1013">
        <v>1438.6999510000001</v>
      </c>
      <c r="G1013">
        <f t="shared" si="167"/>
        <v>2.4131478372407145E-2</v>
      </c>
      <c r="H1013">
        <v>524.45336910000003</v>
      </c>
      <c r="I1013">
        <f t="shared" si="168"/>
        <v>1.2795007968197991E-2</v>
      </c>
      <c r="J1013">
        <v>1348.5</v>
      </c>
      <c r="K1013">
        <f t="shared" si="169"/>
        <v>3.6842326816810544E-3</v>
      </c>
      <c r="L1013">
        <v>205.3999939</v>
      </c>
      <c r="M1013">
        <f t="shared" si="170"/>
        <v>4.8704724057557769E-4</v>
      </c>
      <c r="N1013">
        <v>639.25</v>
      </c>
      <c r="O1013">
        <f t="shared" si="171"/>
        <v>7.16872177807093E-3</v>
      </c>
      <c r="P1013">
        <v>103.1999969</v>
      </c>
      <c r="Q1013">
        <f t="shared" si="172"/>
        <v>3.8909901550383541E-3</v>
      </c>
      <c r="R1013">
        <v>301.5</v>
      </c>
      <c r="S1013">
        <f t="shared" si="173"/>
        <v>2.0649987223984034E-2</v>
      </c>
      <c r="T1013">
        <v>2826.9499510000001</v>
      </c>
      <c r="U1013">
        <f t="shared" si="174"/>
        <v>6.6589338556040101E-3</v>
      </c>
      <c r="W1013">
        <f t="shared" si="175"/>
        <v>1.1574294691113261E-2</v>
      </c>
      <c r="X1013">
        <v>2.3082892999156225E-3</v>
      </c>
    </row>
    <row r="1014" spans="1:24" x14ac:dyDescent="0.35">
      <c r="A1014" s="1">
        <v>44314</v>
      </c>
      <c r="B1014">
        <v>1843.507202</v>
      </c>
      <c r="C1014">
        <f t="shared" si="165"/>
        <v>4.3496516414449626E-3</v>
      </c>
      <c r="D1014">
        <v>3124.1000979999999</v>
      </c>
      <c r="E1014">
        <f t="shared" si="166"/>
        <v>-2.5223186462324243E-3</v>
      </c>
      <c r="F1014">
        <v>1476.8000489999999</v>
      </c>
      <c r="G1014">
        <f t="shared" si="167"/>
        <v>2.6482309930932812E-2</v>
      </c>
      <c r="H1014">
        <v>534.26910399999997</v>
      </c>
      <c r="I1014">
        <f t="shared" si="168"/>
        <v>1.871612516636989E-2</v>
      </c>
      <c r="J1014">
        <v>1356</v>
      </c>
      <c r="K1014">
        <f t="shared" si="169"/>
        <v>5.5617352614014681E-3</v>
      </c>
      <c r="L1014">
        <v>205.5</v>
      </c>
      <c r="M1014">
        <f t="shared" si="170"/>
        <v>4.8688462984425307E-4</v>
      </c>
      <c r="N1014">
        <v>643.40002440000001</v>
      </c>
      <c r="O1014">
        <f t="shared" si="171"/>
        <v>6.492020962064915E-3</v>
      </c>
      <c r="P1014">
        <v>103.9000015</v>
      </c>
      <c r="Q1014">
        <f t="shared" si="172"/>
        <v>6.7829905138301338E-3</v>
      </c>
      <c r="R1014">
        <v>305.89999390000003</v>
      </c>
      <c r="S1014">
        <f t="shared" si="173"/>
        <v>1.4593677943615324E-2</v>
      </c>
      <c r="T1014">
        <v>2936.8000489999999</v>
      </c>
      <c r="U1014">
        <f t="shared" si="174"/>
        <v>3.8858168663771897E-2</v>
      </c>
      <c r="W1014">
        <f t="shared" si="175"/>
        <v>1.1980124606704324E-2</v>
      </c>
      <c r="X1014">
        <v>2.31607067147882E-3</v>
      </c>
    </row>
    <row r="1015" spans="1:24" x14ac:dyDescent="0.35">
      <c r="A1015" s="1">
        <v>44315</v>
      </c>
      <c r="B1015">
        <v>1868.19751</v>
      </c>
      <c r="C1015">
        <f t="shared" si="165"/>
        <v>1.3393117191629944E-2</v>
      </c>
      <c r="D1015">
        <v>3115.25</v>
      </c>
      <c r="E1015">
        <f t="shared" si="166"/>
        <v>-2.8328471311356296E-3</v>
      </c>
      <c r="F1015">
        <v>1472.5</v>
      </c>
      <c r="G1015">
        <f t="shared" si="167"/>
        <v>-2.9117340583186824E-3</v>
      </c>
      <c r="H1015">
        <v>530.8826904</v>
      </c>
      <c r="I1015">
        <f t="shared" si="168"/>
        <v>-6.3384043259218092E-3</v>
      </c>
      <c r="J1015">
        <v>1356.349976</v>
      </c>
      <c r="K1015">
        <f t="shared" si="169"/>
        <v>2.5809439528012845E-4</v>
      </c>
      <c r="L1015">
        <v>204.3000031</v>
      </c>
      <c r="M1015">
        <f t="shared" si="170"/>
        <v>-5.8394009732359864E-3</v>
      </c>
      <c r="N1015">
        <v>644.5</v>
      </c>
      <c r="O1015">
        <f t="shared" si="171"/>
        <v>1.7096294036136328E-3</v>
      </c>
      <c r="P1015">
        <v>104.0500031</v>
      </c>
      <c r="Q1015">
        <f t="shared" si="172"/>
        <v>1.4437112399849905E-3</v>
      </c>
      <c r="R1015">
        <v>301.89999390000003</v>
      </c>
      <c r="S1015">
        <f t="shared" si="173"/>
        <v>-1.3076168943329969E-2</v>
      </c>
      <c r="T1015">
        <v>2906.3500979999999</v>
      </c>
      <c r="U1015">
        <f t="shared" si="174"/>
        <v>-1.0368411363370966E-2</v>
      </c>
      <c r="W1015">
        <f t="shared" si="175"/>
        <v>-2.4562414564804347E-3</v>
      </c>
      <c r="X1015">
        <v>2.319415828287763E-3</v>
      </c>
    </row>
    <row r="1016" spans="1:24" x14ac:dyDescent="0.35">
      <c r="A1016" s="1">
        <v>44316</v>
      </c>
      <c r="B1016">
        <v>1840.9228519999999</v>
      </c>
      <c r="C1016">
        <f t="shared" si="165"/>
        <v>-1.4599450997020091E-2</v>
      </c>
      <c r="D1016">
        <v>3035.6499020000001</v>
      </c>
      <c r="E1016">
        <f t="shared" si="166"/>
        <v>-2.5551752828825935E-2</v>
      </c>
      <c r="F1016">
        <v>1412.3000489999999</v>
      </c>
      <c r="G1016">
        <f t="shared" si="167"/>
        <v>-4.0882819015280125E-2</v>
      </c>
      <c r="H1016">
        <v>526.85821529999998</v>
      </c>
      <c r="I1016">
        <f t="shared" si="168"/>
        <v>-7.5807239014851202E-3</v>
      </c>
      <c r="J1016">
        <v>1354.349976</v>
      </c>
      <c r="K1016">
        <f t="shared" si="169"/>
        <v>-1.4745456817112368E-3</v>
      </c>
      <c r="L1016">
        <v>202.6000061</v>
      </c>
      <c r="M1016">
        <f t="shared" si="170"/>
        <v>-8.3210816162733181E-3</v>
      </c>
      <c r="N1016">
        <v>654.45001219999995</v>
      </c>
      <c r="O1016">
        <f t="shared" si="171"/>
        <v>1.5438343211791938E-2</v>
      </c>
      <c r="P1016">
        <v>108.1500015</v>
      </c>
      <c r="Q1016">
        <f t="shared" si="172"/>
        <v>3.9404116077340179E-2</v>
      </c>
      <c r="R1016">
        <v>293.85000609999997</v>
      </c>
      <c r="S1016">
        <f t="shared" si="173"/>
        <v>-2.6664418557976188E-2</v>
      </c>
      <c r="T1016">
        <v>2852.8999020000001</v>
      </c>
      <c r="U1016">
        <f t="shared" si="174"/>
        <v>-1.8390831867358792E-2</v>
      </c>
      <c r="W1016">
        <f t="shared" si="175"/>
        <v>-8.8623165176798697E-3</v>
      </c>
      <c r="X1016">
        <v>2.3377528078358132E-3</v>
      </c>
    </row>
    <row r="1017" spans="1:24" x14ac:dyDescent="0.35">
      <c r="A1017" s="1">
        <v>44319</v>
      </c>
      <c r="B1017">
        <v>1808.2025149999999</v>
      </c>
      <c r="C1017">
        <f t="shared" si="165"/>
        <v>-1.7773877359636314E-2</v>
      </c>
      <c r="D1017">
        <v>3037</v>
      </c>
      <c r="E1017">
        <f t="shared" si="166"/>
        <v>4.4474759724777435E-4</v>
      </c>
      <c r="F1017">
        <v>1414.4499510000001</v>
      </c>
      <c r="G1017">
        <f t="shared" si="167"/>
        <v>1.5222700031218839E-3</v>
      </c>
      <c r="H1017">
        <v>548.5509644</v>
      </c>
      <c r="I1017">
        <f t="shared" si="168"/>
        <v>4.1173789209394629E-2</v>
      </c>
      <c r="J1017">
        <v>1352.0500489999999</v>
      </c>
      <c r="K1017">
        <f t="shared" si="169"/>
        <v>-1.6981777537241616E-3</v>
      </c>
      <c r="L1017">
        <v>200.9499969</v>
      </c>
      <c r="M1017">
        <f t="shared" si="170"/>
        <v>-8.1441715218191213E-3</v>
      </c>
      <c r="N1017">
        <v>659.20001219999995</v>
      </c>
      <c r="O1017">
        <f t="shared" si="171"/>
        <v>7.25800276790034E-3</v>
      </c>
      <c r="P1017">
        <v>107.6999969</v>
      </c>
      <c r="Q1017">
        <f t="shared" si="172"/>
        <v>-4.1609301318410452E-3</v>
      </c>
      <c r="R1017">
        <v>293</v>
      </c>
      <c r="S1017">
        <f t="shared" si="173"/>
        <v>-2.8926529942310264E-3</v>
      </c>
      <c r="T1017">
        <v>2898.6499020000001</v>
      </c>
      <c r="U1017">
        <f t="shared" si="174"/>
        <v>1.60363144770439E-2</v>
      </c>
      <c r="W1017">
        <f t="shared" si="175"/>
        <v>3.1765314293456864E-3</v>
      </c>
      <c r="X1017">
        <v>2.3400614204092895E-3</v>
      </c>
    </row>
    <row r="1018" spans="1:24" x14ac:dyDescent="0.35">
      <c r="A1018" s="1">
        <v>44320</v>
      </c>
      <c r="B1018">
        <v>1769.0211179999999</v>
      </c>
      <c r="C1018">
        <f t="shared" si="165"/>
        <v>-2.1668699537230829E-2</v>
      </c>
      <c r="D1018">
        <v>3049.75</v>
      </c>
      <c r="E1018">
        <f t="shared" si="166"/>
        <v>4.1982219295357837E-3</v>
      </c>
      <c r="F1018">
        <v>1388.349976</v>
      </c>
      <c r="G1018">
        <f t="shared" si="167"/>
        <v>-1.8452384958228985E-2</v>
      </c>
      <c r="H1018">
        <v>542.26892090000001</v>
      </c>
      <c r="I1018">
        <f t="shared" si="168"/>
        <v>-1.145206901034479E-2</v>
      </c>
      <c r="J1018">
        <v>1329.400024</v>
      </c>
      <c r="K1018">
        <f t="shared" si="169"/>
        <v>-1.6752356924029765E-2</v>
      </c>
      <c r="L1018">
        <v>199.6000061</v>
      </c>
      <c r="M1018">
        <f t="shared" si="170"/>
        <v>-6.718043397989204E-3</v>
      </c>
      <c r="N1018">
        <v>645.15002440000001</v>
      </c>
      <c r="O1018">
        <f t="shared" si="171"/>
        <v>-2.1313694690492824E-2</v>
      </c>
      <c r="P1018">
        <v>109.6500015</v>
      </c>
      <c r="Q1018">
        <f t="shared" si="172"/>
        <v>1.8105892814561431E-2</v>
      </c>
      <c r="R1018">
        <v>289.4500122</v>
      </c>
      <c r="S1018">
        <f t="shared" si="173"/>
        <v>-1.2115999317406145E-2</v>
      </c>
      <c r="T1018">
        <v>2858.3999020000001</v>
      </c>
      <c r="U1018">
        <f t="shared" si="174"/>
        <v>-1.3885774881688295E-2</v>
      </c>
      <c r="W1018">
        <f t="shared" si="175"/>
        <v>-1.0005490797331363E-2</v>
      </c>
      <c r="X1018">
        <v>2.3466163744397034E-3</v>
      </c>
    </row>
    <row r="1019" spans="1:24" x14ac:dyDescent="0.35">
      <c r="A1019" s="1">
        <v>44321</v>
      </c>
      <c r="B1019">
        <v>1772.2517089999999</v>
      </c>
      <c r="C1019">
        <f t="shared" si="165"/>
        <v>1.826202619702233E-3</v>
      </c>
      <c r="D1019">
        <v>3095.6999510000001</v>
      </c>
      <c r="E1019">
        <f t="shared" si="166"/>
        <v>1.5066792687925323E-2</v>
      </c>
      <c r="F1019">
        <v>1402.599976</v>
      </c>
      <c r="G1019">
        <f t="shared" si="167"/>
        <v>1.026398260261141E-2</v>
      </c>
      <c r="H1019">
        <v>549.6306763</v>
      </c>
      <c r="I1019">
        <f t="shared" si="168"/>
        <v>1.3575838696014086E-2</v>
      </c>
      <c r="J1019">
        <v>1341.5</v>
      </c>
      <c r="K1019">
        <f t="shared" si="169"/>
        <v>9.1018322412788066E-3</v>
      </c>
      <c r="L1019">
        <v>201.3999939</v>
      </c>
      <c r="M1019">
        <f t="shared" si="170"/>
        <v>9.017974674300433E-3</v>
      </c>
      <c r="N1019">
        <v>683.40002440000001</v>
      </c>
      <c r="O1019">
        <f t="shared" si="171"/>
        <v>5.9288535307075563E-2</v>
      </c>
      <c r="P1019">
        <v>111.0999985</v>
      </c>
      <c r="Q1019">
        <f t="shared" si="172"/>
        <v>1.3223866668164108E-2</v>
      </c>
      <c r="R1019">
        <v>291.5</v>
      </c>
      <c r="S1019">
        <f t="shared" si="173"/>
        <v>7.0823552033003612E-3</v>
      </c>
      <c r="T1019">
        <v>2874.3999020000001</v>
      </c>
      <c r="U1019">
        <f t="shared" si="174"/>
        <v>5.5975372755943109E-3</v>
      </c>
      <c r="W1019">
        <f t="shared" si="175"/>
        <v>1.4404491797596664E-2</v>
      </c>
      <c r="X1019">
        <v>2.3496302423909659E-3</v>
      </c>
    </row>
    <row r="1020" spans="1:24" x14ac:dyDescent="0.35">
      <c r="A1020" s="1">
        <v>44322</v>
      </c>
      <c r="B1020">
        <v>1782.3123780000001</v>
      </c>
      <c r="C1020">
        <f t="shared" si="165"/>
        <v>5.6767720684987033E-3</v>
      </c>
      <c r="D1020">
        <v>3111.4499510000001</v>
      </c>
      <c r="E1020">
        <f t="shared" si="166"/>
        <v>5.0877023772644137E-3</v>
      </c>
      <c r="F1020">
        <v>1400.900024</v>
      </c>
      <c r="G1020">
        <f t="shared" si="167"/>
        <v>-1.2120005911079312E-3</v>
      </c>
      <c r="H1020">
        <v>548.45281980000004</v>
      </c>
      <c r="I1020">
        <f t="shared" si="168"/>
        <v>-2.1429962896704069E-3</v>
      </c>
      <c r="J1020">
        <v>1361.599976</v>
      </c>
      <c r="K1020">
        <f t="shared" si="169"/>
        <v>1.4983209839731559E-2</v>
      </c>
      <c r="L1020">
        <v>202.75</v>
      </c>
      <c r="M1020">
        <f t="shared" si="170"/>
        <v>6.7031089418518874E-3</v>
      </c>
      <c r="N1020">
        <v>679.40002440000001</v>
      </c>
      <c r="O1020">
        <f t="shared" si="171"/>
        <v>-5.8530872946804813E-3</v>
      </c>
      <c r="P1020">
        <v>110.25</v>
      </c>
      <c r="Q1020">
        <f t="shared" si="172"/>
        <v>-7.6507516784529717E-3</v>
      </c>
      <c r="R1020">
        <v>301.25</v>
      </c>
      <c r="S1020">
        <f t="shared" si="173"/>
        <v>3.3447684391080701E-2</v>
      </c>
      <c r="T1020">
        <v>2878.1499020000001</v>
      </c>
      <c r="U1020">
        <f t="shared" si="174"/>
        <v>1.304620139108259E-3</v>
      </c>
      <c r="W1020">
        <f t="shared" si="175"/>
        <v>5.0344261903623741E-3</v>
      </c>
      <c r="X1020">
        <v>2.3508636389518614E-3</v>
      </c>
    </row>
    <row r="1021" spans="1:24" x14ac:dyDescent="0.35">
      <c r="A1021" s="1">
        <v>44323</v>
      </c>
      <c r="B1021">
        <v>1783.004639</v>
      </c>
      <c r="C1021">
        <f t="shared" si="165"/>
        <v>3.8840610015666854E-4</v>
      </c>
      <c r="D1021">
        <v>3132.8999020000001</v>
      </c>
      <c r="E1021">
        <f t="shared" si="166"/>
        <v>6.8938762756272087E-3</v>
      </c>
      <c r="F1021">
        <v>1414.75</v>
      </c>
      <c r="G1021">
        <f t="shared" si="167"/>
        <v>9.8864842335102399E-3</v>
      </c>
      <c r="H1021">
        <v>558.02313230000004</v>
      </c>
      <c r="I1021">
        <f t="shared" si="168"/>
        <v>1.7449655019532884E-2</v>
      </c>
      <c r="J1021">
        <v>1352.5500489999999</v>
      </c>
      <c r="K1021">
        <f t="shared" si="169"/>
        <v>-6.6465387481763338E-3</v>
      </c>
      <c r="L1021">
        <v>205.3500061</v>
      </c>
      <c r="M1021">
        <f t="shared" si="170"/>
        <v>1.2823704562268778E-2</v>
      </c>
      <c r="N1021">
        <v>679.45001219999995</v>
      </c>
      <c r="O1021">
        <f t="shared" si="171"/>
        <v>7.3576388290641503E-5</v>
      </c>
      <c r="P1021">
        <v>111.4499969</v>
      </c>
      <c r="Q1021">
        <f t="shared" si="172"/>
        <v>1.088432562358288E-2</v>
      </c>
      <c r="R1021">
        <v>302.75</v>
      </c>
      <c r="S1021">
        <f t="shared" si="173"/>
        <v>4.9792531120331773E-3</v>
      </c>
      <c r="T1021">
        <v>2895.5</v>
      </c>
      <c r="U1021">
        <f t="shared" si="174"/>
        <v>6.0282120774679537E-3</v>
      </c>
      <c r="W1021">
        <f t="shared" si="175"/>
        <v>6.2760954644294096E-3</v>
      </c>
      <c r="X1021">
        <v>2.399105449304573E-3</v>
      </c>
    </row>
    <row r="1022" spans="1:24" x14ac:dyDescent="0.35">
      <c r="A1022" s="1">
        <v>44326</v>
      </c>
      <c r="B1022">
        <v>1777.8819579999999</v>
      </c>
      <c r="C1022">
        <f t="shared" si="165"/>
        <v>-2.8730609488897274E-3</v>
      </c>
      <c r="D1022">
        <v>3145.5</v>
      </c>
      <c r="E1022">
        <f t="shared" si="166"/>
        <v>4.0218642133942328E-3</v>
      </c>
      <c r="F1022">
        <v>1419.849976</v>
      </c>
      <c r="G1022">
        <f t="shared" si="167"/>
        <v>3.6048602226541604E-3</v>
      </c>
      <c r="H1022">
        <v>561.99847409999995</v>
      </c>
      <c r="I1022">
        <f t="shared" si="168"/>
        <v>7.1239731292407349E-3</v>
      </c>
      <c r="J1022">
        <v>1339.5500489999999</v>
      </c>
      <c r="K1022">
        <f t="shared" si="169"/>
        <v>-9.6114742738070413E-3</v>
      </c>
      <c r="L1022">
        <v>205.5500031</v>
      </c>
      <c r="M1022">
        <f t="shared" si="170"/>
        <v>9.7393228175812752E-4</v>
      </c>
      <c r="N1022">
        <v>698.20001219999995</v>
      </c>
      <c r="O1022">
        <f t="shared" si="171"/>
        <v>2.7595849088719815E-2</v>
      </c>
      <c r="P1022">
        <v>113.9000015</v>
      </c>
      <c r="Q1022">
        <f t="shared" si="172"/>
        <v>2.1982993881985546E-2</v>
      </c>
      <c r="R1022">
        <v>314.85000609999997</v>
      </c>
      <c r="S1022">
        <f t="shared" si="173"/>
        <v>3.996698959537559E-2</v>
      </c>
      <c r="T1022">
        <v>2852.4499510000001</v>
      </c>
      <c r="U1022">
        <f t="shared" si="174"/>
        <v>-1.4867915385943675E-2</v>
      </c>
      <c r="W1022">
        <f t="shared" si="175"/>
        <v>7.7918011804487776E-3</v>
      </c>
      <c r="X1022">
        <v>2.4057817726248266E-3</v>
      </c>
    </row>
    <row r="1023" spans="1:24" x14ac:dyDescent="0.35">
      <c r="A1023" s="1">
        <v>44327</v>
      </c>
      <c r="B1023">
        <v>1784.296875</v>
      </c>
      <c r="C1023">
        <f t="shared" si="165"/>
        <v>3.6081793682278818E-3</v>
      </c>
      <c r="D1023">
        <v>3122.6000979999999</v>
      </c>
      <c r="E1023">
        <f t="shared" si="166"/>
        <v>-7.280210459386427E-3</v>
      </c>
      <c r="F1023">
        <v>1403.5500489999999</v>
      </c>
      <c r="G1023">
        <f t="shared" si="167"/>
        <v>-1.1480034704737019E-2</v>
      </c>
      <c r="H1023">
        <v>557.92498780000005</v>
      </c>
      <c r="I1023">
        <f t="shared" si="168"/>
        <v>-7.2482159431540572E-3</v>
      </c>
      <c r="J1023">
        <v>1330.650024</v>
      </c>
      <c r="K1023">
        <f t="shared" si="169"/>
        <v>-6.6440406662251483E-3</v>
      </c>
      <c r="L1023">
        <v>204</v>
      </c>
      <c r="M1023">
        <f t="shared" si="170"/>
        <v>-7.540759312204548E-3</v>
      </c>
      <c r="N1023">
        <v>708.09997559999999</v>
      </c>
      <c r="O1023">
        <f t="shared" si="171"/>
        <v>1.4179265578649458E-2</v>
      </c>
      <c r="P1023">
        <v>118.0999985</v>
      </c>
      <c r="Q1023">
        <f t="shared" si="172"/>
        <v>3.6874424448537058E-2</v>
      </c>
      <c r="R1023">
        <v>315.5499878</v>
      </c>
      <c r="S1023">
        <f t="shared" si="173"/>
        <v>2.2232227614367162E-3</v>
      </c>
      <c r="T1023">
        <v>2850.5500489999999</v>
      </c>
      <c r="U1023">
        <f t="shared" si="174"/>
        <v>-6.6605971450406365E-4</v>
      </c>
      <c r="W1023">
        <f t="shared" si="175"/>
        <v>1.6025771356639852E-3</v>
      </c>
      <c r="X1023">
        <v>2.4066245600131608E-3</v>
      </c>
    </row>
    <row r="1024" spans="1:24" x14ac:dyDescent="0.35">
      <c r="A1024" s="1">
        <v>44328</v>
      </c>
      <c r="B1024">
        <v>1765.8367920000001</v>
      </c>
      <c r="C1024">
        <f t="shared" si="165"/>
        <v>-1.0345858505188432E-2</v>
      </c>
      <c r="D1024">
        <v>3087.6000979999999</v>
      </c>
      <c r="E1024">
        <f t="shared" si="166"/>
        <v>-1.1208607859333974E-2</v>
      </c>
      <c r="F1024">
        <v>1399.5</v>
      </c>
      <c r="G1024">
        <f t="shared" si="167"/>
        <v>-2.885575047990252E-3</v>
      </c>
      <c r="H1024">
        <v>551.39752199999998</v>
      </c>
      <c r="I1024">
        <f t="shared" si="168"/>
        <v>-1.1699540158147559E-2</v>
      </c>
      <c r="J1024">
        <v>1327</v>
      </c>
      <c r="K1024">
        <f t="shared" si="169"/>
        <v>-2.7430383152347027E-3</v>
      </c>
      <c r="L1024">
        <v>203.25</v>
      </c>
      <c r="M1024">
        <f t="shared" si="170"/>
        <v>-3.6764705882352811E-3</v>
      </c>
      <c r="N1024">
        <v>702.84997559999999</v>
      </c>
      <c r="O1024">
        <f t="shared" si="171"/>
        <v>-7.4142072883867094E-3</v>
      </c>
      <c r="P1024">
        <v>115.0999985</v>
      </c>
      <c r="Q1024">
        <f t="shared" si="172"/>
        <v>-2.5402201846768002E-2</v>
      </c>
      <c r="R1024">
        <v>326</v>
      </c>
      <c r="S1024">
        <f t="shared" si="173"/>
        <v>3.3116820168040517E-2</v>
      </c>
      <c r="T1024">
        <v>2856.1499020000001</v>
      </c>
      <c r="U1024">
        <f t="shared" si="174"/>
        <v>1.9644815575030616E-3</v>
      </c>
      <c r="W1024">
        <f t="shared" si="175"/>
        <v>-4.0294197883741344E-3</v>
      </c>
      <c r="X1024">
        <v>2.4163480494629793E-3</v>
      </c>
    </row>
    <row r="1025" spans="1:24" x14ac:dyDescent="0.35">
      <c r="A1025" s="1">
        <v>44330</v>
      </c>
      <c r="B1025">
        <v>1788.1273189999999</v>
      </c>
      <c r="C1025">
        <f t="shared" si="165"/>
        <v>1.2623209064951846E-2</v>
      </c>
      <c r="D1025">
        <v>3051.5</v>
      </c>
      <c r="E1025">
        <f t="shared" si="166"/>
        <v>-1.1691960375109445E-2</v>
      </c>
      <c r="F1025">
        <v>1386.849976</v>
      </c>
      <c r="G1025">
        <f t="shared" si="167"/>
        <v>-9.038959628438703E-3</v>
      </c>
      <c r="H1025">
        <v>550.07238770000004</v>
      </c>
      <c r="I1025">
        <f t="shared" si="168"/>
        <v>-2.4032286093588207E-3</v>
      </c>
      <c r="J1025">
        <v>1316.400024</v>
      </c>
      <c r="K1025">
        <f t="shared" si="169"/>
        <v>-7.9879246420496708E-3</v>
      </c>
      <c r="L1025">
        <v>212.25</v>
      </c>
      <c r="M1025">
        <f t="shared" si="170"/>
        <v>4.4280442804428111E-2</v>
      </c>
      <c r="N1025">
        <v>691.45001219999995</v>
      </c>
      <c r="O1025">
        <f t="shared" si="171"/>
        <v>-1.6219625518615555E-2</v>
      </c>
      <c r="P1025">
        <v>112.9499969</v>
      </c>
      <c r="Q1025">
        <f t="shared" si="172"/>
        <v>-1.8679423353771818E-2</v>
      </c>
      <c r="R1025">
        <v>312.25</v>
      </c>
      <c r="S1025">
        <f t="shared" si="173"/>
        <v>-4.2177914110429482E-2</v>
      </c>
      <c r="T1025">
        <v>2844.6499020000001</v>
      </c>
      <c r="U1025">
        <f t="shared" si="174"/>
        <v>-4.0263993118663244E-3</v>
      </c>
      <c r="W1025">
        <f t="shared" si="175"/>
        <v>-5.5321783680259869E-3</v>
      </c>
      <c r="X1025">
        <v>2.4198759856755348E-3</v>
      </c>
    </row>
    <row r="1026" spans="1:24" x14ac:dyDescent="0.35">
      <c r="A1026" s="1">
        <v>44333</v>
      </c>
      <c r="B1026">
        <v>1809.402466</v>
      </c>
      <c r="C1026">
        <f t="shared" si="165"/>
        <v>1.1898004562615805E-2</v>
      </c>
      <c r="D1026">
        <v>3069.75</v>
      </c>
      <c r="E1026">
        <f t="shared" si="166"/>
        <v>5.9806652466001253E-3</v>
      </c>
      <c r="F1026">
        <v>1440.25</v>
      </c>
      <c r="G1026">
        <f t="shared" si="167"/>
        <v>3.8504542613915671E-2</v>
      </c>
      <c r="H1026">
        <v>539.52050780000002</v>
      </c>
      <c r="I1026">
        <f t="shared" si="168"/>
        <v>-1.918271146843098E-2</v>
      </c>
      <c r="J1026">
        <v>1329.400024</v>
      </c>
      <c r="K1026">
        <f t="shared" si="169"/>
        <v>9.8754176260937854E-3</v>
      </c>
      <c r="L1026">
        <v>212.6000061</v>
      </c>
      <c r="M1026">
        <f t="shared" si="170"/>
        <v>1.6490275618374906E-3</v>
      </c>
      <c r="N1026">
        <v>687.15002440000001</v>
      </c>
      <c r="O1026">
        <f t="shared" si="171"/>
        <v>-6.2187977787701021E-3</v>
      </c>
      <c r="P1026">
        <v>114.25</v>
      </c>
      <c r="Q1026">
        <f t="shared" si="172"/>
        <v>1.1509545247273989E-2</v>
      </c>
      <c r="R1026">
        <v>321.10000609999997</v>
      </c>
      <c r="S1026">
        <f t="shared" si="173"/>
        <v>2.8342693674939801E-2</v>
      </c>
      <c r="T1026">
        <v>2898.6999510000001</v>
      </c>
      <c r="U1026">
        <f t="shared" si="174"/>
        <v>1.9000597916108752E-2</v>
      </c>
      <c r="W1026">
        <f t="shared" si="175"/>
        <v>1.0135898520218433E-2</v>
      </c>
      <c r="X1026">
        <v>2.4498607768537622E-3</v>
      </c>
    </row>
    <row r="1027" spans="1:24" x14ac:dyDescent="0.35">
      <c r="A1027" s="1">
        <v>44334</v>
      </c>
      <c r="B1027">
        <v>1834.877197</v>
      </c>
      <c r="C1027">
        <f t="shared" si="165"/>
        <v>1.4079084934772057E-2</v>
      </c>
      <c r="D1027">
        <v>3088.8000489999999</v>
      </c>
      <c r="E1027">
        <f t="shared" si="166"/>
        <v>6.20573304014993E-3</v>
      </c>
      <c r="F1027">
        <v>1476.6999510000001</v>
      </c>
      <c r="G1027">
        <f t="shared" si="167"/>
        <v>2.5308072209685895E-2</v>
      </c>
      <c r="H1027">
        <v>526.46563719999995</v>
      </c>
      <c r="I1027">
        <f t="shared" si="168"/>
        <v>-2.4197172139449941E-2</v>
      </c>
      <c r="J1027">
        <v>1340</v>
      </c>
      <c r="K1027">
        <f t="shared" si="169"/>
        <v>7.9735036923693769E-3</v>
      </c>
      <c r="L1027">
        <v>210.0500031</v>
      </c>
      <c r="M1027">
        <f t="shared" si="170"/>
        <v>-1.1994369364225599E-2</v>
      </c>
      <c r="N1027">
        <v>690.79998780000005</v>
      </c>
      <c r="O1027">
        <f t="shared" si="171"/>
        <v>5.3117416435910503E-3</v>
      </c>
      <c r="P1027">
        <v>116.0999985</v>
      </c>
      <c r="Q1027">
        <f t="shared" si="172"/>
        <v>1.6192547045951855E-2</v>
      </c>
      <c r="R1027">
        <v>332.4500122</v>
      </c>
      <c r="S1027">
        <f t="shared" si="173"/>
        <v>3.5347262174966421E-2</v>
      </c>
      <c r="T1027">
        <v>3056.3000489999999</v>
      </c>
      <c r="U1027">
        <f t="shared" si="174"/>
        <v>5.4369234713524062E-2</v>
      </c>
      <c r="W1027">
        <f t="shared" si="175"/>
        <v>1.2859563795133512E-2</v>
      </c>
      <c r="X1027">
        <v>2.4703174995662548E-3</v>
      </c>
    </row>
    <row r="1028" spans="1:24" x14ac:dyDescent="0.35">
      <c r="A1028" s="1">
        <v>44335</v>
      </c>
      <c r="B1028">
        <v>1843.2764890000001</v>
      </c>
      <c r="C1028">
        <f t="shared" ref="C1028:C1091" si="176">B1028/B1027 - 1</f>
        <v>4.5775771881262362E-3</v>
      </c>
      <c r="D1028">
        <v>3082</v>
      </c>
      <c r="E1028">
        <f t="shared" ref="E1028:E1091" si="177">D1028/D1027 - 1</f>
        <v>-2.2015180303436299E-3</v>
      </c>
      <c r="F1028">
        <v>1458.1999510000001</v>
      </c>
      <c r="G1028">
        <f t="shared" ref="G1028:G1091" si="178">F1028/F1027 - 1</f>
        <v>-1.2527934322386969E-2</v>
      </c>
      <c r="H1028">
        <v>518.46582030000002</v>
      </c>
      <c r="I1028">
        <f t="shared" ref="I1028:I1091" si="179">H1028/H1027 - 1</f>
        <v>-1.5195325838447626E-2</v>
      </c>
      <c r="J1028">
        <v>1337</v>
      </c>
      <c r="K1028">
        <f t="shared" ref="K1028:K1091" si="180">J1028/J1027 -1</f>
        <v>-2.2388059701492491E-3</v>
      </c>
      <c r="L1028">
        <v>207.75</v>
      </c>
      <c r="M1028">
        <f t="shared" ref="M1028:M1091" si="181">L1028/L1027 -1</f>
        <v>-1.0949788460155485E-2</v>
      </c>
      <c r="N1028">
        <v>703.40002440000001</v>
      </c>
      <c r="O1028">
        <f t="shared" ref="O1028:O1091" si="182">N1028/N1027-1</f>
        <v>1.8239775365554767E-2</v>
      </c>
      <c r="P1028">
        <v>114.9000015</v>
      </c>
      <c r="Q1028">
        <f t="shared" ref="Q1028:Q1091" si="183">P1028/P1027 -1</f>
        <v>-1.03358916064068E-2</v>
      </c>
      <c r="R1028">
        <v>314.4500122</v>
      </c>
      <c r="S1028">
        <f t="shared" ref="S1028:S1091" si="184">R1028/R1027 - 1</f>
        <v>-5.4143478235673226E-2</v>
      </c>
      <c r="T1028">
        <v>3027.8999020000001</v>
      </c>
      <c r="U1028">
        <f t="shared" ref="U1028:U1091" si="185">T1028/T1027 - 1</f>
        <v>-9.2923294652604849E-3</v>
      </c>
      <c r="W1028">
        <f t="shared" ref="W1028:W1091" si="186">0.1*C1028+0.1*E1028+0.1*G1028+0.1*I1028+0.1*K1028+0.1*M1028+0.1*O1028+0.1*Q1028+0.1*S1028+0.1*U1028</f>
        <v>-9.4067719375142463E-3</v>
      </c>
      <c r="X1028">
        <v>2.4838535577947356E-3</v>
      </c>
    </row>
    <row r="1029" spans="1:24" x14ac:dyDescent="0.35">
      <c r="A1029" s="1">
        <v>44336</v>
      </c>
      <c r="B1029">
        <v>1832.5235600000001</v>
      </c>
      <c r="C1029">
        <f t="shared" si="176"/>
        <v>-5.8335952659134271E-3</v>
      </c>
      <c r="D1029">
        <v>3060</v>
      </c>
      <c r="E1029">
        <f t="shared" si="177"/>
        <v>-7.1382219338091968E-3</v>
      </c>
      <c r="F1029">
        <v>1432.8000489999999</v>
      </c>
      <c r="G1029">
        <f t="shared" si="178"/>
        <v>-1.7418668806415405E-2</v>
      </c>
      <c r="H1029">
        <v>511.05493159999997</v>
      </c>
      <c r="I1029">
        <f t="shared" si="179"/>
        <v>-1.4293880926831148E-2</v>
      </c>
      <c r="J1029">
        <v>1339.3000489999999</v>
      </c>
      <c r="K1029">
        <f t="shared" si="180"/>
        <v>1.7203059087509409E-3</v>
      </c>
      <c r="L1029">
        <v>207</v>
      </c>
      <c r="M1029">
        <f t="shared" si="181"/>
        <v>-3.6101083032491488E-3</v>
      </c>
      <c r="N1029">
        <v>686.84997559999999</v>
      </c>
      <c r="O1029">
        <f t="shared" si="182"/>
        <v>-2.3528644051608039E-2</v>
      </c>
      <c r="P1029">
        <v>111.8000031</v>
      </c>
      <c r="Q1029">
        <f t="shared" si="183"/>
        <v>-2.697996831618843E-2</v>
      </c>
      <c r="R1029">
        <v>307.7000122</v>
      </c>
      <c r="S1029">
        <f t="shared" si="184"/>
        <v>-2.1466051003702247E-2</v>
      </c>
      <c r="T1029">
        <v>3026.6000979999999</v>
      </c>
      <c r="U1029">
        <f t="shared" si="185"/>
        <v>-4.2927574955220482E-4</v>
      </c>
      <c r="W1029">
        <f t="shared" si="186"/>
        <v>-1.1897810844851831E-2</v>
      </c>
      <c r="X1029">
        <v>2.4919438513621773E-3</v>
      </c>
    </row>
    <row r="1030" spans="1:24" x14ac:dyDescent="0.35">
      <c r="A1030" s="1">
        <v>44337</v>
      </c>
      <c r="B1030">
        <v>1848.3530270000001</v>
      </c>
      <c r="C1030">
        <f t="shared" si="176"/>
        <v>8.6380701157260376E-3</v>
      </c>
      <c r="D1030">
        <v>3080.5</v>
      </c>
      <c r="E1030">
        <f t="shared" si="177"/>
        <v>6.6993464052287344E-3</v>
      </c>
      <c r="F1030">
        <v>1497.3000489999999</v>
      </c>
      <c r="G1030">
        <f t="shared" si="178"/>
        <v>4.5016748879243007E-2</v>
      </c>
      <c r="H1030">
        <v>521.16510010000002</v>
      </c>
      <c r="I1030">
        <f t="shared" si="179"/>
        <v>1.9782938926638183E-2</v>
      </c>
      <c r="J1030">
        <v>1354.5</v>
      </c>
      <c r="K1030">
        <f t="shared" si="180"/>
        <v>1.1349175273568601E-2</v>
      </c>
      <c r="L1030">
        <v>209.0500031</v>
      </c>
      <c r="M1030">
        <f t="shared" si="181"/>
        <v>9.9033966183574851E-3</v>
      </c>
      <c r="N1030">
        <v>690.40002440000001</v>
      </c>
      <c r="O1030">
        <f t="shared" si="182"/>
        <v>5.1685941997725582E-3</v>
      </c>
      <c r="P1030">
        <v>112.75</v>
      </c>
      <c r="Q1030">
        <f t="shared" si="183"/>
        <v>8.4972886731520259E-3</v>
      </c>
      <c r="R1030">
        <v>313.10000609999997</v>
      </c>
      <c r="S1030">
        <f t="shared" si="184"/>
        <v>1.7549540740642078E-2</v>
      </c>
      <c r="T1030">
        <v>3034.1499020000001</v>
      </c>
      <c r="U1030">
        <f t="shared" si="185"/>
        <v>2.4944834981632802E-3</v>
      </c>
      <c r="W1030">
        <f t="shared" si="186"/>
        <v>1.35099583330492E-2</v>
      </c>
      <c r="X1030">
        <v>2.5002372257074373E-3</v>
      </c>
    </row>
    <row r="1031" spans="1:24" x14ac:dyDescent="0.35">
      <c r="A1031" s="1">
        <v>44340</v>
      </c>
      <c r="B1031">
        <v>1832.7542719999999</v>
      </c>
      <c r="C1031">
        <f t="shared" si="176"/>
        <v>-8.4392725697634008E-3</v>
      </c>
      <c r="D1031">
        <v>3081.5</v>
      </c>
      <c r="E1031">
        <f t="shared" si="177"/>
        <v>3.246226261970353E-4</v>
      </c>
      <c r="F1031">
        <v>1509.9499510000001</v>
      </c>
      <c r="G1031">
        <f t="shared" si="178"/>
        <v>8.448474978978826E-3</v>
      </c>
      <c r="H1031">
        <v>517.0916138</v>
      </c>
      <c r="I1031">
        <f t="shared" si="179"/>
        <v>-7.8161148918421963E-3</v>
      </c>
      <c r="J1031">
        <v>1348.0500489999999</v>
      </c>
      <c r="K1031">
        <f t="shared" si="180"/>
        <v>-4.7618685861942067E-3</v>
      </c>
      <c r="L1031">
        <v>211.5</v>
      </c>
      <c r="M1031">
        <f t="shared" si="181"/>
        <v>1.1719669283276835E-2</v>
      </c>
      <c r="N1031">
        <v>690.95001219999995</v>
      </c>
      <c r="O1031">
        <f t="shared" si="182"/>
        <v>7.966219301309696E-4</v>
      </c>
      <c r="P1031">
        <v>113.0500031</v>
      </c>
      <c r="Q1031">
        <f t="shared" si="183"/>
        <v>2.6607813747228093E-3</v>
      </c>
      <c r="R1031">
        <v>311.85000609999997</v>
      </c>
      <c r="S1031">
        <f t="shared" si="184"/>
        <v>-3.9923346395617232E-3</v>
      </c>
      <c r="T1031">
        <v>3040.4499510000001</v>
      </c>
      <c r="U1031">
        <f t="shared" si="185"/>
        <v>2.0763802723942071E-3</v>
      </c>
      <c r="W1031">
        <f t="shared" si="186"/>
        <v>1.0169597783391554E-4</v>
      </c>
      <c r="X1031">
        <v>2.5356914356967184E-3</v>
      </c>
    </row>
    <row r="1032" spans="1:24" x14ac:dyDescent="0.35">
      <c r="A1032" s="1">
        <v>44341</v>
      </c>
      <c r="B1032">
        <v>1811.9868160000001</v>
      </c>
      <c r="C1032">
        <f t="shared" si="176"/>
        <v>-1.1331282276776378E-2</v>
      </c>
      <c r="D1032">
        <v>3114</v>
      </c>
      <c r="E1032">
        <f t="shared" si="177"/>
        <v>1.0546811617718754E-2</v>
      </c>
      <c r="F1032">
        <v>1478.9499510000001</v>
      </c>
      <c r="G1032">
        <f t="shared" si="178"/>
        <v>-2.0530481808002654E-2</v>
      </c>
      <c r="H1032">
        <v>516.40448000000004</v>
      </c>
      <c r="I1032">
        <f t="shared" si="179"/>
        <v>-1.3288434421714346E-3</v>
      </c>
      <c r="J1032">
        <v>1361.599976</v>
      </c>
      <c r="K1032">
        <f t="shared" si="180"/>
        <v>1.0051501433534726E-2</v>
      </c>
      <c r="L1032">
        <v>210.8999939</v>
      </c>
      <c r="M1032">
        <f t="shared" si="181"/>
        <v>-2.8369082742316643E-3</v>
      </c>
      <c r="N1032">
        <v>696.09997559999999</v>
      </c>
      <c r="O1032">
        <f t="shared" si="182"/>
        <v>7.4534529402532357E-3</v>
      </c>
      <c r="P1032">
        <v>114.5999985</v>
      </c>
      <c r="Q1032">
        <f t="shared" si="183"/>
        <v>1.3710706390949179E-2</v>
      </c>
      <c r="R1032">
        <v>315.25</v>
      </c>
      <c r="S1032">
        <f t="shared" si="184"/>
        <v>1.0902657795394566E-2</v>
      </c>
      <c r="T1032">
        <v>3103.8500979999999</v>
      </c>
      <c r="U1032">
        <f t="shared" si="185"/>
        <v>2.0852225171194672E-2</v>
      </c>
      <c r="W1032">
        <f t="shared" si="186"/>
        <v>3.7489839547863008E-3</v>
      </c>
      <c r="X1032">
        <v>2.5492629857752913E-3</v>
      </c>
    </row>
    <row r="1033" spans="1:24" x14ac:dyDescent="0.35">
      <c r="A1033" s="1">
        <v>44342</v>
      </c>
      <c r="B1033">
        <v>1818.3554690000001</v>
      </c>
      <c r="C1033">
        <f t="shared" si="176"/>
        <v>3.5147347341406565E-3</v>
      </c>
      <c r="D1033">
        <v>3158.5</v>
      </c>
      <c r="E1033">
        <f t="shared" si="177"/>
        <v>1.4290301862556198E-2</v>
      </c>
      <c r="F1033">
        <v>1477.0500489999999</v>
      </c>
      <c r="G1033">
        <f t="shared" si="178"/>
        <v>-1.2846290022968665E-3</v>
      </c>
      <c r="H1033">
        <v>516.06097409999995</v>
      </c>
      <c r="I1033">
        <f t="shared" si="179"/>
        <v>-6.651876838870141E-4</v>
      </c>
      <c r="J1033">
        <v>1397.25</v>
      </c>
      <c r="K1033">
        <f t="shared" si="180"/>
        <v>2.6182450520254807E-2</v>
      </c>
      <c r="L1033">
        <v>210.6000061</v>
      </c>
      <c r="M1033">
        <f t="shared" si="181"/>
        <v>-1.4224173005060736E-3</v>
      </c>
      <c r="N1033">
        <v>703.79998780000005</v>
      </c>
      <c r="O1033">
        <f t="shared" si="182"/>
        <v>1.1061646990237373E-2</v>
      </c>
      <c r="P1033">
        <v>113.3499985</v>
      </c>
      <c r="Q1033">
        <f t="shared" si="183"/>
        <v>-1.090750450577016E-2</v>
      </c>
      <c r="R1033">
        <v>315.5</v>
      </c>
      <c r="S1033">
        <f t="shared" si="184"/>
        <v>7.9302141157810979E-4</v>
      </c>
      <c r="T1033">
        <v>3096.1999510000001</v>
      </c>
      <c r="U1033">
        <f t="shared" si="185"/>
        <v>-2.4647282434577811E-3</v>
      </c>
      <c r="W1033">
        <f t="shared" si="186"/>
        <v>3.9097688782849249E-3</v>
      </c>
      <c r="X1033">
        <v>2.5904559478868161E-3</v>
      </c>
    </row>
    <row r="1034" spans="1:24" x14ac:dyDescent="0.35">
      <c r="A1034" s="1">
        <v>44343</v>
      </c>
      <c r="B1034">
        <v>1823.939697</v>
      </c>
      <c r="C1034">
        <f t="shared" si="176"/>
        <v>3.0710320920204204E-3</v>
      </c>
      <c r="D1034">
        <v>3180</v>
      </c>
      <c r="E1034">
        <f t="shared" si="177"/>
        <v>6.8070286528414403E-3</v>
      </c>
      <c r="F1034">
        <v>1482.650024</v>
      </c>
      <c r="G1034">
        <f t="shared" si="178"/>
        <v>3.791323796909607E-3</v>
      </c>
      <c r="H1034">
        <v>510.22061159999998</v>
      </c>
      <c r="I1034">
        <f t="shared" si="179"/>
        <v>-1.1317194659381968E-2</v>
      </c>
      <c r="J1034">
        <v>1402.25</v>
      </c>
      <c r="K1034">
        <f t="shared" si="180"/>
        <v>3.5784576847379679E-3</v>
      </c>
      <c r="L1034">
        <v>211.1499939</v>
      </c>
      <c r="M1034">
        <f t="shared" si="181"/>
        <v>2.6115279395522162E-3</v>
      </c>
      <c r="N1034">
        <v>699.5</v>
      </c>
      <c r="O1034">
        <f t="shared" si="182"/>
        <v>-6.1096730243507258E-3</v>
      </c>
      <c r="P1034">
        <v>111.8499985</v>
      </c>
      <c r="Q1034">
        <f t="shared" si="183"/>
        <v>-1.3233348212174922E-2</v>
      </c>
      <c r="R1034">
        <v>318.60000609999997</v>
      </c>
      <c r="S1034">
        <f t="shared" si="184"/>
        <v>9.8256928684625766E-3</v>
      </c>
      <c r="T1034">
        <v>3025.5</v>
      </c>
      <c r="U1034">
        <f t="shared" si="185"/>
        <v>-2.2834426755018122E-2</v>
      </c>
      <c r="W1034">
        <f t="shared" si="186"/>
        <v>-2.3809579616401507E-3</v>
      </c>
      <c r="X1034">
        <v>2.6073843139388089E-3</v>
      </c>
    </row>
    <row r="1035" spans="1:24" x14ac:dyDescent="0.35">
      <c r="A1035" s="1">
        <v>44344</v>
      </c>
      <c r="B1035">
        <v>1933.4997559999999</v>
      </c>
      <c r="C1035">
        <f t="shared" si="176"/>
        <v>6.0067807713272137E-2</v>
      </c>
      <c r="D1035">
        <v>3143.6000979999999</v>
      </c>
      <c r="E1035">
        <f t="shared" si="177"/>
        <v>-1.14465100628931E-2</v>
      </c>
      <c r="F1035">
        <v>1503.4499510000001</v>
      </c>
      <c r="G1035">
        <f t="shared" si="178"/>
        <v>1.4028885214519171E-2</v>
      </c>
      <c r="H1035">
        <v>513.95056150000005</v>
      </c>
      <c r="I1035">
        <f t="shared" si="179"/>
        <v>7.310464954175977E-3</v>
      </c>
      <c r="J1035">
        <v>1405.0500489999999</v>
      </c>
      <c r="K1035">
        <f t="shared" si="180"/>
        <v>1.9968258156533025E-3</v>
      </c>
      <c r="L1035">
        <v>212.8999939</v>
      </c>
      <c r="M1035">
        <f t="shared" si="181"/>
        <v>8.2879471965733309E-3</v>
      </c>
      <c r="N1035">
        <v>669.75</v>
      </c>
      <c r="O1035">
        <f t="shared" si="182"/>
        <v>-4.2530378842030037E-2</v>
      </c>
      <c r="P1035">
        <v>112.3499985</v>
      </c>
      <c r="Q1035">
        <f t="shared" si="183"/>
        <v>4.4702727465839587E-3</v>
      </c>
      <c r="R1035">
        <v>318.75</v>
      </c>
      <c r="S1035">
        <f t="shared" si="184"/>
        <v>4.7079063756494399E-4</v>
      </c>
      <c r="T1035">
        <v>3022.1000979999999</v>
      </c>
      <c r="U1035">
        <f t="shared" si="185"/>
        <v>-1.1237488018509545E-3</v>
      </c>
      <c r="W1035">
        <f t="shared" si="186"/>
        <v>4.1532356571568731E-3</v>
      </c>
      <c r="X1035">
        <v>2.6098630350929412E-3</v>
      </c>
    </row>
    <row r="1036" spans="1:24" x14ac:dyDescent="0.35">
      <c r="A1036" s="1">
        <v>44347</v>
      </c>
      <c r="B1036">
        <v>1993.956177</v>
      </c>
      <c r="C1036">
        <f t="shared" si="176"/>
        <v>3.1267871026305016E-2</v>
      </c>
      <c r="D1036">
        <v>3159.1499020000001</v>
      </c>
      <c r="E1036">
        <f t="shared" si="177"/>
        <v>4.9464955831670654E-3</v>
      </c>
      <c r="F1036">
        <v>1515.849976</v>
      </c>
      <c r="G1036">
        <f t="shared" si="178"/>
        <v>8.247713860878525E-3</v>
      </c>
      <c r="H1036">
        <v>525.04235840000001</v>
      </c>
      <c r="I1036">
        <f t="shared" si="179"/>
        <v>2.1581447187503322E-2</v>
      </c>
      <c r="J1036">
        <v>1393.75</v>
      </c>
      <c r="K1036">
        <f t="shared" si="180"/>
        <v>-8.0424530130028815E-3</v>
      </c>
      <c r="L1036">
        <v>216.6000061</v>
      </c>
      <c r="M1036">
        <f t="shared" si="181"/>
        <v>1.7379108999589388E-2</v>
      </c>
      <c r="N1036">
        <v>668.29998780000005</v>
      </c>
      <c r="O1036">
        <f t="shared" si="182"/>
        <v>-2.1650051511756807E-3</v>
      </c>
      <c r="P1036">
        <v>113.6500015</v>
      </c>
      <c r="Q1036">
        <f t="shared" si="183"/>
        <v>1.1571010390356129E-2</v>
      </c>
      <c r="R1036">
        <v>318.75</v>
      </c>
      <c r="S1036">
        <f t="shared" si="184"/>
        <v>0</v>
      </c>
      <c r="T1036">
        <v>3069.3999020000001</v>
      </c>
      <c r="U1036">
        <f t="shared" si="185"/>
        <v>1.5651302890762331E-2</v>
      </c>
      <c r="W1036">
        <f t="shared" si="186"/>
        <v>1.004374917743832E-2</v>
      </c>
      <c r="X1036">
        <v>2.6155975561040433E-3</v>
      </c>
    </row>
    <row r="1037" spans="1:24" x14ac:dyDescent="0.35">
      <c r="A1037" s="1">
        <v>44348</v>
      </c>
      <c r="B1037">
        <v>2001.894043</v>
      </c>
      <c r="C1037">
        <f t="shared" si="176"/>
        <v>3.9809631182279315E-3</v>
      </c>
      <c r="D1037">
        <v>3153</v>
      </c>
      <c r="E1037">
        <f t="shared" si="177"/>
        <v>-1.9466952157308759E-3</v>
      </c>
      <c r="F1037">
        <v>1511.6999510000001</v>
      </c>
      <c r="G1037">
        <f t="shared" si="178"/>
        <v>-2.7377544385698283E-3</v>
      </c>
      <c r="H1037">
        <v>523.07916260000002</v>
      </c>
      <c r="I1037">
        <f t="shared" si="179"/>
        <v>-3.7391188893456384E-3</v>
      </c>
      <c r="J1037">
        <v>1387.1999510000001</v>
      </c>
      <c r="K1037">
        <f t="shared" si="180"/>
        <v>-4.6995867264573166E-3</v>
      </c>
      <c r="L1037">
        <v>215.25</v>
      </c>
      <c r="M1037">
        <f t="shared" si="181"/>
        <v>-6.2327149675920346E-3</v>
      </c>
      <c r="N1037">
        <v>671.04998780000005</v>
      </c>
      <c r="O1037">
        <f t="shared" si="182"/>
        <v>4.1149185249169662E-3</v>
      </c>
      <c r="P1037">
        <v>117.5999985</v>
      </c>
      <c r="Q1037">
        <f t="shared" si="183"/>
        <v>3.4755802444929929E-2</v>
      </c>
      <c r="R1037">
        <v>318.10000609999997</v>
      </c>
      <c r="S1037">
        <f t="shared" si="184"/>
        <v>-2.0391965490197395E-3</v>
      </c>
      <c r="T1037">
        <v>3044.8000489999999</v>
      </c>
      <c r="U1037">
        <f t="shared" si="185"/>
        <v>-8.0145480502462618E-3</v>
      </c>
      <c r="W1037">
        <f t="shared" si="186"/>
        <v>1.344206925111313E-3</v>
      </c>
      <c r="X1037">
        <v>2.6209132790355636E-3</v>
      </c>
    </row>
    <row r="1038" spans="1:24" x14ac:dyDescent="0.35">
      <c r="A1038" s="1">
        <v>44349</v>
      </c>
      <c r="B1038">
        <v>2031.753052</v>
      </c>
      <c r="C1038">
        <f t="shared" si="176"/>
        <v>1.4915379315108002E-2</v>
      </c>
      <c r="D1038">
        <v>3129.4499510000001</v>
      </c>
      <c r="E1038">
        <f t="shared" si="177"/>
        <v>-7.4690926102124466E-3</v>
      </c>
      <c r="F1038">
        <v>1504</v>
      </c>
      <c r="G1038">
        <f t="shared" si="178"/>
        <v>-5.0935709794172057E-3</v>
      </c>
      <c r="H1038">
        <v>519.74182129999997</v>
      </c>
      <c r="I1038">
        <f t="shared" si="179"/>
        <v>-6.380183992441113E-3</v>
      </c>
      <c r="J1038">
        <v>1378.650024</v>
      </c>
      <c r="K1038">
        <f t="shared" si="180"/>
        <v>-6.1634424034088253E-3</v>
      </c>
      <c r="L1038">
        <v>209</v>
      </c>
      <c r="M1038">
        <f t="shared" si="181"/>
        <v>-2.9036004645760727E-2</v>
      </c>
      <c r="N1038">
        <v>677.45001219999995</v>
      </c>
      <c r="O1038">
        <f t="shared" si="182"/>
        <v>9.5373288374269727E-3</v>
      </c>
      <c r="P1038">
        <v>117.75</v>
      </c>
      <c r="Q1038">
        <f t="shared" si="183"/>
        <v>1.2755229754530806E-3</v>
      </c>
      <c r="R1038">
        <v>323</v>
      </c>
      <c r="S1038">
        <f t="shared" si="184"/>
        <v>1.5403941546796585E-2</v>
      </c>
      <c r="T1038">
        <v>3066.1999510000001</v>
      </c>
      <c r="U1038">
        <f t="shared" si="185"/>
        <v>7.0283439489002841E-3</v>
      </c>
      <c r="W1038">
        <f t="shared" si="186"/>
        <v>-5.9817780075553922E-4</v>
      </c>
      <c r="X1038">
        <v>2.6279130856484371E-3</v>
      </c>
    </row>
    <row r="1039" spans="1:24" x14ac:dyDescent="0.35">
      <c r="A1039" s="1">
        <v>44350</v>
      </c>
      <c r="B1039">
        <v>2039.506226</v>
      </c>
      <c r="C1039">
        <f t="shared" si="176"/>
        <v>3.8160021427642299E-3</v>
      </c>
      <c r="D1039">
        <v>3141.25</v>
      </c>
      <c r="E1039">
        <f t="shared" si="177"/>
        <v>3.7706463387372491E-3</v>
      </c>
      <c r="F1039">
        <v>1520.5500489999999</v>
      </c>
      <c r="G1039">
        <f t="shared" si="178"/>
        <v>1.1004021941489306E-2</v>
      </c>
      <c r="H1039">
        <v>522.24487299999998</v>
      </c>
      <c r="I1039">
        <f t="shared" si="179"/>
        <v>4.8159520697013125E-3</v>
      </c>
      <c r="J1039">
        <v>1389.650024</v>
      </c>
      <c r="K1039">
        <f t="shared" si="180"/>
        <v>7.9788197211099199E-3</v>
      </c>
      <c r="L1039">
        <v>209.0500031</v>
      </c>
      <c r="M1039">
        <f t="shared" si="181"/>
        <v>2.3924928229668296E-4</v>
      </c>
      <c r="N1039">
        <v>675.5</v>
      </c>
      <c r="O1039">
        <f t="shared" si="182"/>
        <v>-2.8784591702454287E-3</v>
      </c>
      <c r="P1039">
        <v>122.5</v>
      </c>
      <c r="Q1039">
        <f t="shared" si="183"/>
        <v>4.0339702760084917E-2</v>
      </c>
      <c r="R1039">
        <v>325.64999390000003</v>
      </c>
      <c r="S1039">
        <f t="shared" si="184"/>
        <v>8.2043154798763229E-3</v>
      </c>
      <c r="T1039">
        <v>3192.6999510000001</v>
      </c>
      <c r="U1039">
        <f t="shared" si="185"/>
        <v>4.12562787885844E-2</v>
      </c>
      <c r="W1039">
        <f t="shared" si="186"/>
        <v>1.1854652935439892E-2</v>
      </c>
      <c r="X1039">
        <v>2.6291277077920561E-3</v>
      </c>
    </row>
    <row r="1040" spans="1:24" x14ac:dyDescent="0.35">
      <c r="A1040" s="1">
        <v>44351</v>
      </c>
      <c r="B1040">
        <v>2021.830811</v>
      </c>
      <c r="C1040">
        <f t="shared" si="176"/>
        <v>-8.6665168140555027E-3</v>
      </c>
      <c r="D1040">
        <v>3143.75</v>
      </c>
      <c r="E1040">
        <f t="shared" si="177"/>
        <v>7.9586152009558653E-4</v>
      </c>
      <c r="F1040">
        <v>1500.9499510000001</v>
      </c>
      <c r="G1040">
        <f t="shared" si="178"/>
        <v>-1.2890136706049216E-2</v>
      </c>
      <c r="H1040">
        <v>522.88287349999996</v>
      </c>
      <c r="I1040">
        <f t="shared" si="179"/>
        <v>1.2216500974628897E-3</v>
      </c>
      <c r="J1040">
        <v>1385.650024</v>
      </c>
      <c r="K1040">
        <f t="shared" si="180"/>
        <v>-2.8784225746899539E-3</v>
      </c>
      <c r="L1040">
        <v>208.75</v>
      </c>
      <c r="M1040">
        <f t="shared" si="181"/>
        <v>-1.4350781896735887E-3</v>
      </c>
      <c r="N1040">
        <v>673.95001219999995</v>
      </c>
      <c r="O1040">
        <f t="shared" si="182"/>
        <v>-2.2945785344190561E-3</v>
      </c>
      <c r="P1040">
        <v>125.4499969</v>
      </c>
      <c r="Q1040">
        <f t="shared" si="183"/>
        <v>2.408160734693876E-2</v>
      </c>
      <c r="R1040">
        <v>334.9500122</v>
      </c>
      <c r="S1040">
        <f t="shared" si="184"/>
        <v>2.8558324809475621E-2</v>
      </c>
      <c r="T1040">
        <v>3197</v>
      </c>
      <c r="U1040">
        <f t="shared" si="185"/>
        <v>1.3468378068703935E-3</v>
      </c>
      <c r="W1040">
        <f t="shared" si="186"/>
        <v>2.7839548761955939E-3</v>
      </c>
      <c r="X1040">
        <v>2.6421337560113898E-3</v>
      </c>
    </row>
    <row r="1041" spans="1:24" x14ac:dyDescent="0.35">
      <c r="A1041" s="1">
        <v>44354</v>
      </c>
      <c r="B1041">
        <v>2055.889404</v>
      </c>
      <c r="C1041">
        <f t="shared" si="176"/>
        <v>1.6845421889260193E-2</v>
      </c>
      <c r="D1041">
        <v>3183.1999510000001</v>
      </c>
      <c r="E1041">
        <f t="shared" si="177"/>
        <v>1.2548692166997943E-2</v>
      </c>
      <c r="F1041">
        <v>1499.849976</v>
      </c>
      <c r="G1041">
        <f t="shared" si="178"/>
        <v>-7.3285255065780319E-4</v>
      </c>
      <c r="H1041">
        <v>526.56378170000005</v>
      </c>
      <c r="I1041">
        <f t="shared" si="179"/>
        <v>7.0396419285285727E-3</v>
      </c>
      <c r="J1041">
        <v>1389.650024</v>
      </c>
      <c r="K1041">
        <f t="shared" si="180"/>
        <v>2.8867318086951421E-3</v>
      </c>
      <c r="L1041">
        <v>211.4499969</v>
      </c>
      <c r="M1041">
        <f t="shared" si="181"/>
        <v>1.2934116886227587E-2</v>
      </c>
      <c r="N1041">
        <v>675.34997559999999</v>
      </c>
      <c r="O1041">
        <f t="shared" si="182"/>
        <v>2.0772510937867583E-3</v>
      </c>
      <c r="P1041">
        <v>125.1500015</v>
      </c>
      <c r="Q1041">
        <f t="shared" si="183"/>
        <v>-2.3913543835248907E-3</v>
      </c>
      <c r="R1041">
        <v>345.5</v>
      </c>
      <c r="S1041">
        <f t="shared" si="184"/>
        <v>3.1497200823209948E-2</v>
      </c>
      <c r="T1041">
        <v>3188.9499510000001</v>
      </c>
      <c r="U1041">
        <f t="shared" si="185"/>
        <v>-2.5180009383797275E-3</v>
      </c>
      <c r="W1041">
        <f t="shared" si="186"/>
        <v>8.0186848724143733E-3</v>
      </c>
      <c r="X1041">
        <v>2.6465299468343417E-3</v>
      </c>
    </row>
    <row r="1042" spans="1:24" x14ac:dyDescent="0.35">
      <c r="A1042" s="1">
        <v>44355</v>
      </c>
      <c r="B1042">
        <v>2044.075073</v>
      </c>
      <c r="C1042">
        <f t="shared" si="176"/>
        <v>-5.7465790606312517E-3</v>
      </c>
      <c r="D1042">
        <v>3200.1499020000001</v>
      </c>
      <c r="E1042">
        <f t="shared" si="177"/>
        <v>5.3248150480385004E-3</v>
      </c>
      <c r="F1042">
        <v>1483.0500489999999</v>
      </c>
      <c r="G1042">
        <f t="shared" si="178"/>
        <v>-1.120107161971251E-2</v>
      </c>
      <c r="H1042">
        <v>536.72302249999996</v>
      </c>
      <c r="I1042">
        <f t="shared" si="179"/>
        <v>1.9293466723444341E-2</v>
      </c>
      <c r="J1042">
        <v>1412.9499510000001</v>
      </c>
      <c r="K1042">
        <f t="shared" si="180"/>
        <v>1.6766758966356932E-2</v>
      </c>
      <c r="L1042">
        <v>213.6499939</v>
      </c>
      <c r="M1042">
        <f t="shared" si="181"/>
        <v>1.0404336875164066E-2</v>
      </c>
      <c r="N1042">
        <v>678.75</v>
      </c>
      <c r="O1042">
        <f t="shared" si="182"/>
        <v>5.034462904924597E-3</v>
      </c>
      <c r="P1042">
        <v>124.8000031</v>
      </c>
      <c r="Q1042">
        <f t="shared" si="183"/>
        <v>-2.7966312089896528E-3</v>
      </c>
      <c r="R1042">
        <v>352.75</v>
      </c>
      <c r="S1042">
        <f t="shared" si="184"/>
        <v>2.0984081041968139E-2</v>
      </c>
      <c r="T1042">
        <v>3179.8000489999999</v>
      </c>
      <c r="U1042">
        <f t="shared" si="185"/>
        <v>-2.8692523058039265E-3</v>
      </c>
      <c r="W1042">
        <f t="shared" si="186"/>
        <v>5.5194387364759243E-3</v>
      </c>
      <c r="X1042">
        <v>2.673172513258615E-3</v>
      </c>
    </row>
    <row r="1043" spans="1:24" x14ac:dyDescent="0.35">
      <c r="A1043" s="1">
        <v>44356</v>
      </c>
      <c r="B1043">
        <v>2007.5242920000001</v>
      </c>
      <c r="C1043">
        <f t="shared" si="176"/>
        <v>-1.7881330036648713E-2</v>
      </c>
      <c r="D1043">
        <v>3200.25</v>
      </c>
      <c r="E1043">
        <f t="shared" si="177"/>
        <v>3.1279159747210628E-5</v>
      </c>
      <c r="F1043">
        <v>1480.3000489999999</v>
      </c>
      <c r="G1043">
        <f t="shared" si="178"/>
        <v>-1.8542867126124518E-3</v>
      </c>
      <c r="H1043">
        <v>530.04833980000001</v>
      </c>
      <c r="I1043">
        <f t="shared" si="179"/>
        <v>-1.243599104228843E-2</v>
      </c>
      <c r="J1043">
        <v>1415.3000489999999</v>
      </c>
      <c r="K1043">
        <f t="shared" si="180"/>
        <v>1.663256365405319E-3</v>
      </c>
      <c r="L1043">
        <v>212.5</v>
      </c>
      <c r="M1043">
        <f t="shared" si="181"/>
        <v>-5.3826067532595223E-3</v>
      </c>
      <c r="N1043">
        <v>672.84997559999999</v>
      </c>
      <c r="O1043">
        <f t="shared" si="182"/>
        <v>-8.6924853038674588E-3</v>
      </c>
      <c r="P1043">
        <v>124.0500031</v>
      </c>
      <c r="Q1043">
        <f t="shared" si="183"/>
        <v>-6.0096152353380505E-3</v>
      </c>
      <c r="R1043">
        <v>343.35000609999997</v>
      </c>
      <c r="S1043">
        <f t="shared" si="184"/>
        <v>-2.6647750248051105E-2</v>
      </c>
      <c r="T1043">
        <v>3194.6999510000001</v>
      </c>
      <c r="U1043">
        <f t="shared" si="185"/>
        <v>4.6857984056847268E-3</v>
      </c>
      <c r="W1043">
        <f t="shared" si="186"/>
        <v>-7.2523731401228485E-3</v>
      </c>
      <c r="X1043">
        <v>2.6845240044882542E-3</v>
      </c>
    </row>
    <row r="1044" spans="1:24" x14ac:dyDescent="0.35">
      <c r="A1044" s="1">
        <v>44357</v>
      </c>
      <c r="B1044">
        <v>2014.9083250000001</v>
      </c>
      <c r="C1044">
        <f t="shared" si="176"/>
        <v>3.6781786548862883E-3</v>
      </c>
      <c r="D1044">
        <v>3216.8000489999999</v>
      </c>
      <c r="E1044">
        <f t="shared" si="177"/>
        <v>5.1714862901335312E-3</v>
      </c>
      <c r="F1044">
        <v>1481.0500489999999</v>
      </c>
      <c r="G1044">
        <f t="shared" si="178"/>
        <v>5.066540398392938E-4</v>
      </c>
      <c r="H1044">
        <v>535.10345459999996</v>
      </c>
      <c r="I1044">
        <f t="shared" si="179"/>
        <v>9.5370826025176214E-3</v>
      </c>
      <c r="J1044">
        <v>1424.3000489999999</v>
      </c>
      <c r="K1044">
        <f t="shared" si="180"/>
        <v>6.359075594153385E-3</v>
      </c>
      <c r="L1044">
        <v>209.3000031</v>
      </c>
      <c r="M1044">
        <f t="shared" si="181"/>
        <v>-1.5058808941176505E-2</v>
      </c>
      <c r="N1044">
        <v>676.04998780000005</v>
      </c>
      <c r="O1044">
        <f t="shared" si="182"/>
        <v>4.7559074326286588E-3</v>
      </c>
      <c r="P1044">
        <v>123.9499969</v>
      </c>
      <c r="Q1044">
        <f t="shared" si="183"/>
        <v>-8.0617652157077835E-4</v>
      </c>
      <c r="R1044">
        <v>344.75</v>
      </c>
      <c r="S1044">
        <f t="shared" si="184"/>
        <v>4.0774541288117749E-3</v>
      </c>
      <c r="T1044">
        <v>3194.5</v>
      </c>
      <c r="U1044">
        <f t="shared" si="185"/>
        <v>-6.2588350413728122E-5</v>
      </c>
      <c r="W1044">
        <f t="shared" si="186"/>
        <v>1.8158264929809542E-3</v>
      </c>
      <c r="X1044">
        <v>2.6963285928296443E-3</v>
      </c>
    </row>
    <row r="1045" spans="1:24" x14ac:dyDescent="0.35">
      <c r="A1045" s="1">
        <v>44358</v>
      </c>
      <c r="B1045">
        <v>2042.7366939999999</v>
      </c>
      <c r="C1045">
        <f t="shared" si="176"/>
        <v>1.3811233322488681E-2</v>
      </c>
      <c r="D1045">
        <v>3273.8000489999999</v>
      </c>
      <c r="E1045">
        <f t="shared" si="177"/>
        <v>1.7719472498055833E-2</v>
      </c>
      <c r="F1045">
        <v>1486.349976</v>
      </c>
      <c r="G1045">
        <f t="shared" si="178"/>
        <v>3.5784928426818574E-3</v>
      </c>
      <c r="H1045">
        <v>530.8826904</v>
      </c>
      <c r="I1045">
        <f t="shared" si="179"/>
        <v>-7.8877535992644132E-3</v>
      </c>
      <c r="J1045">
        <v>1446.900024</v>
      </c>
      <c r="K1045">
        <f t="shared" si="180"/>
        <v>1.5867425558166337E-2</v>
      </c>
      <c r="L1045">
        <v>207.8999939</v>
      </c>
      <c r="M1045">
        <f t="shared" si="181"/>
        <v>-6.6890070676736135E-3</v>
      </c>
      <c r="N1045">
        <v>681.29998780000005</v>
      </c>
      <c r="O1045">
        <f t="shared" si="182"/>
        <v>7.7656979435567486E-3</v>
      </c>
      <c r="P1045">
        <v>123.5500031</v>
      </c>
      <c r="Q1045">
        <f t="shared" si="183"/>
        <v>-3.2270577652592225E-3</v>
      </c>
      <c r="R1045">
        <v>350.75</v>
      </c>
      <c r="S1045">
        <f t="shared" si="184"/>
        <v>1.7403915881073262E-2</v>
      </c>
      <c r="T1045">
        <v>3175.5500489999999</v>
      </c>
      <c r="U1045">
        <f t="shared" si="185"/>
        <v>-5.9320554077320065E-3</v>
      </c>
      <c r="W1045">
        <f t="shared" si="186"/>
        <v>5.2410364206093461E-3</v>
      </c>
      <c r="X1045">
        <v>2.7340589722269831E-3</v>
      </c>
    </row>
    <row r="1046" spans="1:24" x14ac:dyDescent="0.35">
      <c r="A1046" s="1">
        <v>44361</v>
      </c>
      <c r="B1046">
        <v>2072.0419919999999</v>
      </c>
      <c r="C1046">
        <f t="shared" si="176"/>
        <v>1.4346096629133109E-2</v>
      </c>
      <c r="D1046">
        <v>3276.3500979999999</v>
      </c>
      <c r="E1046">
        <f t="shared" si="177"/>
        <v>7.7892631249087962E-4</v>
      </c>
      <c r="F1046">
        <v>1479.4499510000001</v>
      </c>
      <c r="G1046">
        <f t="shared" si="178"/>
        <v>-4.6422613189451845E-3</v>
      </c>
      <c r="H1046">
        <v>529.4103394</v>
      </c>
      <c r="I1046">
        <f t="shared" si="179"/>
        <v>-2.7734017827755197E-3</v>
      </c>
      <c r="J1046">
        <v>1461.8000489999999</v>
      </c>
      <c r="K1046">
        <f t="shared" si="180"/>
        <v>1.0297895329912432E-2</v>
      </c>
      <c r="L1046">
        <v>207.3000031</v>
      </c>
      <c r="M1046">
        <f t="shared" si="181"/>
        <v>-2.8859587186356173E-3</v>
      </c>
      <c r="N1046">
        <v>677.09997559999999</v>
      </c>
      <c r="O1046">
        <f t="shared" si="182"/>
        <v>-6.1647031780558414E-3</v>
      </c>
      <c r="P1046">
        <v>124.8000031</v>
      </c>
      <c r="Q1046">
        <f t="shared" si="183"/>
        <v>1.0117361138293646E-2</v>
      </c>
      <c r="R1046">
        <v>355.9500122</v>
      </c>
      <c r="S1046">
        <f t="shared" si="184"/>
        <v>1.4825408980755572E-2</v>
      </c>
      <c r="T1046">
        <v>3274.1000979999999</v>
      </c>
      <c r="U1046">
        <f t="shared" si="185"/>
        <v>3.1034009062786971E-2</v>
      </c>
      <c r="W1046">
        <f t="shared" si="186"/>
        <v>6.4933372454960446E-3</v>
      </c>
      <c r="X1046">
        <v>2.74156844690936E-3</v>
      </c>
    </row>
    <row r="1047" spans="1:24" x14ac:dyDescent="0.35">
      <c r="A1047" s="1">
        <v>44362</v>
      </c>
      <c r="B1047">
        <v>2076.749268</v>
      </c>
      <c r="C1047">
        <f t="shared" si="176"/>
        <v>2.2718053100152513E-3</v>
      </c>
      <c r="D1047">
        <v>3262.75</v>
      </c>
      <c r="E1047">
        <f t="shared" si="177"/>
        <v>-4.150990459872328E-3</v>
      </c>
      <c r="F1047">
        <v>1490.25</v>
      </c>
      <c r="G1047">
        <f t="shared" si="178"/>
        <v>7.3000435010996956E-3</v>
      </c>
      <c r="H1047">
        <v>532.50225829999999</v>
      </c>
      <c r="I1047">
        <f t="shared" si="179"/>
        <v>5.840306979089549E-3</v>
      </c>
      <c r="J1047">
        <v>1473.900024</v>
      </c>
      <c r="K1047">
        <f t="shared" si="180"/>
        <v>8.2774487579730938E-3</v>
      </c>
      <c r="L1047">
        <v>207.0500031</v>
      </c>
      <c r="M1047">
        <f t="shared" si="181"/>
        <v>-1.2059816510441301E-3</v>
      </c>
      <c r="N1047">
        <v>673.20001219999995</v>
      </c>
      <c r="O1047">
        <f t="shared" si="182"/>
        <v>-5.7598043723811054E-3</v>
      </c>
      <c r="P1047">
        <v>125.3499985</v>
      </c>
      <c r="Q1047">
        <f t="shared" si="183"/>
        <v>4.4070143136079043E-3</v>
      </c>
      <c r="R1047">
        <v>352.7000122</v>
      </c>
      <c r="S1047">
        <f t="shared" si="184"/>
        <v>-9.1304955432166546E-3</v>
      </c>
      <c r="T1047">
        <v>3359.5</v>
      </c>
      <c r="U1047">
        <f t="shared" si="185"/>
        <v>2.6083473151039982E-2</v>
      </c>
      <c r="W1047">
        <f t="shared" si="186"/>
        <v>3.3932819986311263E-3</v>
      </c>
      <c r="X1047">
        <v>2.7422330347619314E-3</v>
      </c>
    </row>
    <row r="1048" spans="1:24" x14ac:dyDescent="0.35">
      <c r="A1048" s="1">
        <v>44363</v>
      </c>
      <c r="B1048">
        <v>2041.30603</v>
      </c>
      <c r="C1048">
        <f t="shared" si="176"/>
        <v>-1.7066690980049537E-2</v>
      </c>
      <c r="D1048">
        <v>3274.3500979999999</v>
      </c>
      <c r="E1048">
        <f t="shared" si="177"/>
        <v>3.5553131560799311E-3</v>
      </c>
      <c r="F1048">
        <v>1484.599976</v>
      </c>
      <c r="G1048">
        <f t="shared" si="178"/>
        <v>-3.7913262875356457E-3</v>
      </c>
      <c r="H1048">
        <v>526.85821529999998</v>
      </c>
      <c r="I1048">
        <f t="shared" si="179"/>
        <v>-1.0599096833914801E-2</v>
      </c>
      <c r="J1048">
        <v>1480.599976</v>
      </c>
      <c r="K1048">
        <f t="shared" si="180"/>
        <v>4.5457303011753325E-3</v>
      </c>
      <c r="L1048">
        <v>207.8500061</v>
      </c>
      <c r="M1048">
        <f t="shared" si="181"/>
        <v>3.8638154456516194E-3</v>
      </c>
      <c r="N1048">
        <v>668.54998780000005</v>
      </c>
      <c r="O1048">
        <f t="shared" si="182"/>
        <v>-6.9073444975197296E-3</v>
      </c>
      <c r="P1048">
        <v>126.6999969</v>
      </c>
      <c r="Q1048">
        <f t="shared" si="183"/>
        <v>1.0769831800197416E-2</v>
      </c>
      <c r="R1048">
        <v>349.35000609999997</v>
      </c>
      <c r="S1048">
        <f t="shared" si="184"/>
        <v>-9.4981740406075987E-3</v>
      </c>
      <c r="T1048">
        <v>3310.3999020000001</v>
      </c>
      <c r="U1048">
        <f t="shared" si="185"/>
        <v>-1.4615299300491102E-2</v>
      </c>
      <c r="W1048">
        <f t="shared" si="186"/>
        <v>-3.9743241237014115E-3</v>
      </c>
      <c r="X1048">
        <v>2.7545043356498986E-3</v>
      </c>
    </row>
    <row r="1049" spans="1:24" x14ac:dyDescent="0.35">
      <c r="A1049" s="1">
        <v>44364</v>
      </c>
      <c r="B1049">
        <v>2045.044189</v>
      </c>
      <c r="C1049">
        <f t="shared" si="176"/>
        <v>1.8312584909181417E-3</v>
      </c>
      <c r="D1049">
        <v>3317.75</v>
      </c>
      <c r="E1049">
        <f t="shared" si="177"/>
        <v>1.3254508742516213E-2</v>
      </c>
      <c r="F1049">
        <v>1466.099976</v>
      </c>
      <c r="G1049">
        <f t="shared" si="178"/>
        <v>-1.2461269230143124E-2</v>
      </c>
      <c r="H1049">
        <v>518.90753170000005</v>
      </c>
      <c r="I1049">
        <f t="shared" si="179"/>
        <v>-1.5090746180113634E-2</v>
      </c>
      <c r="J1049">
        <v>1495.3000489999999</v>
      </c>
      <c r="K1049">
        <f t="shared" si="180"/>
        <v>9.9284568676771823E-3</v>
      </c>
      <c r="L1049">
        <v>205.6499939</v>
      </c>
      <c r="M1049">
        <f t="shared" si="181"/>
        <v>-1.0584614555852023E-2</v>
      </c>
      <c r="N1049">
        <v>665.04998780000005</v>
      </c>
      <c r="O1049">
        <f t="shared" si="182"/>
        <v>-5.2352106257864683E-3</v>
      </c>
      <c r="P1049">
        <v>125.0999985</v>
      </c>
      <c r="Q1049">
        <f t="shared" si="183"/>
        <v>-1.2628243402901029E-2</v>
      </c>
      <c r="R1049">
        <v>345.64999390000003</v>
      </c>
      <c r="S1049">
        <f t="shared" si="184"/>
        <v>-1.0591132490035848E-2</v>
      </c>
      <c r="T1049">
        <v>3285.5500489999999</v>
      </c>
      <c r="U1049">
        <f t="shared" si="185"/>
        <v>-7.5066015392843966E-3</v>
      </c>
      <c r="W1049">
        <f t="shared" si="186"/>
        <v>-4.9083593923004987E-3</v>
      </c>
      <c r="X1049">
        <v>2.767757210372002E-3</v>
      </c>
    </row>
    <row r="1050" spans="1:24" x14ac:dyDescent="0.35">
      <c r="A1050" s="1">
        <v>44365</v>
      </c>
      <c r="B1050">
        <v>2054.2741700000001</v>
      </c>
      <c r="C1050">
        <f t="shared" si="176"/>
        <v>4.5133406161328438E-3</v>
      </c>
      <c r="D1050">
        <v>3297.3000489999999</v>
      </c>
      <c r="E1050">
        <f t="shared" si="177"/>
        <v>-6.1638010700022505E-3</v>
      </c>
      <c r="F1050">
        <v>1479.8000489999999</v>
      </c>
      <c r="G1050">
        <f t="shared" si="178"/>
        <v>9.3445694183682537E-3</v>
      </c>
      <c r="H1050">
        <v>528.82135010000002</v>
      </c>
      <c r="I1050">
        <f t="shared" si="179"/>
        <v>1.9105173454548208E-2</v>
      </c>
      <c r="J1050">
        <v>1503.3000489999999</v>
      </c>
      <c r="K1050">
        <f t="shared" si="180"/>
        <v>5.350096795188497E-3</v>
      </c>
      <c r="L1050">
        <v>204.5500031</v>
      </c>
      <c r="M1050">
        <f t="shared" si="181"/>
        <v>-5.3488491739751565E-3</v>
      </c>
      <c r="N1050">
        <v>668.5</v>
      </c>
      <c r="O1050">
        <f t="shared" si="182"/>
        <v>5.1875983208611309E-3</v>
      </c>
      <c r="P1050">
        <v>120.25</v>
      </c>
      <c r="Q1050">
        <f t="shared" si="183"/>
        <v>-3.8768973286598341E-2</v>
      </c>
      <c r="R1050">
        <v>337.39999390000003</v>
      </c>
      <c r="S1050">
        <f t="shared" si="184"/>
        <v>-2.3868075063200545E-2</v>
      </c>
      <c r="T1050">
        <v>3317.6999510000001</v>
      </c>
      <c r="U1050">
        <f t="shared" si="185"/>
        <v>9.7852418987758316E-3</v>
      </c>
      <c r="W1050">
        <f t="shared" si="186"/>
        <v>-2.0863678089901539E-3</v>
      </c>
      <c r="X1050">
        <v>2.7738426223341221E-3</v>
      </c>
    </row>
    <row r="1051" spans="1:24" x14ac:dyDescent="0.35">
      <c r="A1051" s="1">
        <v>44368</v>
      </c>
      <c r="B1051">
        <v>2064.9809570000002</v>
      </c>
      <c r="C1051">
        <f t="shared" si="176"/>
        <v>5.211956201542467E-3</v>
      </c>
      <c r="D1051">
        <v>3273.1000979999999</v>
      </c>
      <c r="E1051">
        <f t="shared" si="177"/>
        <v>-7.3393232767334782E-3</v>
      </c>
      <c r="F1051">
        <v>1488.6999510000001</v>
      </c>
      <c r="G1051">
        <f t="shared" si="178"/>
        <v>6.0142598359922417E-3</v>
      </c>
      <c r="H1051">
        <v>529.65570070000001</v>
      </c>
      <c r="I1051">
        <f t="shared" si="179"/>
        <v>1.5777551338316265E-3</v>
      </c>
      <c r="J1051">
        <v>1500.3000489999999</v>
      </c>
      <c r="K1051">
        <f t="shared" si="180"/>
        <v>-1.9956095937039287E-3</v>
      </c>
      <c r="L1051">
        <v>204.4499969</v>
      </c>
      <c r="M1051">
        <f t="shared" si="181"/>
        <v>-4.8890832796077976E-4</v>
      </c>
      <c r="N1051">
        <v>671.34997559999999</v>
      </c>
      <c r="O1051">
        <f t="shared" si="182"/>
        <v>4.2632394913986182E-3</v>
      </c>
      <c r="P1051">
        <v>120.9499969</v>
      </c>
      <c r="Q1051">
        <f t="shared" si="183"/>
        <v>5.8211800415801651E-3</v>
      </c>
      <c r="R1051">
        <v>334.2999878</v>
      </c>
      <c r="S1051">
        <f t="shared" si="184"/>
        <v>-9.1879257736999786E-3</v>
      </c>
      <c r="T1051">
        <v>3311</v>
      </c>
      <c r="U1051">
        <f t="shared" si="185"/>
        <v>-2.0194565810511822E-3</v>
      </c>
      <c r="W1051">
        <f t="shared" si="186"/>
        <v>1.8571671511957716E-4</v>
      </c>
      <c r="X1051">
        <v>2.7839548761955939E-3</v>
      </c>
    </row>
    <row r="1052" spans="1:24" x14ac:dyDescent="0.35">
      <c r="A1052" s="1">
        <v>44369</v>
      </c>
      <c r="B1052">
        <v>2054.3664549999999</v>
      </c>
      <c r="C1052">
        <f t="shared" si="176"/>
        <v>-5.1402420753656752E-3</v>
      </c>
      <c r="D1052">
        <v>3301.1999510000001</v>
      </c>
      <c r="E1052">
        <f t="shared" si="177"/>
        <v>8.58508819121373E-3</v>
      </c>
      <c r="F1052">
        <v>1483.8000489999999</v>
      </c>
      <c r="G1052">
        <f t="shared" si="178"/>
        <v>-3.2913966287891894E-3</v>
      </c>
      <c r="H1052">
        <v>526.51470949999998</v>
      </c>
      <c r="I1052">
        <f t="shared" si="179"/>
        <v>-5.930250907993373E-3</v>
      </c>
      <c r="J1052">
        <v>1511.849976</v>
      </c>
      <c r="K1052">
        <f t="shared" si="180"/>
        <v>7.6984113995719472E-3</v>
      </c>
      <c r="L1052">
        <v>205.1000061</v>
      </c>
      <c r="M1052">
        <f t="shared" si="181"/>
        <v>3.1793064800971216E-3</v>
      </c>
      <c r="N1052">
        <v>666.79998780000005</v>
      </c>
      <c r="O1052">
        <f t="shared" si="182"/>
        <v>-6.777370917357306E-3</v>
      </c>
      <c r="P1052">
        <v>122.0500031</v>
      </c>
      <c r="Q1052">
        <f t="shared" si="183"/>
        <v>9.0947187118117778E-3</v>
      </c>
      <c r="R1052">
        <v>337.89999390000003</v>
      </c>
      <c r="S1052">
        <f t="shared" si="184"/>
        <v>1.0768789205441998E-2</v>
      </c>
      <c r="T1052">
        <v>3373.8000489999999</v>
      </c>
      <c r="U1052">
        <f t="shared" si="185"/>
        <v>1.8967094231350012E-2</v>
      </c>
      <c r="W1052">
        <f t="shared" si="186"/>
        <v>3.7154147689981046E-3</v>
      </c>
      <c r="X1052">
        <v>2.7985420086773186E-3</v>
      </c>
    </row>
    <row r="1053" spans="1:24" x14ac:dyDescent="0.35">
      <c r="A1053" s="1">
        <v>44370</v>
      </c>
      <c r="B1053">
        <v>2035.5373540000001</v>
      </c>
      <c r="C1053">
        <f t="shared" si="176"/>
        <v>-9.1654052051778345E-3</v>
      </c>
      <c r="D1053">
        <v>3261.3999020000001</v>
      </c>
      <c r="E1053">
        <f t="shared" si="177"/>
        <v>-1.2056237001925263E-2</v>
      </c>
      <c r="F1053">
        <v>1485.5</v>
      </c>
      <c r="G1053">
        <f t="shared" si="178"/>
        <v>1.1456739074418021E-3</v>
      </c>
      <c r="H1053">
        <v>524.20800780000002</v>
      </c>
      <c r="I1053">
        <f t="shared" si="179"/>
        <v>-4.3810774103357764E-3</v>
      </c>
      <c r="J1053">
        <v>1503.150024</v>
      </c>
      <c r="K1053">
        <f t="shared" si="180"/>
        <v>-5.7545074829566945E-3</v>
      </c>
      <c r="L1053">
        <v>203.9499969</v>
      </c>
      <c r="M1053">
        <f t="shared" si="181"/>
        <v>-5.6070656547874131E-3</v>
      </c>
      <c r="N1053">
        <v>665.25</v>
      </c>
      <c r="O1053">
        <f t="shared" si="182"/>
        <v>-2.3245168391708981E-3</v>
      </c>
      <c r="P1053">
        <v>123.3499985</v>
      </c>
      <c r="Q1053">
        <f t="shared" si="183"/>
        <v>1.0651334428356085E-2</v>
      </c>
      <c r="R1053">
        <v>335.25</v>
      </c>
      <c r="S1053">
        <f t="shared" si="184"/>
        <v>-7.8425390584182519E-3</v>
      </c>
      <c r="T1053">
        <v>3310.8999020000001</v>
      </c>
      <c r="U1053">
        <f t="shared" si="185"/>
        <v>-1.8643709196294433E-2</v>
      </c>
      <c r="W1053">
        <f t="shared" si="186"/>
        <v>-5.3978049513268688E-3</v>
      </c>
      <c r="X1053">
        <v>2.8120618038546819E-3</v>
      </c>
    </row>
    <row r="1054" spans="1:24" x14ac:dyDescent="0.35">
      <c r="A1054" s="1">
        <v>44371</v>
      </c>
      <c r="B1054">
        <v>1987.6798100000001</v>
      </c>
      <c r="C1054">
        <f t="shared" si="176"/>
        <v>-2.3511012414464405E-2</v>
      </c>
      <c r="D1054">
        <v>3373.6000979999999</v>
      </c>
      <c r="E1054">
        <f t="shared" si="177"/>
        <v>3.4402465006267757E-2</v>
      </c>
      <c r="F1054">
        <v>1506.25</v>
      </c>
      <c r="G1054">
        <f t="shared" si="178"/>
        <v>1.3968360821272396E-2</v>
      </c>
      <c r="H1054">
        <v>519.0056763</v>
      </c>
      <c r="I1054">
        <f t="shared" si="179"/>
        <v>-9.9241740350994867E-3</v>
      </c>
      <c r="J1054">
        <v>1559.1999510000001</v>
      </c>
      <c r="K1054">
        <f t="shared" si="180"/>
        <v>3.7288311948295627E-2</v>
      </c>
      <c r="L1054">
        <v>203.25</v>
      </c>
      <c r="M1054">
        <f t="shared" si="181"/>
        <v>-3.4321986302515706E-3</v>
      </c>
      <c r="N1054">
        <v>664.79998780000005</v>
      </c>
      <c r="O1054">
        <f t="shared" si="182"/>
        <v>-6.764557685079442E-4</v>
      </c>
      <c r="P1054">
        <v>122</v>
      </c>
      <c r="Q1054">
        <f t="shared" si="183"/>
        <v>-1.0944454936495207E-2</v>
      </c>
      <c r="R1054">
        <v>334.64999390000003</v>
      </c>
      <c r="S1054">
        <f t="shared" si="184"/>
        <v>-1.7897273676360514E-3</v>
      </c>
      <c r="T1054">
        <v>3323.8000489999999</v>
      </c>
      <c r="U1054">
        <f t="shared" si="185"/>
        <v>3.8962660853043563E-3</v>
      </c>
      <c r="W1054">
        <f t="shared" si="186"/>
        <v>3.9277380708685472E-3</v>
      </c>
      <c r="X1054">
        <v>2.8270531466587203E-3</v>
      </c>
    </row>
    <row r="1055" spans="1:24" x14ac:dyDescent="0.35">
      <c r="A1055" s="1">
        <v>44372</v>
      </c>
      <c r="B1055">
        <v>1942.406616</v>
      </c>
      <c r="C1055">
        <f t="shared" si="176"/>
        <v>-2.2776904897977568E-2</v>
      </c>
      <c r="D1055">
        <v>3380.8000489999999</v>
      </c>
      <c r="E1055">
        <f t="shared" si="177"/>
        <v>2.1342040523026906E-3</v>
      </c>
      <c r="F1055">
        <v>1515.099976</v>
      </c>
      <c r="G1055">
        <f t="shared" si="178"/>
        <v>5.8755027385892777E-3</v>
      </c>
      <c r="H1055">
        <v>525.23864749999996</v>
      </c>
      <c r="I1055">
        <f t="shared" si="179"/>
        <v>1.2009447072785173E-2</v>
      </c>
      <c r="J1055">
        <v>1574.1999510000001</v>
      </c>
      <c r="K1055">
        <f t="shared" si="180"/>
        <v>9.6203184141838705E-3</v>
      </c>
      <c r="L1055">
        <v>205.0500031</v>
      </c>
      <c r="M1055">
        <f t="shared" si="181"/>
        <v>8.8561038130381409E-3</v>
      </c>
      <c r="N1055">
        <v>672.25</v>
      </c>
      <c r="O1055">
        <f t="shared" si="182"/>
        <v>1.1206396415039066E-2</v>
      </c>
      <c r="P1055">
        <v>120.9000015</v>
      </c>
      <c r="Q1055">
        <f t="shared" si="183"/>
        <v>-9.0163811475409972E-3</v>
      </c>
      <c r="R1055">
        <v>339.64999390000003</v>
      </c>
      <c r="S1055">
        <f t="shared" si="184"/>
        <v>1.4940983389033269E-2</v>
      </c>
      <c r="T1055">
        <v>3315.3500979999999</v>
      </c>
      <c r="U1055">
        <f t="shared" si="185"/>
        <v>-2.5422561151180467E-3</v>
      </c>
      <c r="W1055">
        <f t="shared" si="186"/>
        <v>3.0307413734334885E-3</v>
      </c>
      <c r="X1055">
        <v>2.8627782076443898E-3</v>
      </c>
    </row>
    <row r="1056" spans="1:24" x14ac:dyDescent="0.35">
      <c r="A1056" s="1">
        <v>44375</v>
      </c>
      <c r="B1056">
        <v>1925.3773189999999</v>
      </c>
      <c r="C1056">
        <f t="shared" si="176"/>
        <v>-8.7671123336000578E-3</v>
      </c>
      <c r="D1056">
        <v>3336.75</v>
      </c>
      <c r="E1056">
        <f t="shared" si="177"/>
        <v>-1.3029474787492834E-2</v>
      </c>
      <c r="F1056">
        <v>1508.349976</v>
      </c>
      <c r="G1056">
        <f t="shared" si="178"/>
        <v>-4.4551515457221802E-3</v>
      </c>
      <c r="H1056">
        <v>521.41052249999996</v>
      </c>
      <c r="I1056">
        <f t="shared" si="179"/>
        <v>-7.2883536240543334E-3</v>
      </c>
      <c r="J1056">
        <v>1571.8000489999999</v>
      </c>
      <c r="K1056">
        <f t="shared" si="180"/>
        <v>-1.524521709250215E-3</v>
      </c>
      <c r="L1056">
        <v>203.6000061</v>
      </c>
      <c r="M1056">
        <f t="shared" si="181"/>
        <v>-7.0714312512974997E-3</v>
      </c>
      <c r="N1056">
        <v>676.29998780000005</v>
      </c>
      <c r="O1056">
        <f t="shared" si="182"/>
        <v>6.0245262923019904E-3</v>
      </c>
      <c r="P1056">
        <v>122.3499985</v>
      </c>
      <c r="Q1056">
        <f t="shared" si="183"/>
        <v>1.1993357998428156E-2</v>
      </c>
      <c r="R1056">
        <v>342.7999878</v>
      </c>
      <c r="S1056">
        <f t="shared" si="184"/>
        <v>9.2742351143024759E-3</v>
      </c>
      <c r="T1056">
        <v>3332.1999510000001</v>
      </c>
      <c r="U1056">
        <f t="shared" si="185"/>
        <v>5.0823751645912019E-3</v>
      </c>
      <c r="W1056">
        <f t="shared" si="186"/>
        <v>-9.7615506817933006E-4</v>
      </c>
      <c r="X1056">
        <v>2.8647312527909086E-3</v>
      </c>
    </row>
    <row r="1057" spans="1:24" x14ac:dyDescent="0.35">
      <c r="A1057" s="1">
        <v>44376</v>
      </c>
      <c r="B1057">
        <v>1927.0386960000001</v>
      </c>
      <c r="C1057">
        <f t="shared" si="176"/>
        <v>8.6288385326094286E-4</v>
      </c>
      <c r="D1057">
        <v>3340.8500979999999</v>
      </c>
      <c r="E1057">
        <f t="shared" si="177"/>
        <v>1.2287699108413097E-3</v>
      </c>
      <c r="F1057">
        <v>1502.0500489999999</v>
      </c>
      <c r="G1057">
        <f t="shared" si="178"/>
        <v>-4.1767010973851049E-3</v>
      </c>
      <c r="H1057">
        <v>515.27569579999999</v>
      </c>
      <c r="I1057">
        <f t="shared" si="179"/>
        <v>-1.1765828335387973E-2</v>
      </c>
      <c r="J1057">
        <v>1563.0500489999999</v>
      </c>
      <c r="K1057">
        <f t="shared" si="180"/>
        <v>-5.5668658399437021E-3</v>
      </c>
      <c r="L1057">
        <v>203.3000031</v>
      </c>
      <c r="M1057">
        <f t="shared" si="181"/>
        <v>-1.473492097306961E-3</v>
      </c>
      <c r="N1057">
        <v>677.59997559999999</v>
      </c>
      <c r="O1057">
        <f t="shared" si="182"/>
        <v>1.9222058604921877E-3</v>
      </c>
      <c r="P1057">
        <v>119.4000015</v>
      </c>
      <c r="Q1057">
        <f t="shared" si="183"/>
        <v>-2.4111132293965665E-2</v>
      </c>
      <c r="R1057">
        <v>341.5499878</v>
      </c>
      <c r="S1057">
        <f t="shared" si="184"/>
        <v>-3.646441203286388E-3</v>
      </c>
      <c r="T1057">
        <v>3270.8500979999999</v>
      </c>
      <c r="U1057">
        <f t="shared" si="185"/>
        <v>-1.8411215984079465E-2</v>
      </c>
      <c r="W1057">
        <f t="shared" si="186"/>
        <v>-6.5137817226760819E-3</v>
      </c>
      <c r="X1057">
        <v>2.8692557755392706E-3</v>
      </c>
    </row>
    <row r="1058" spans="1:24" x14ac:dyDescent="0.35">
      <c r="A1058" s="1">
        <v>44377</v>
      </c>
      <c r="B1058">
        <v>1948.1292719999999</v>
      </c>
      <c r="C1058">
        <f t="shared" si="176"/>
        <v>1.094455240768033E-2</v>
      </c>
      <c r="D1058">
        <v>3345.75</v>
      </c>
      <c r="E1058">
        <f t="shared" si="177"/>
        <v>1.4666632312936301E-3</v>
      </c>
      <c r="F1058">
        <v>1497.900024</v>
      </c>
      <c r="G1058">
        <f t="shared" si="178"/>
        <v>-2.7629072698095447E-3</v>
      </c>
      <c r="H1058">
        <v>515.9627686</v>
      </c>
      <c r="I1058">
        <f t="shared" si="179"/>
        <v>1.3334081261746622E-3</v>
      </c>
      <c r="J1058">
        <v>1580.8000489999999</v>
      </c>
      <c r="K1058">
        <f t="shared" si="180"/>
        <v>1.135600233105527E-2</v>
      </c>
      <c r="L1058">
        <v>202.6999969</v>
      </c>
      <c r="M1058">
        <f t="shared" si="181"/>
        <v>-2.9513339441754605E-3</v>
      </c>
      <c r="N1058">
        <v>675.45001219999995</v>
      </c>
      <c r="O1058">
        <f t="shared" si="182"/>
        <v>-3.1729095003232288E-3</v>
      </c>
      <c r="P1058">
        <v>117.6999969</v>
      </c>
      <c r="Q1058">
        <f t="shared" si="183"/>
        <v>-1.4237894293493758E-2</v>
      </c>
      <c r="R1058">
        <v>339.60000609999997</v>
      </c>
      <c r="S1058">
        <f t="shared" si="184"/>
        <v>-5.7092132034912701E-3</v>
      </c>
      <c r="T1058">
        <v>3344.1000979999999</v>
      </c>
      <c r="U1058">
        <f t="shared" si="185"/>
        <v>2.2394789674032856E-2</v>
      </c>
      <c r="W1058">
        <f t="shared" si="186"/>
        <v>1.8661157558943489E-3</v>
      </c>
      <c r="X1058">
        <v>2.8772437032925759E-3</v>
      </c>
    </row>
    <row r="1059" spans="1:24" x14ac:dyDescent="0.35">
      <c r="A1059" s="1">
        <v>44378</v>
      </c>
      <c r="B1059">
        <v>1936.4072269999999</v>
      </c>
      <c r="C1059">
        <f t="shared" si="176"/>
        <v>-6.017077597712972E-3</v>
      </c>
      <c r="D1059">
        <v>3341.5</v>
      </c>
      <c r="E1059">
        <f t="shared" si="177"/>
        <v>-1.2702682507659269E-3</v>
      </c>
      <c r="F1059">
        <v>1486.75</v>
      </c>
      <c r="G1059">
        <f t="shared" si="178"/>
        <v>-7.4437704929231074E-3</v>
      </c>
      <c r="H1059">
        <v>513.01806639999995</v>
      </c>
      <c r="I1059">
        <f t="shared" si="179"/>
        <v>-5.7071990058316091E-3</v>
      </c>
      <c r="J1059">
        <v>1560.400024</v>
      </c>
      <c r="K1059">
        <f t="shared" si="180"/>
        <v>-1.2904873714360554E-2</v>
      </c>
      <c r="L1059">
        <v>203</v>
      </c>
      <c r="M1059">
        <f t="shared" si="181"/>
        <v>1.4800350497685688E-3</v>
      </c>
      <c r="N1059">
        <v>684.15002440000001</v>
      </c>
      <c r="O1059">
        <f t="shared" si="182"/>
        <v>1.2880319850262945E-2</v>
      </c>
      <c r="P1059">
        <v>118.8499985</v>
      </c>
      <c r="Q1059">
        <f t="shared" si="183"/>
        <v>9.7706170797697833E-3</v>
      </c>
      <c r="R1059">
        <v>344.25</v>
      </c>
      <c r="S1059">
        <f t="shared" si="184"/>
        <v>1.3692561297041772E-2</v>
      </c>
      <c r="T1059">
        <v>3315.6499020000001</v>
      </c>
      <c r="U1059">
        <f t="shared" si="185"/>
        <v>-8.5075790694826292E-3</v>
      </c>
      <c r="W1059">
        <f t="shared" si="186"/>
        <v>-4.0272348542337252E-4</v>
      </c>
      <c r="X1059">
        <v>2.9281442812377542E-3</v>
      </c>
    </row>
    <row r="1060" spans="1:24" x14ac:dyDescent="0.35">
      <c r="A1060" s="1">
        <v>44379</v>
      </c>
      <c r="B1060">
        <v>1965.112427</v>
      </c>
      <c r="C1060">
        <f t="shared" si="176"/>
        <v>1.4823947979409224E-2</v>
      </c>
      <c r="D1060">
        <v>3325.4499510000001</v>
      </c>
      <c r="E1060">
        <f t="shared" si="177"/>
        <v>-4.8032467454736105E-3</v>
      </c>
      <c r="F1060">
        <v>1480.400024</v>
      </c>
      <c r="G1060">
        <f t="shared" si="178"/>
        <v>-4.2710448965864733E-3</v>
      </c>
      <c r="H1060">
        <v>515.32476810000003</v>
      </c>
      <c r="I1060">
        <f t="shared" si="179"/>
        <v>4.4963361937462309E-3</v>
      </c>
      <c r="J1060">
        <v>1567.8000489999999</v>
      </c>
      <c r="K1060">
        <f t="shared" si="180"/>
        <v>4.7423896989122749E-3</v>
      </c>
      <c r="L1060">
        <v>202.3999939</v>
      </c>
      <c r="M1060">
        <f t="shared" si="181"/>
        <v>-2.9556950738915955E-3</v>
      </c>
      <c r="N1060">
        <v>681.25</v>
      </c>
      <c r="O1060">
        <f t="shared" si="182"/>
        <v>-4.2388720259760593E-3</v>
      </c>
      <c r="P1060">
        <v>118.4499969</v>
      </c>
      <c r="Q1060">
        <f t="shared" si="183"/>
        <v>-3.3656003790357714E-3</v>
      </c>
      <c r="R1060">
        <v>344.89999390000003</v>
      </c>
      <c r="S1060">
        <f t="shared" si="184"/>
        <v>1.8881449527961003E-3</v>
      </c>
      <c r="T1060">
        <v>3314.3000489999999</v>
      </c>
      <c r="U1060">
        <f t="shared" si="185"/>
        <v>-4.071156605484072E-4</v>
      </c>
      <c r="W1060">
        <f t="shared" si="186"/>
        <v>5.9092440433519103E-4</v>
      </c>
      <c r="X1060">
        <v>2.9281618549613308E-3</v>
      </c>
    </row>
    <row r="1061" spans="1:24" x14ac:dyDescent="0.35">
      <c r="A1061" s="1">
        <v>44382</v>
      </c>
      <c r="B1061">
        <v>1984.6339109999999</v>
      </c>
      <c r="C1061">
        <f t="shared" si="176"/>
        <v>9.9340290823981547E-3</v>
      </c>
      <c r="D1061">
        <v>3321</v>
      </c>
      <c r="E1061">
        <f t="shared" si="177"/>
        <v>-1.3381500445260874E-3</v>
      </c>
      <c r="F1061">
        <v>1495.4499510000001</v>
      </c>
      <c r="G1061">
        <f t="shared" si="178"/>
        <v>1.0166121829244146E-2</v>
      </c>
      <c r="H1061">
        <v>514.29412839999998</v>
      </c>
      <c r="I1061">
        <f t="shared" si="179"/>
        <v>-1.9999809126194368E-3</v>
      </c>
      <c r="J1061">
        <v>1578.9499510000001</v>
      </c>
      <c r="K1061">
        <f t="shared" si="180"/>
        <v>7.1118137846162277E-3</v>
      </c>
      <c r="L1061">
        <v>203.6499939</v>
      </c>
      <c r="M1061">
        <f t="shared" si="181"/>
        <v>6.1758895141943437E-3</v>
      </c>
      <c r="N1061">
        <v>680.20001219999995</v>
      </c>
      <c r="O1061">
        <f t="shared" si="182"/>
        <v>-1.541266495412974E-3</v>
      </c>
      <c r="P1061">
        <v>120.9499969</v>
      </c>
      <c r="Q1061">
        <f t="shared" si="183"/>
        <v>2.1105952430801711E-2</v>
      </c>
      <c r="R1061">
        <v>346.10000609999997</v>
      </c>
      <c r="S1061">
        <f t="shared" si="184"/>
        <v>3.4793047875434358E-3</v>
      </c>
      <c r="T1061">
        <v>3360.6499020000001</v>
      </c>
      <c r="U1061">
        <f t="shared" si="185"/>
        <v>1.3984808953548145E-2</v>
      </c>
      <c r="W1061">
        <f t="shared" si="186"/>
        <v>6.7078522929787665E-3</v>
      </c>
      <c r="X1061">
        <v>2.9374404724792575E-3</v>
      </c>
    </row>
    <row r="1062" spans="1:24" x14ac:dyDescent="0.35">
      <c r="A1062" s="1">
        <v>44383</v>
      </c>
      <c r="B1062">
        <v>1961.189697</v>
      </c>
      <c r="C1062">
        <f t="shared" si="176"/>
        <v>-1.1812865773409564E-2</v>
      </c>
      <c r="D1062">
        <v>3262.3000489999999</v>
      </c>
      <c r="E1062">
        <f t="shared" si="177"/>
        <v>-1.7675384221619961E-2</v>
      </c>
      <c r="F1062">
        <v>1534.6999510000001</v>
      </c>
      <c r="G1062">
        <f t="shared" si="178"/>
        <v>2.6246281243818004E-2</v>
      </c>
      <c r="H1062">
        <v>516.40448000000004</v>
      </c>
      <c r="I1062">
        <f t="shared" si="179"/>
        <v>4.1033943097221748E-3</v>
      </c>
      <c r="J1062">
        <v>1562.1999510000001</v>
      </c>
      <c r="K1062">
        <f t="shared" si="180"/>
        <v>-1.0608315982018057E-2</v>
      </c>
      <c r="L1062">
        <v>202.5</v>
      </c>
      <c r="M1062">
        <f t="shared" si="181"/>
        <v>-5.6469135008405669E-3</v>
      </c>
      <c r="N1062">
        <v>673.25</v>
      </c>
      <c r="O1062">
        <f t="shared" si="182"/>
        <v>-1.0217600816443961E-2</v>
      </c>
      <c r="P1062">
        <v>121.5</v>
      </c>
      <c r="Q1062">
        <f t="shared" si="183"/>
        <v>4.5473593559057779E-3</v>
      </c>
      <c r="R1062">
        <v>316.89999390000003</v>
      </c>
      <c r="S1062">
        <f t="shared" si="184"/>
        <v>-8.4368713335310042E-2</v>
      </c>
      <c r="T1062">
        <v>3364.6000979999999</v>
      </c>
      <c r="U1062">
        <f t="shared" si="185"/>
        <v>1.175426216711406E-3</v>
      </c>
      <c r="W1062">
        <f t="shared" si="186"/>
        <v>-1.0425733250348481E-2</v>
      </c>
      <c r="X1062">
        <v>2.9488277805512996E-3</v>
      </c>
    </row>
    <row r="1063" spans="1:24" x14ac:dyDescent="0.35">
      <c r="A1063" s="1">
        <v>44384</v>
      </c>
      <c r="B1063">
        <v>1947.575439</v>
      </c>
      <c r="C1063">
        <f t="shared" si="176"/>
        <v>-6.9418363867735922E-3</v>
      </c>
      <c r="D1063">
        <v>3274.9499510000001</v>
      </c>
      <c r="E1063">
        <f t="shared" si="177"/>
        <v>3.877602246880274E-3</v>
      </c>
      <c r="F1063">
        <v>1539.5</v>
      </c>
      <c r="G1063">
        <f t="shared" si="178"/>
        <v>3.1276791250773872E-3</v>
      </c>
      <c r="H1063">
        <v>519.8400269</v>
      </c>
      <c r="I1063">
        <f t="shared" si="179"/>
        <v>6.6528216408965335E-3</v>
      </c>
      <c r="J1063">
        <v>1564.599976</v>
      </c>
      <c r="K1063">
        <f t="shared" si="180"/>
        <v>1.5363110198944874E-3</v>
      </c>
      <c r="L1063">
        <v>203.75</v>
      </c>
      <c r="M1063">
        <f t="shared" si="181"/>
        <v>6.1728395061728669E-3</v>
      </c>
      <c r="N1063">
        <v>680.09997559999999</v>
      </c>
      <c r="O1063">
        <f t="shared" si="182"/>
        <v>1.0174490308206385E-2</v>
      </c>
      <c r="P1063">
        <v>119.9000015</v>
      </c>
      <c r="Q1063">
        <f t="shared" si="183"/>
        <v>-1.3168711934156363E-2</v>
      </c>
      <c r="R1063">
        <v>317.10000609999997</v>
      </c>
      <c r="S1063">
        <f t="shared" si="184"/>
        <v>6.3115242615952027E-4</v>
      </c>
      <c r="T1063">
        <v>3396.3999020000001</v>
      </c>
      <c r="U1063">
        <f t="shared" si="185"/>
        <v>9.4512878421726398E-3</v>
      </c>
      <c r="W1063">
        <f t="shared" si="186"/>
        <v>2.1513635794530141E-3</v>
      </c>
      <c r="X1063">
        <v>2.9822822456171405E-3</v>
      </c>
    </row>
    <row r="1064" spans="1:24" x14ac:dyDescent="0.35">
      <c r="A1064" s="1">
        <v>44385</v>
      </c>
      <c r="B1064">
        <v>1931.469116</v>
      </c>
      <c r="C1064">
        <f t="shared" si="176"/>
        <v>-8.2699353655177887E-3</v>
      </c>
      <c r="D1064">
        <v>3258.5</v>
      </c>
      <c r="E1064">
        <f t="shared" si="177"/>
        <v>-5.0229625631308394E-3</v>
      </c>
      <c r="F1064">
        <v>1520.4499510000001</v>
      </c>
      <c r="G1064">
        <f t="shared" si="178"/>
        <v>-1.2374179278986652E-2</v>
      </c>
      <c r="H1064">
        <v>515.61926270000004</v>
      </c>
      <c r="I1064">
        <f t="shared" si="179"/>
        <v>-8.1193520729251345E-3</v>
      </c>
      <c r="J1064">
        <v>1560.75</v>
      </c>
      <c r="K1064">
        <f t="shared" si="180"/>
        <v>-2.460677527199473E-3</v>
      </c>
      <c r="L1064">
        <v>202</v>
      </c>
      <c r="M1064">
        <f t="shared" si="181"/>
        <v>-8.5889570552146743E-3</v>
      </c>
      <c r="N1064">
        <v>666.90002440000001</v>
      </c>
      <c r="O1064">
        <f t="shared" si="182"/>
        <v>-1.9408839396523603E-2</v>
      </c>
      <c r="P1064">
        <v>117.0500031</v>
      </c>
      <c r="Q1064">
        <f t="shared" si="183"/>
        <v>-2.3769794531653954E-2</v>
      </c>
      <c r="R1064">
        <v>306.35000609999997</v>
      </c>
      <c r="S1064">
        <f t="shared" si="184"/>
        <v>-3.3900976957439433E-2</v>
      </c>
      <c r="T1064">
        <v>3389.1999510000001</v>
      </c>
      <c r="U1064">
        <f t="shared" si="185"/>
        <v>-2.1198772841091174E-3</v>
      </c>
      <c r="W1064">
        <f t="shared" si="186"/>
        <v>-1.2403555203270068E-2</v>
      </c>
      <c r="X1064">
        <v>2.9857708512984298E-3</v>
      </c>
    </row>
    <row r="1065" spans="1:24" x14ac:dyDescent="0.35">
      <c r="A1065" s="1">
        <v>44386</v>
      </c>
      <c r="B1065">
        <v>1911.716919</v>
      </c>
      <c r="C1065">
        <f t="shared" si="176"/>
        <v>-1.0226514540862097E-2</v>
      </c>
      <c r="D1065">
        <v>3208.1499020000001</v>
      </c>
      <c r="E1065">
        <f t="shared" si="177"/>
        <v>-1.5451925118919685E-2</v>
      </c>
      <c r="F1065">
        <v>1502</v>
      </c>
      <c r="G1065">
        <f t="shared" si="178"/>
        <v>-1.2134533588471941E-2</v>
      </c>
      <c r="H1065">
        <v>526.36743160000003</v>
      </c>
      <c r="I1065">
        <f t="shared" si="179"/>
        <v>2.0845165565999357E-2</v>
      </c>
      <c r="J1065">
        <v>1562.900024</v>
      </c>
      <c r="K1065">
        <f t="shared" si="180"/>
        <v>1.3775582252122387E-3</v>
      </c>
      <c r="L1065">
        <v>201.3500061</v>
      </c>
      <c r="M1065">
        <f t="shared" si="181"/>
        <v>-3.2177915841583582E-3</v>
      </c>
      <c r="N1065">
        <v>667.90002440000001</v>
      </c>
      <c r="O1065">
        <f t="shared" si="182"/>
        <v>1.4994751288242014E-3</v>
      </c>
      <c r="P1065">
        <v>117.9000015</v>
      </c>
      <c r="Q1065">
        <f t="shared" si="183"/>
        <v>7.261840046888457E-3</v>
      </c>
      <c r="R1065">
        <v>306.2999878</v>
      </c>
      <c r="S1065">
        <f t="shared" si="184"/>
        <v>-1.6327174474950468E-4</v>
      </c>
      <c r="T1065">
        <v>3377.6000979999999</v>
      </c>
      <c r="U1065">
        <f t="shared" si="185"/>
        <v>-3.4225932868250375E-3</v>
      </c>
      <c r="W1065">
        <f t="shared" si="186"/>
        <v>-1.3632590897062371E-3</v>
      </c>
      <c r="X1065">
        <v>2.992623310560849E-3</v>
      </c>
    </row>
    <row r="1066" spans="1:24" x14ac:dyDescent="0.35">
      <c r="A1066" s="1">
        <v>44389</v>
      </c>
      <c r="B1066">
        <v>1923.6236570000001</v>
      </c>
      <c r="C1066">
        <f t="shared" si="176"/>
        <v>6.2282955607404489E-3</v>
      </c>
      <c r="D1066">
        <v>3193.1000979999999</v>
      </c>
      <c r="E1066">
        <f t="shared" si="177"/>
        <v>-4.6911162070756296E-3</v>
      </c>
      <c r="F1066">
        <v>1487</v>
      </c>
      <c r="G1066">
        <f t="shared" si="178"/>
        <v>-9.9866844207723293E-3</v>
      </c>
      <c r="H1066">
        <v>519.88909909999995</v>
      </c>
      <c r="I1066">
        <f t="shared" si="179"/>
        <v>-1.2307624125428629E-2</v>
      </c>
      <c r="J1066">
        <v>1547.849976</v>
      </c>
      <c r="K1066">
        <f t="shared" si="180"/>
        <v>-9.629565403346696E-3</v>
      </c>
      <c r="L1066">
        <v>201.1000061</v>
      </c>
      <c r="M1066">
        <f t="shared" si="181"/>
        <v>-1.241619033653496E-3</v>
      </c>
      <c r="N1066">
        <v>668.54998780000005</v>
      </c>
      <c r="O1066">
        <f t="shared" si="182"/>
        <v>9.7314474660170625E-4</v>
      </c>
      <c r="P1066">
        <v>118.5500031</v>
      </c>
      <c r="Q1066">
        <f t="shared" si="183"/>
        <v>5.5131602352014308E-3</v>
      </c>
      <c r="R1066">
        <v>307.4500122</v>
      </c>
      <c r="S1066">
        <f t="shared" si="184"/>
        <v>3.7545688730191706E-3</v>
      </c>
      <c r="T1066">
        <v>3349.0500489999999</v>
      </c>
      <c r="U1066">
        <f t="shared" si="185"/>
        <v>-8.4527617751152251E-3</v>
      </c>
      <c r="W1066">
        <f t="shared" si="186"/>
        <v>-2.9840201549829249E-3</v>
      </c>
      <c r="X1066">
        <v>3.0029556181797698E-3</v>
      </c>
    </row>
    <row r="1067" spans="1:24" x14ac:dyDescent="0.35">
      <c r="A1067" s="1">
        <v>44390</v>
      </c>
      <c r="B1067">
        <v>1938.022461</v>
      </c>
      <c r="C1067">
        <f t="shared" si="176"/>
        <v>7.4852500111459719E-3</v>
      </c>
      <c r="D1067">
        <v>3187.5500489999999</v>
      </c>
      <c r="E1067">
        <f t="shared" si="177"/>
        <v>-1.7381381195898937E-3</v>
      </c>
      <c r="F1067">
        <v>1501.849976</v>
      </c>
      <c r="G1067">
        <f t="shared" si="178"/>
        <v>9.9865339609952475E-3</v>
      </c>
      <c r="H1067">
        <v>520.28173830000003</v>
      </c>
      <c r="I1067">
        <f t="shared" si="179"/>
        <v>7.5523645462038935E-4</v>
      </c>
      <c r="J1067">
        <v>1544.9499510000001</v>
      </c>
      <c r="K1067">
        <f t="shared" si="180"/>
        <v>-1.8735827405536032E-3</v>
      </c>
      <c r="L1067">
        <v>201.8500061</v>
      </c>
      <c r="M1067">
        <f t="shared" si="181"/>
        <v>3.729487703879375E-3</v>
      </c>
      <c r="N1067">
        <v>683</v>
      </c>
      <c r="O1067">
        <f t="shared" si="182"/>
        <v>2.1613959260624149E-2</v>
      </c>
      <c r="P1067">
        <v>120.4000015</v>
      </c>
      <c r="Q1067">
        <f t="shared" si="183"/>
        <v>1.5605215956337792E-2</v>
      </c>
      <c r="R1067">
        <v>310.9500122</v>
      </c>
      <c r="S1067">
        <f t="shared" si="184"/>
        <v>1.1383964420607073E-2</v>
      </c>
      <c r="T1067">
        <v>3355</v>
      </c>
      <c r="U1067">
        <f t="shared" si="185"/>
        <v>1.7766085645023466E-3</v>
      </c>
      <c r="W1067">
        <f t="shared" si="186"/>
        <v>6.8724535472568862E-3</v>
      </c>
      <c r="X1067">
        <v>3.0100975447585384E-3</v>
      </c>
    </row>
    <row r="1068" spans="1:24" x14ac:dyDescent="0.35">
      <c r="A1068" s="1">
        <v>44391</v>
      </c>
      <c r="B1068">
        <v>1925.3773189999999</v>
      </c>
      <c r="C1068">
        <f t="shared" si="176"/>
        <v>-6.5247654526539023E-3</v>
      </c>
      <c r="D1068">
        <v>3214.5500489999999</v>
      </c>
      <c r="E1068">
        <f t="shared" si="177"/>
        <v>8.4704552351955176E-3</v>
      </c>
      <c r="F1068">
        <v>1499.150024</v>
      </c>
      <c r="G1068">
        <f t="shared" si="178"/>
        <v>-1.7977508027738898E-3</v>
      </c>
      <c r="H1068">
        <v>520.28173830000003</v>
      </c>
      <c r="I1068">
        <f t="shared" si="179"/>
        <v>0</v>
      </c>
      <c r="J1068">
        <v>1576.900024</v>
      </c>
      <c r="K1068">
        <f t="shared" si="180"/>
        <v>2.0680328821862215E-2</v>
      </c>
      <c r="L1068">
        <v>204.1000061</v>
      </c>
      <c r="M1068">
        <f t="shared" si="181"/>
        <v>1.1146890919018881E-2</v>
      </c>
      <c r="N1068">
        <v>685.95001219999995</v>
      </c>
      <c r="O1068">
        <f t="shared" si="182"/>
        <v>4.319197950219511E-3</v>
      </c>
      <c r="P1068">
        <v>120.8000031</v>
      </c>
      <c r="Q1068">
        <f t="shared" si="183"/>
        <v>3.3222723838586266E-3</v>
      </c>
      <c r="R1068">
        <v>309.5499878</v>
      </c>
      <c r="S1068">
        <f t="shared" si="184"/>
        <v>-4.5024098571172511E-3</v>
      </c>
      <c r="T1068">
        <v>3330.0500489999999</v>
      </c>
      <c r="U1068">
        <f t="shared" si="185"/>
        <v>-7.4366470938896923E-3</v>
      </c>
      <c r="W1068">
        <f t="shared" si="186"/>
        <v>2.767757210372002E-3</v>
      </c>
      <c r="X1068">
        <v>3.0146630615702106E-3</v>
      </c>
    </row>
    <row r="1069" spans="1:24" x14ac:dyDescent="0.35">
      <c r="A1069" s="1">
        <v>44392</v>
      </c>
      <c r="B1069">
        <v>1922.008423</v>
      </c>
      <c r="C1069">
        <f t="shared" si="176"/>
        <v>-1.7497328792414057E-3</v>
      </c>
      <c r="D1069">
        <v>3202.9499510000001</v>
      </c>
      <c r="E1069">
        <f t="shared" si="177"/>
        <v>-3.6086226137957977E-3</v>
      </c>
      <c r="F1069">
        <v>1520.6999510000001</v>
      </c>
      <c r="G1069">
        <f t="shared" si="178"/>
        <v>1.4374763469302998E-2</v>
      </c>
      <c r="H1069">
        <v>515.76647949999995</v>
      </c>
      <c r="I1069">
        <f t="shared" si="179"/>
        <v>-8.6784879568395645E-3</v>
      </c>
      <c r="J1069">
        <v>1580.8000489999999</v>
      </c>
      <c r="K1069">
        <f t="shared" si="180"/>
        <v>2.4732227412280761E-3</v>
      </c>
      <c r="L1069">
        <v>206.25</v>
      </c>
      <c r="M1069">
        <f t="shared" si="181"/>
        <v>1.0534021733182186E-2</v>
      </c>
      <c r="N1069">
        <v>683</v>
      </c>
      <c r="O1069">
        <f t="shared" si="182"/>
        <v>-4.3006227094283256E-3</v>
      </c>
      <c r="P1069">
        <v>116.9000015</v>
      </c>
      <c r="Q1069">
        <f t="shared" si="183"/>
        <v>-3.2284780628453413E-2</v>
      </c>
      <c r="R1069">
        <v>310.25</v>
      </c>
      <c r="S1069">
        <f t="shared" si="184"/>
        <v>2.261386617958161E-3</v>
      </c>
      <c r="T1069">
        <v>3328.5</v>
      </c>
      <c r="U1069">
        <f t="shared" si="185"/>
        <v>-4.6547318424405848E-4</v>
      </c>
      <c r="W1069">
        <f t="shared" si="186"/>
        <v>-2.1444325410331149E-3</v>
      </c>
      <c r="X1069">
        <v>3.02058952043226E-3</v>
      </c>
    </row>
    <row r="1070" spans="1:24" x14ac:dyDescent="0.35">
      <c r="A1070" s="1">
        <v>44393</v>
      </c>
      <c r="B1070">
        <v>1949.7445070000001</v>
      </c>
      <c r="C1070">
        <f t="shared" si="176"/>
        <v>1.4430781711511909E-2</v>
      </c>
      <c r="D1070">
        <v>3194.8000489999999</v>
      </c>
      <c r="E1070">
        <f t="shared" si="177"/>
        <v>-2.5444987042196887E-3</v>
      </c>
      <c r="F1070">
        <v>1522.349976</v>
      </c>
      <c r="G1070">
        <f t="shared" si="178"/>
        <v>1.0850431072315647E-3</v>
      </c>
      <c r="H1070">
        <v>531.17712400000005</v>
      </c>
      <c r="I1070">
        <f t="shared" si="179"/>
        <v>2.9879112180651424E-2</v>
      </c>
      <c r="J1070">
        <v>1555.4499510000001</v>
      </c>
      <c r="K1070">
        <f t="shared" si="180"/>
        <v>-1.6036245707378494E-2</v>
      </c>
      <c r="L1070">
        <v>207.8999939</v>
      </c>
      <c r="M1070">
        <f t="shared" si="181"/>
        <v>7.9999704242423864E-3</v>
      </c>
      <c r="N1070">
        <v>688.59997559999999</v>
      </c>
      <c r="O1070">
        <f t="shared" si="182"/>
        <v>8.1990857979501452E-3</v>
      </c>
      <c r="P1070">
        <v>116.8000031</v>
      </c>
      <c r="Q1070">
        <f t="shared" si="183"/>
        <v>-8.5541829526836199E-4</v>
      </c>
      <c r="R1070">
        <v>311.25</v>
      </c>
      <c r="S1070">
        <f t="shared" si="184"/>
        <v>3.2232070910556132E-3</v>
      </c>
      <c r="T1070">
        <v>3349.1999510000001</v>
      </c>
      <c r="U1070">
        <f t="shared" si="185"/>
        <v>6.2190028541384557E-3</v>
      </c>
      <c r="W1070">
        <f t="shared" si="186"/>
        <v>5.1600040459914964E-3</v>
      </c>
      <c r="X1070">
        <v>3.0226458293009743E-3</v>
      </c>
    </row>
    <row r="1071" spans="1:24" x14ac:dyDescent="0.35">
      <c r="A1071" s="1">
        <v>44396</v>
      </c>
      <c r="B1071">
        <v>1937.3302000000001</v>
      </c>
      <c r="C1071">
        <f t="shared" si="176"/>
        <v>-6.3671455185179138E-3</v>
      </c>
      <c r="D1071">
        <v>3184.6000979999999</v>
      </c>
      <c r="E1071">
        <f t="shared" si="177"/>
        <v>-3.1926727318013493E-3</v>
      </c>
      <c r="F1071">
        <v>1471</v>
      </c>
      <c r="G1071">
        <f t="shared" si="178"/>
        <v>-3.3730729996083397E-2</v>
      </c>
      <c r="H1071">
        <v>528.52691649999997</v>
      </c>
      <c r="I1071">
        <f t="shared" si="179"/>
        <v>-4.9893103077234269E-3</v>
      </c>
      <c r="J1071">
        <v>1541.6999510000001</v>
      </c>
      <c r="K1071">
        <f t="shared" si="180"/>
        <v>-8.8398858421385729E-3</v>
      </c>
      <c r="L1071">
        <v>207.75</v>
      </c>
      <c r="M1071">
        <f t="shared" si="181"/>
        <v>-7.2147140164013912E-4</v>
      </c>
      <c r="N1071">
        <v>689.25</v>
      </c>
      <c r="O1071">
        <f t="shared" si="182"/>
        <v>9.4397970234250117E-4</v>
      </c>
      <c r="P1071">
        <v>114.5999985</v>
      </c>
      <c r="Q1071">
        <f t="shared" si="183"/>
        <v>-1.8835655321998823E-2</v>
      </c>
      <c r="R1071">
        <v>308.85000609999997</v>
      </c>
      <c r="S1071">
        <f t="shared" si="184"/>
        <v>-7.7108237751004616E-3</v>
      </c>
      <c r="T1071">
        <v>3331.6000979999999</v>
      </c>
      <c r="U1071">
        <f t="shared" si="185"/>
        <v>-5.254942451180078E-3</v>
      </c>
      <c r="W1071">
        <f t="shared" si="186"/>
        <v>-8.8698657643841664E-3</v>
      </c>
      <c r="X1071">
        <v>3.0307413734334885E-3</v>
      </c>
    </row>
    <row r="1072" spans="1:24" x14ac:dyDescent="0.35">
      <c r="A1072" s="1">
        <v>44397</v>
      </c>
      <c r="B1072">
        <v>1932.5766599999999</v>
      </c>
      <c r="C1072">
        <f t="shared" si="176"/>
        <v>-2.4536550351613728E-3</v>
      </c>
      <c r="D1072">
        <v>3205.8000489999999</v>
      </c>
      <c r="E1072">
        <f t="shared" si="177"/>
        <v>6.6570213991119509E-3</v>
      </c>
      <c r="F1072">
        <v>1443.150024</v>
      </c>
      <c r="G1072">
        <f t="shared" si="178"/>
        <v>-1.8932682528891909E-2</v>
      </c>
      <c r="H1072">
        <v>516.06097409999995</v>
      </c>
      <c r="I1072">
        <f t="shared" si="179"/>
        <v>-2.3586201593197464E-2</v>
      </c>
      <c r="J1072">
        <v>1550.0500489999999</v>
      </c>
      <c r="K1072">
        <f t="shared" si="180"/>
        <v>5.4161628497060299E-3</v>
      </c>
      <c r="L1072">
        <v>206.8000031</v>
      </c>
      <c r="M1072">
        <f t="shared" si="181"/>
        <v>-4.5727889290012591E-3</v>
      </c>
      <c r="N1072">
        <v>676.45001219999995</v>
      </c>
      <c r="O1072">
        <f t="shared" si="182"/>
        <v>-1.857089270946688E-2</v>
      </c>
      <c r="P1072">
        <v>112.5999985</v>
      </c>
      <c r="Q1072">
        <f t="shared" si="183"/>
        <v>-1.7452007209232234E-2</v>
      </c>
      <c r="R1072">
        <v>302.14999390000003</v>
      </c>
      <c r="S1072">
        <f t="shared" si="184"/>
        <v>-2.1693417735697218E-2</v>
      </c>
      <c r="T1072">
        <v>3397.3000489999999</v>
      </c>
      <c r="U1072">
        <f t="shared" si="185"/>
        <v>1.9720239244632287E-2</v>
      </c>
      <c r="W1072">
        <f t="shared" si="186"/>
        <v>-7.5468222247198078E-3</v>
      </c>
      <c r="X1072">
        <v>3.0451311066210466E-3</v>
      </c>
    </row>
    <row r="1073" spans="1:24" x14ac:dyDescent="0.35">
      <c r="A1073" s="1">
        <v>44399</v>
      </c>
      <c r="B1073">
        <v>1957.4053960000001</v>
      </c>
      <c r="C1073">
        <f t="shared" si="176"/>
        <v>1.2847477936528628E-2</v>
      </c>
      <c r="D1073">
        <v>3216.3500979999999</v>
      </c>
      <c r="E1073">
        <f t="shared" si="177"/>
        <v>3.2909254597119908E-3</v>
      </c>
      <c r="F1073">
        <v>1448.6999510000001</v>
      </c>
      <c r="G1073">
        <f t="shared" si="178"/>
        <v>3.8457034318699623E-3</v>
      </c>
      <c r="H1073">
        <v>536.6248779</v>
      </c>
      <c r="I1073">
        <f t="shared" si="179"/>
        <v>3.984781805263049E-2</v>
      </c>
      <c r="J1073">
        <v>1590.1999510000001</v>
      </c>
      <c r="K1073">
        <f t="shared" si="180"/>
        <v>2.5902326202887682E-2</v>
      </c>
      <c r="L1073">
        <v>207</v>
      </c>
      <c r="M1073">
        <f t="shared" si="181"/>
        <v>9.6710298356850188E-4</v>
      </c>
      <c r="N1073">
        <v>687.29998780000005</v>
      </c>
      <c r="O1073">
        <f t="shared" si="182"/>
        <v>1.6039582237145744E-2</v>
      </c>
      <c r="P1073">
        <v>115.5</v>
      </c>
      <c r="Q1073">
        <f t="shared" si="183"/>
        <v>2.5754898211654886E-2</v>
      </c>
      <c r="R1073">
        <v>302.5499878</v>
      </c>
      <c r="S1073">
        <f t="shared" si="184"/>
        <v>1.3238256100456258E-3</v>
      </c>
      <c r="T1073">
        <v>3397.3500979999999</v>
      </c>
      <c r="U1073">
        <f t="shared" si="185"/>
        <v>1.4731992840744113E-5</v>
      </c>
      <c r="W1073">
        <f t="shared" si="186"/>
        <v>1.2983439211888425E-2</v>
      </c>
      <c r="X1073">
        <v>3.0514082014369004E-3</v>
      </c>
    </row>
    <row r="1074" spans="1:24" x14ac:dyDescent="0.35">
      <c r="A1074" s="1">
        <v>44400</v>
      </c>
      <c r="B1074">
        <v>1943.5604249999999</v>
      </c>
      <c r="C1074">
        <f t="shared" si="176"/>
        <v>-7.0731239569956639E-3</v>
      </c>
      <c r="D1074">
        <v>3212.8500979999999</v>
      </c>
      <c r="E1074">
        <f t="shared" si="177"/>
        <v>-1.0881899959137575E-3</v>
      </c>
      <c r="F1074">
        <v>1442.75</v>
      </c>
      <c r="G1074">
        <f t="shared" si="178"/>
        <v>-4.1070968463089441E-3</v>
      </c>
      <c r="H1074">
        <v>538.19537349999996</v>
      </c>
      <c r="I1074">
        <f t="shared" si="179"/>
        <v>2.9266172044535299E-3</v>
      </c>
      <c r="J1074">
        <v>1590.4499510000001</v>
      </c>
      <c r="K1074">
        <f t="shared" si="180"/>
        <v>1.572129340356998E-4</v>
      </c>
      <c r="L1074">
        <v>212.3999939</v>
      </c>
      <c r="M1074">
        <f t="shared" si="181"/>
        <v>2.6086927053140085E-2</v>
      </c>
      <c r="N1074">
        <v>694</v>
      </c>
      <c r="O1074">
        <f t="shared" si="182"/>
        <v>9.7483083354128475E-3</v>
      </c>
      <c r="P1074">
        <v>115.3000031</v>
      </c>
      <c r="Q1074">
        <f t="shared" si="183"/>
        <v>-1.7315748917748897E-3</v>
      </c>
      <c r="R1074">
        <v>295.5499878</v>
      </c>
      <c r="S1074">
        <f t="shared" si="184"/>
        <v>-2.3136672557486082E-2</v>
      </c>
      <c r="T1074">
        <v>3413.1999510000001</v>
      </c>
      <c r="U1074">
        <f t="shared" si="185"/>
        <v>4.6653575706934181E-3</v>
      </c>
      <c r="W1074">
        <f t="shared" si="186"/>
        <v>6.4477648492562451E-4</v>
      </c>
      <c r="X1074">
        <v>3.0605785341936698E-3</v>
      </c>
    </row>
    <row r="1075" spans="1:24" x14ac:dyDescent="0.35">
      <c r="A1075" s="1">
        <v>44403</v>
      </c>
      <c r="B1075">
        <v>1916.931885</v>
      </c>
      <c r="C1075">
        <f t="shared" si="176"/>
        <v>-1.370090667492363E-2</v>
      </c>
      <c r="D1075">
        <v>3197.5500489999999</v>
      </c>
      <c r="E1075">
        <f t="shared" si="177"/>
        <v>-4.7621421894299409E-3</v>
      </c>
      <c r="F1075">
        <v>1434.5500489999999</v>
      </c>
      <c r="G1075">
        <f t="shared" si="178"/>
        <v>-5.6835564027032381E-3</v>
      </c>
      <c r="H1075">
        <v>534.02368160000003</v>
      </c>
      <c r="I1075">
        <f t="shared" si="179"/>
        <v>-7.7512593110389272E-3</v>
      </c>
      <c r="J1075">
        <v>1603.900024</v>
      </c>
      <c r="K1075">
        <f t="shared" si="180"/>
        <v>8.4567722433159798E-3</v>
      </c>
      <c r="L1075">
        <v>211.1499939</v>
      </c>
      <c r="M1075">
        <f t="shared" si="181"/>
        <v>-5.8851225795633066E-3</v>
      </c>
      <c r="N1075">
        <v>703.40002440000001</v>
      </c>
      <c r="O1075">
        <f t="shared" si="182"/>
        <v>1.3544703746397602E-2</v>
      </c>
      <c r="P1075">
        <v>114.5500031</v>
      </c>
      <c r="Q1075">
        <f t="shared" si="183"/>
        <v>-6.5047699898977962E-3</v>
      </c>
      <c r="R1075">
        <v>293.14999390000003</v>
      </c>
      <c r="S1075">
        <f t="shared" si="184"/>
        <v>-8.1204330876983866E-3</v>
      </c>
      <c r="T1075">
        <v>3483.5500489999999</v>
      </c>
      <c r="U1075">
        <f t="shared" si="185"/>
        <v>2.0611185693761858E-2</v>
      </c>
      <c r="W1075">
        <f t="shared" si="186"/>
        <v>-9.795528551779795E-4</v>
      </c>
      <c r="X1075">
        <v>3.0694253926225384E-3</v>
      </c>
    </row>
    <row r="1076" spans="1:24" x14ac:dyDescent="0.35">
      <c r="A1076" s="1">
        <v>44404</v>
      </c>
      <c r="B1076">
        <v>1896.7642820000001</v>
      </c>
      <c r="C1076">
        <f t="shared" si="176"/>
        <v>-1.0520771842657206E-2</v>
      </c>
      <c r="D1076">
        <v>3182.9499510000001</v>
      </c>
      <c r="E1076">
        <f t="shared" si="177"/>
        <v>-4.5660264190597877E-3</v>
      </c>
      <c r="F1076">
        <v>1439.75</v>
      </c>
      <c r="G1076">
        <f t="shared" si="178"/>
        <v>3.6247958052246787E-3</v>
      </c>
      <c r="H1076">
        <v>530.58819579999999</v>
      </c>
      <c r="I1076">
        <f t="shared" si="179"/>
        <v>-6.4332087103458058E-3</v>
      </c>
      <c r="J1076">
        <v>1602.5500489999999</v>
      </c>
      <c r="K1076">
        <f t="shared" si="180"/>
        <v>-8.4168276064577885E-4</v>
      </c>
      <c r="L1076">
        <v>208.6499939</v>
      </c>
      <c r="M1076">
        <f t="shared" si="181"/>
        <v>-1.1839924566533488E-2</v>
      </c>
      <c r="N1076">
        <v>688.29998780000005</v>
      </c>
      <c r="O1076">
        <f t="shared" si="182"/>
        <v>-2.1467210799260728E-2</v>
      </c>
      <c r="P1076">
        <v>114.6500015</v>
      </c>
      <c r="Q1076">
        <f t="shared" si="183"/>
        <v>8.7296723957930311E-4</v>
      </c>
      <c r="R1076">
        <v>291.39999390000003</v>
      </c>
      <c r="S1076">
        <f t="shared" si="184"/>
        <v>-5.9696402402006354E-3</v>
      </c>
      <c r="T1076">
        <v>3499.3999020000001</v>
      </c>
      <c r="U1076">
        <f t="shared" si="185"/>
        <v>4.5499139604869843E-3</v>
      </c>
      <c r="W1076">
        <f t="shared" si="186"/>
        <v>-5.2590788333412462E-3</v>
      </c>
      <c r="X1076">
        <v>3.1306916689521017E-3</v>
      </c>
    </row>
    <row r="1077" spans="1:24" x14ac:dyDescent="0.35">
      <c r="A1077" s="1">
        <v>44405</v>
      </c>
      <c r="B1077">
        <v>1880.473389</v>
      </c>
      <c r="C1077">
        <f t="shared" si="176"/>
        <v>-8.5887809859127584E-3</v>
      </c>
      <c r="D1077">
        <v>3197.8000489999999</v>
      </c>
      <c r="E1077">
        <f t="shared" si="177"/>
        <v>4.6655141389622123E-3</v>
      </c>
      <c r="F1077">
        <v>1417.3000489999999</v>
      </c>
      <c r="G1077">
        <f t="shared" si="178"/>
        <v>-1.5592950859524279E-2</v>
      </c>
      <c r="H1077">
        <v>557.43414310000003</v>
      </c>
      <c r="I1077">
        <f t="shared" si="179"/>
        <v>5.0596578500060163E-2</v>
      </c>
      <c r="J1077">
        <v>1605.599976</v>
      </c>
      <c r="K1077">
        <f t="shared" si="180"/>
        <v>1.9031711377146543E-3</v>
      </c>
      <c r="L1077">
        <v>209.1000061</v>
      </c>
      <c r="M1077">
        <f t="shared" si="181"/>
        <v>2.1567803170685629E-3</v>
      </c>
      <c r="N1077">
        <v>687.79998780000005</v>
      </c>
      <c r="O1077">
        <f t="shared" si="182"/>
        <v>-7.2642744277551241E-4</v>
      </c>
      <c r="P1077">
        <v>114.3499985</v>
      </c>
      <c r="Q1077">
        <f t="shared" si="183"/>
        <v>-2.6166855305275183E-3</v>
      </c>
      <c r="R1077">
        <v>284.4500122</v>
      </c>
      <c r="S1077">
        <f t="shared" si="184"/>
        <v>-2.3850315186983329E-2</v>
      </c>
      <c r="T1077">
        <v>3488.5</v>
      </c>
      <c r="U1077">
        <f t="shared" si="185"/>
        <v>-3.1147917658026492E-3</v>
      </c>
      <c r="W1077">
        <f t="shared" si="186"/>
        <v>4.8320923222795455E-4</v>
      </c>
      <c r="X1077">
        <v>3.1579129182726872E-3</v>
      </c>
    </row>
    <row r="1078" spans="1:24" x14ac:dyDescent="0.35">
      <c r="A1078" s="1">
        <v>44406</v>
      </c>
      <c r="B1078">
        <v>1895.149048</v>
      </c>
      <c r="C1078">
        <f t="shared" si="176"/>
        <v>7.8042364682460175E-3</v>
      </c>
      <c r="D1078">
        <v>3195.8000489999999</v>
      </c>
      <c r="E1078">
        <f t="shared" si="177"/>
        <v>-6.254299735298785E-4</v>
      </c>
      <c r="F1078">
        <v>1418.25</v>
      </c>
      <c r="G1078">
        <f t="shared" si="178"/>
        <v>6.7025398091979937E-4</v>
      </c>
      <c r="H1078">
        <v>556.69799799999998</v>
      </c>
      <c r="I1078">
        <f t="shared" si="179"/>
        <v>-1.3205956418568254E-3</v>
      </c>
      <c r="J1078">
        <v>1617</v>
      </c>
      <c r="K1078">
        <f t="shared" si="180"/>
        <v>7.1001645306452144E-3</v>
      </c>
      <c r="L1078">
        <v>206.0500031</v>
      </c>
      <c r="M1078">
        <f t="shared" si="181"/>
        <v>-1.4586336255491883E-2</v>
      </c>
      <c r="N1078">
        <v>703</v>
      </c>
      <c r="O1078">
        <f t="shared" si="182"/>
        <v>2.2099465643520499E-2</v>
      </c>
      <c r="P1078">
        <v>114.75</v>
      </c>
      <c r="Q1078">
        <f t="shared" si="183"/>
        <v>3.4980455203066363E-3</v>
      </c>
      <c r="R1078">
        <v>292.89999390000003</v>
      </c>
      <c r="S1078">
        <f t="shared" si="184"/>
        <v>2.9706385437096472E-2</v>
      </c>
      <c r="T1078">
        <v>3502.6000979999999</v>
      </c>
      <c r="U1078">
        <f t="shared" si="185"/>
        <v>4.0418798910706322E-3</v>
      </c>
      <c r="W1078">
        <f t="shared" si="186"/>
        <v>5.8388069600926688E-3</v>
      </c>
      <c r="X1078">
        <v>3.1589807491060329E-3</v>
      </c>
    </row>
    <row r="1079" spans="1:24" x14ac:dyDescent="0.35">
      <c r="A1079" s="1">
        <v>44407</v>
      </c>
      <c r="B1079">
        <v>1878.5812989999999</v>
      </c>
      <c r="C1079">
        <f t="shared" si="176"/>
        <v>-8.7421878598331615E-3</v>
      </c>
      <c r="D1079">
        <v>3167.4499510000001</v>
      </c>
      <c r="E1079">
        <f t="shared" si="177"/>
        <v>-8.8710487406341576E-3</v>
      </c>
      <c r="F1079">
        <v>1426.4499510000001</v>
      </c>
      <c r="G1079">
        <f t="shared" si="178"/>
        <v>5.7817387625596073E-3</v>
      </c>
      <c r="H1079">
        <v>551.29937740000003</v>
      </c>
      <c r="I1079">
        <f t="shared" si="179"/>
        <v>-9.6975750216367063E-3</v>
      </c>
      <c r="J1079">
        <v>1610.5</v>
      </c>
      <c r="K1079">
        <f t="shared" si="180"/>
        <v>-4.0197897340754629E-3</v>
      </c>
      <c r="L1079">
        <v>204.9499969</v>
      </c>
      <c r="M1079">
        <f t="shared" si="181"/>
        <v>-5.3385400798374727E-3</v>
      </c>
      <c r="N1079">
        <v>773.95001219999995</v>
      </c>
      <c r="O1079">
        <f t="shared" si="182"/>
        <v>0.10092462617354192</v>
      </c>
      <c r="P1079">
        <v>115.3000031</v>
      </c>
      <c r="Q1079">
        <f t="shared" si="183"/>
        <v>4.7930553376906992E-3</v>
      </c>
      <c r="R1079">
        <v>293.9500122</v>
      </c>
      <c r="S1079">
        <f t="shared" si="184"/>
        <v>3.5849037960664631E-3</v>
      </c>
      <c r="T1079">
        <v>3500.8000489999999</v>
      </c>
      <c r="U1079">
        <f t="shared" si="185"/>
        <v>-5.1391793228916516E-4</v>
      </c>
      <c r="W1079">
        <f t="shared" si="186"/>
        <v>7.7901264701552564E-3</v>
      </c>
      <c r="X1079">
        <v>3.1704491357743116E-3</v>
      </c>
    </row>
    <row r="1080" spans="1:24" x14ac:dyDescent="0.35">
      <c r="A1080" s="1">
        <v>44410</v>
      </c>
      <c r="B1080">
        <v>1912.91687</v>
      </c>
      <c r="C1080">
        <f t="shared" si="176"/>
        <v>1.8277394232699695E-2</v>
      </c>
      <c r="D1080">
        <v>3219.3999020000001</v>
      </c>
      <c r="E1080">
        <f t="shared" si="177"/>
        <v>1.6401190801325516E-2</v>
      </c>
      <c r="F1080">
        <v>1422.650024</v>
      </c>
      <c r="G1080">
        <f t="shared" si="178"/>
        <v>-2.6639048901337947E-3</v>
      </c>
      <c r="H1080">
        <v>554.73486330000003</v>
      </c>
      <c r="I1080">
        <f t="shared" si="179"/>
        <v>6.2316157805260008E-3</v>
      </c>
      <c r="J1080">
        <v>1631.5500489999999</v>
      </c>
      <c r="K1080">
        <f t="shared" si="180"/>
        <v>1.3070505433095292E-2</v>
      </c>
      <c r="L1080">
        <v>207.3000031</v>
      </c>
      <c r="M1080">
        <f t="shared" si="181"/>
        <v>1.1466241695756718E-2</v>
      </c>
      <c r="N1080">
        <v>775</v>
      </c>
      <c r="O1080">
        <f t="shared" si="182"/>
        <v>1.3566610032285098E-3</v>
      </c>
      <c r="P1080">
        <v>117.0999985</v>
      </c>
      <c r="Q1080">
        <f t="shared" si="183"/>
        <v>1.5611408079831968E-2</v>
      </c>
      <c r="R1080">
        <v>296.85000609999997</v>
      </c>
      <c r="S1080">
        <f t="shared" si="184"/>
        <v>9.8656022440537505E-3</v>
      </c>
      <c r="T1080">
        <v>3502.3999020000001</v>
      </c>
      <c r="U1080">
        <f t="shared" si="185"/>
        <v>4.5699639442631224E-4</v>
      </c>
      <c r="W1080">
        <f t="shared" si="186"/>
        <v>9.0073710774809957E-3</v>
      </c>
      <c r="X1080">
        <v>3.1715057036309727E-3</v>
      </c>
    </row>
    <row r="1081" spans="1:24" x14ac:dyDescent="0.35">
      <c r="A1081" s="1">
        <v>44411</v>
      </c>
      <c r="B1081">
        <v>1926.9925539999999</v>
      </c>
      <c r="C1081">
        <f t="shared" si="176"/>
        <v>7.3582308885173919E-3</v>
      </c>
      <c r="D1081">
        <v>3284.8999020000001</v>
      </c>
      <c r="E1081">
        <f t="shared" si="177"/>
        <v>2.0345406595592364E-2</v>
      </c>
      <c r="F1081">
        <v>1434.6999510000001</v>
      </c>
      <c r="G1081">
        <f t="shared" si="178"/>
        <v>8.4700571445672779E-3</v>
      </c>
      <c r="H1081">
        <v>569.50750730000004</v>
      </c>
      <c r="I1081">
        <f t="shared" si="179"/>
        <v>2.6630098407950609E-2</v>
      </c>
      <c r="J1081">
        <v>1655.1999510000001</v>
      </c>
      <c r="K1081">
        <f t="shared" si="180"/>
        <v>1.4495357966183953E-2</v>
      </c>
      <c r="L1081">
        <v>209.8999939</v>
      </c>
      <c r="M1081">
        <f t="shared" si="181"/>
        <v>1.2542164790734667E-2</v>
      </c>
      <c r="N1081">
        <v>794.79998780000005</v>
      </c>
      <c r="O1081">
        <f t="shared" si="182"/>
        <v>2.5548371354838784E-2</v>
      </c>
      <c r="P1081">
        <v>117.9000015</v>
      </c>
      <c r="Q1081">
        <f t="shared" si="183"/>
        <v>6.8317934265387237E-3</v>
      </c>
      <c r="R1081">
        <v>303.7000122</v>
      </c>
      <c r="S1081">
        <f t="shared" si="184"/>
        <v>2.3075647496171747E-2</v>
      </c>
      <c r="T1081">
        <v>3566.25</v>
      </c>
      <c r="U1081">
        <f t="shared" si="185"/>
        <v>1.8230384818004097E-2</v>
      </c>
      <c r="W1081">
        <f t="shared" si="186"/>
        <v>1.6352751288909964E-2</v>
      </c>
      <c r="X1081">
        <v>3.1765314293456864E-3</v>
      </c>
    </row>
    <row r="1082" spans="1:24" x14ac:dyDescent="0.35">
      <c r="A1082" s="1">
        <v>44412</v>
      </c>
      <c r="B1082">
        <v>1941.76062</v>
      </c>
      <c r="C1082">
        <f t="shared" si="176"/>
        <v>7.663789862262238E-3</v>
      </c>
      <c r="D1082">
        <v>3273.9499510000001</v>
      </c>
      <c r="E1082">
        <f t="shared" si="177"/>
        <v>-3.3334199904639927E-3</v>
      </c>
      <c r="F1082">
        <v>1465.3000489999999</v>
      </c>
      <c r="G1082">
        <f t="shared" si="178"/>
        <v>2.1328569767268268E-2</v>
      </c>
      <c r="H1082">
        <v>563.81439209999996</v>
      </c>
      <c r="I1082">
        <f t="shared" si="179"/>
        <v>-9.9965586529153772E-3</v>
      </c>
      <c r="J1082">
        <v>1649.25</v>
      </c>
      <c r="K1082">
        <f t="shared" si="180"/>
        <v>-3.594702257213922E-3</v>
      </c>
      <c r="L1082">
        <v>208.6000061</v>
      </c>
      <c r="M1082">
        <f t="shared" si="181"/>
        <v>-6.1933674977586728E-3</v>
      </c>
      <c r="N1082">
        <v>785.75</v>
      </c>
      <c r="O1082">
        <f t="shared" si="182"/>
        <v>-1.1386497155152608E-2</v>
      </c>
      <c r="P1082">
        <v>117.3499985</v>
      </c>
      <c r="Q1082">
        <f t="shared" si="183"/>
        <v>-4.6649956997668607E-3</v>
      </c>
      <c r="R1082">
        <v>298.14999390000003</v>
      </c>
      <c r="S1082">
        <f t="shared" si="184"/>
        <v>-1.8274672627754285E-2</v>
      </c>
      <c r="T1082">
        <v>3593.0500489999999</v>
      </c>
      <c r="U1082">
        <f t="shared" si="185"/>
        <v>7.514910339992964E-3</v>
      </c>
      <c r="W1082">
        <f t="shared" si="186"/>
        <v>-2.0936943911502252E-3</v>
      </c>
      <c r="X1082">
        <v>3.2053701351694606E-3</v>
      </c>
    </row>
    <row r="1083" spans="1:24" x14ac:dyDescent="0.35">
      <c r="A1083" s="1">
        <v>44413</v>
      </c>
      <c r="B1083">
        <v>1969.9121090000001</v>
      </c>
      <c r="C1083">
        <f t="shared" si="176"/>
        <v>1.4497919419130145E-2</v>
      </c>
      <c r="D1083">
        <v>3283.9499510000001</v>
      </c>
      <c r="E1083">
        <f t="shared" si="177"/>
        <v>3.0544144381148275E-3</v>
      </c>
      <c r="F1083">
        <v>1484.849976</v>
      </c>
      <c r="G1083">
        <f t="shared" si="178"/>
        <v>1.3341927486689054E-2</v>
      </c>
      <c r="H1083">
        <v>587.66656490000003</v>
      </c>
      <c r="I1083">
        <f t="shared" si="179"/>
        <v>4.2305008765667562E-2</v>
      </c>
      <c r="J1083">
        <v>1653.5500489999999</v>
      </c>
      <c r="K1083">
        <f t="shared" si="180"/>
        <v>2.60727542822492E-3</v>
      </c>
      <c r="L1083">
        <v>215.25</v>
      </c>
      <c r="M1083">
        <f t="shared" si="181"/>
        <v>3.1879164456074305E-2</v>
      </c>
      <c r="N1083">
        <v>786.15002440000001</v>
      </c>
      <c r="O1083">
        <f t="shared" si="182"/>
        <v>5.0909882278071805E-4</v>
      </c>
      <c r="P1083">
        <v>116.8499985</v>
      </c>
      <c r="Q1083">
        <f t="shared" si="183"/>
        <v>-4.2607584694600575E-3</v>
      </c>
      <c r="R1083">
        <v>299.7000122</v>
      </c>
      <c r="S1083">
        <f t="shared" si="184"/>
        <v>5.198786958620083E-3</v>
      </c>
      <c r="T1083">
        <v>3564.1499020000001</v>
      </c>
      <c r="U1083">
        <f t="shared" si="185"/>
        <v>-8.0433466291524036E-3</v>
      </c>
      <c r="W1083">
        <f t="shared" si="186"/>
        <v>1.0108949067668916E-2</v>
      </c>
      <c r="X1083">
        <v>3.2082339308312832E-3</v>
      </c>
    </row>
    <row r="1084" spans="1:24" x14ac:dyDescent="0.35">
      <c r="A1084" s="1">
        <v>44414</v>
      </c>
      <c r="B1084">
        <v>1928.192505</v>
      </c>
      <c r="C1084">
        <f t="shared" si="176"/>
        <v>-2.1178408828188E-2</v>
      </c>
      <c r="D1084">
        <v>3309.8000489999999</v>
      </c>
      <c r="E1084">
        <f t="shared" si="177"/>
        <v>7.8716479805449602E-3</v>
      </c>
      <c r="F1084">
        <v>1492.650024</v>
      </c>
      <c r="G1084">
        <f t="shared" si="178"/>
        <v>5.2530882756334218E-3</v>
      </c>
      <c r="H1084">
        <v>596.69702150000001</v>
      </c>
      <c r="I1084">
        <f t="shared" si="179"/>
        <v>1.5366633290659681E-2</v>
      </c>
      <c r="J1084">
        <v>1650.1999510000001</v>
      </c>
      <c r="K1084">
        <f t="shared" si="180"/>
        <v>-2.0260033870918015E-3</v>
      </c>
      <c r="L1084">
        <v>214.25</v>
      </c>
      <c r="M1084">
        <f t="shared" si="181"/>
        <v>-4.6457607433216808E-3</v>
      </c>
      <c r="N1084">
        <v>785.20001219999995</v>
      </c>
      <c r="O1084">
        <f t="shared" si="182"/>
        <v>-1.2084362659978698E-3</v>
      </c>
      <c r="P1084">
        <v>116.6500015</v>
      </c>
      <c r="Q1084">
        <f t="shared" si="183"/>
        <v>-1.7115704113594976E-3</v>
      </c>
      <c r="R1084">
        <v>300.0499878</v>
      </c>
      <c r="S1084">
        <f t="shared" si="184"/>
        <v>1.1677530388836121E-3</v>
      </c>
      <c r="T1084">
        <v>3529.1999510000001</v>
      </c>
      <c r="U1084">
        <f t="shared" si="185"/>
        <v>-9.8059711182147957E-3</v>
      </c>
      <c r="W1084">
        <f t="shared" si="186"/>
        <v>-1.0917028168451967E-3</v>
      </c>
      <c r="X1084">
        <v>3.2239673977111473E-3</v>
      </c>
    </row>
    <row r="1085" spans="1:24" x14ac:dyDescent="0.35">
      <c r="A1085" s="1">
        <v>44417</v>
      </c>
      <c r="B1085">
        <v>1917.20874</v>
      </c>
      <c r="C1085">
        <f t="shared" si="176"/>
        <v>-5.6964047788371497E-3</v>
      </c>
      <c r="D1085">
        <v>3322.6999510000001</v>
      </c>
      <c r="E1085">
        <f t="shared" si="177"/>
        <v>3.8974867995116291E-3</v>
      </c>
      <c r="F1085">
        <v>1503.900024</v>
      </c>
      <c r="G1085">
        <f t="shared" si="178"/>
        <v>7.5369308405277557E-3</v>
      </c>
      <c r="H1085">
        <v>588.20642090000001</v>
      </c>
      <c r="I1085">
        <f t="shared" si="179"/>
        <v>-1.4229332968105024E-2</v>
      </c>
      <c r="J1085">
        <v>1663.3000489999999</v>
      </c>
      <c r="K1085">
        <f t="shared" si="180"/>
        <v>7.9384913277094071E-3</v>
      </c>
      <c r="L1085">
        <v>213.8000031</v>
      </c>
      <c r="M1085">
        <f t="shared" si="181"/>
        <v>-2.1003355892649234E-3</v>
      </c>
      <c r="N1085">
        <v>788.79998780000005</v>
      </c>
      <c r="O1085">
        <f t="shared" si="182"/>
        <v>4.5847880082343639E-3</v>
      </c>
      <c r="P1085">
        <v>115</v>
      </c>
      <c r="Q1085">
        <f t="shared" si="183"/>
        <v>-1.414489051678236E-2</v>
      </c>
      <c r="R1085">
        <v>298.10000609999997</v>
      </c>
      <c r="S1085">
        <f t="shared" si="184"/>
        <v>-6.4988561215999496E-3</v>
      </c>
      <c r="T1085">
        <v>3523</v>
      </c>
      <c r="U1085">
        <f t="shared" si="185"/>
        <v>-1.7567582132157478E-3</v>
      </c>
      <c r="W1085">
        <f t="shared" si="186"/>
        <v>-2.0468881211821999E-3</v>
      </c>
      <c r="X1085">
        <v>3.2283670885228195E-3</v>
      </c>
    </row>
    <row r="1086" spans="1:24" x14ac:dyDescent="0.35">
      <c r="A1086" s="1">
        <v>44418</v>
      </c>
      <c r="B1086">
        <v>1927.2695309999999</v>
      </c>
      <c r="C1086">
        <f t="shared" si="176"/>
        <v>5.2476242101837656E-3</v>
      </c>
      <c r="D1086">
        <v>3333.8999020000001</v>
      </c>
      <c r="E1086">
        <f t="shared" si="177"/>
        <v>3.370738003781959E-3</v>
      </c>
      <c r="F1086">
        <v>1507.650024</v>
      </c>
      <c r="G1086">
        <f t="shared" si="178"/>
        <v>2.4935168163811028E-3</v>
      </c>
      <c r="H1086">
        <v>610.73345949999998</v>
      </c>
      <c r="I1086">
        <f t="shared" si="179"/>
        <v>3.8297845449446033E-2</v>
      </c>
      <c r="J1086">
        <v>1677.25</v>
      </c>
      <c r="K1086">
        <f t="shared" si="180"/>
        <v>8.3869119154940108E-3</v>
      </c>
      <c r="L1086">
        <v>209.8500061</v>
      </c>
      <c r="M1086">
        <f t="shared" si="181"/>
        <v>-1.8475196177394237E-2</v>
      </c>
      <c r="N1086">
        <v>793.34997559999999</v>
      </c>
      <c r="O1086">
        <f t="shared" si="182"/>
        <v>5.7682402007763756E-3</v>
      </c>
      <c r="P1086">
        <v>114.8499985</v>
      </c>
      <c r="Q1086">
        <f t="shared" si="183"/>
        <v>-1.304360869565202E-3</v>
      </c>
      <c r="R1086">
        <v>294.2000122</v>
      </c>
      <c r="S1086">
        <f t="shared" si="184"/>
        <v>-1.308283737066307E-2</v>
      </c>
      <c r="T1086">
        <v>3551.6499020000001</v>
      </c>
      <c r="U1086">
        <f t="shared" si="185"/>
        <v>8.1322458132273567E-3</v>
      </c>
      <c r="W1086">
        <f t="shared" si="186"/>
        <v>3.8834727991668093E-3</v>
      </c>
      <c r="X1086">
        <v>3.232227581016235E-3</v>
      </c>
    </row>
    <row r="1087" spans="1:24" x14ac:dyDescent="0.35">
      <c r="A1087" s="1">
        <v>44419</v>
      </c>
      <c r="B1087">
        <v>1954.267212</v>
      </c>
      <c r="C1087">
        <f t="shared" si="176"/>
        <v>1.4008253939443494E-2</v>
      </c>
      <c r="D1087">
        <v>3344.1999510000001</v>
      </c>
      <c r="E1087">
        <f t="shared" si="177"/>
        <v>3.0894895776027997E-3</v>
      </c>
      <c r="F1087">
        <v>1494.9499510000001</v>
      </c>
      <c r="G1087">
        <f t="shared" si="178"/>
        <v>-8.4237540528835364E-3</v>
      </c>
      <c r="H1087">
        <v>609.4083862</v>
      </c>
      <c r="I1087">
        <f t="shared" si="179"/>
        <v>-2.1696425492796489E-3</v>
      </c>
      <c r="J1087">
        <v>1677.5500489999999</v>
      </c>
      <c r="K1087">
        <f t="shared" si="180"/>
        <v>1.7889342674015651E-4</v>
      </c>
      <c r="L1087">
        <v>208.6499939</v>
      </c>
      <c r="M1087">
        <f t="shared" si="181"/>
        <v>-5.7184282350135618E-3</v>
      </c>
      <c r="N1087">
        <v>779.54998780000005</v>
      </c>
      <c r="O1087">
        <f t="shared" si="182"/>
        <v>-1.7394577707730008E-2</v>
      </c>
      <c r="P1087">
        <v>117</v>
      </c>
      <c r="Q1087">
        <f t="shared" si="183"/>
        <v>1.8720082961080742E-2</v>
      </c>
      <c r="R1087">
        <v>295.4500122</v>
      </c>
      <c r="S1087">
        <f t="shared" si="184"/>
        <v>4.2488101569153613E-3</v>
      </c>
      <c r="T1087">
        <v>3563.9499510000001</v>
      </c>
      <c r="U1087">
        <f t="shared" si="185"/>
        <v>3.46319297774067E-3</v>
      </c>
      <c r="W1087">
        <f t="shared" si="186"/>
        <v>1.000232049461647E-3</v>
      </c>
      <c r="X1087">
        <v>3.23664721655127E-3</v>
      </c>
    </row>
    <row r="1088" spans="1:24" x14ac:dyDescent="0.35">
      <c r="A1088" s="1">
        <v>44420</v>
      </c>
      <c r="B1088">
        <v>1947.990845</v>
      </c>
      <c r="C1088">
        <f t="shared" si="176"/>
        <v>-3.2116217073389075E-3</v>
      </c>
      <c r="D1088">
        <v>3351.75</v>
      </c>
      <c r="E1088">
        <f t="shared" si="177"/>
        <v>2.257654778609286E-3</v>
      </c>
      <c r="F1088">
        <v>1501.400024</v>
      </c>
      <c r="G1088">
        <f t="shared" si="178"/>
        <v>4.3145745419004289E-3</v>
      </c>
      <c r="H1088">
        <v>611.66595459999996</v>
      </c>
      <c r="I1088">
        <f t="shared" si="179"/>
        <v>3.7045246687155142E-3</v>
      </c>
      <c r="J1088">
        <v>1689.599976</v>
      </c>
      <c r="K1088">
        <f t="shared" si="180"/>
        <v>7.1830506679566586E-3</v>
      </c>
      <c r="L1088">
        <v>208.8999939</v>
      </c>
      <c r="M1088">
        <f t="shared" si="181"/>
        <v>1.1981788033017526E-3</v>
      </c>
      <c r="N1088">
        <v>778.65002440000001</v>
      </c>
      <c r="O1088">
        <f t="shared" si="182"/>
        <v>-1.1544652864915461E-3</v>
      </c>
      <c r="P1088">
        <v>116.25</v>
      </c>
      <c r="Q1088">
        <f t="shared" si="183"/>
        <v>-6.4102564102563875E-3</v>
      </c>
      <c r="R1088">
        <v>306</v>
      </c>
      <c r="S1088">
        <f t="shared" si="184"/>
        <v>3.5708198897816734E-2</v>
      </c>
      <c r="T1088">
        <v>3561</v>
      </c>
      <c r="U1088">
        <f t="shared" si="185"/>
        <v>-8.277195360648637E-4</v>
      </c>
      <c r="W1088">
        <f t="shared" si="186"/>
        <v>4.2762119418148677E-3</v>
      </c>
      <c r="X1088">
        <v>3.2368546272687386E-3</v>
      </c>
    </row>
    <row r="1089" spans="1:24" x14ac:dyDescent="0.35">
      <c r="A1089" s="1">
        <v>44421</v>
      </c>
      <c r="B1089">
        <v>1980.4342039999999</v>
      </c>
      <c r="C1089">
        <f t="shared" si="176"/>
        <v>1.6654780017716142E-2</v>
      </c>
      <c r="D1089">
        <v>3463.3999020000001</v>
      </c>
      <c r="E1089">
        <f t="shared" si="177"/>
        <v>3.3310927724323092E-2</v>
      </c>
      <c r="F1089">
        <v>1526.1999510000001</v>
      </c>
      <c r="G1089">
        <f t="shared" si="178"/>
        <v>1.6517867725836632E-2</v>
      </c>
      <c r="H1089">
        <v>625.30981450000002</v>
      </c>
      <c r="I1089">
        <f t="shared" si="179"/>
        <v>2.2306063951070376E-2</v>
      </c>
      <c r="J1089">
        <v>1712.1999510000001</v>
      </c>
      <c r="K1089">
        <f t="shared" si="180"/>
        <v>1.3375932363294485E-2</v>
      </c>
      <c r="L1089">
        <v>211.4499969</v>
      </c>
      <c r="M1089">
        <f t="shared" si="181"/>
        <v>1.2206812228154895E-2</v>
      </c>
      <c r="N1089">
        <v>778.29998780000005</v>
      </c>
      <c r="O1089">
        <f t="shared" si="182"/>
        <v>-4.4954291277354841E-4</v>
      </c>
      <c r="P1089">
        <v>116.0999985</v>
      </c>
      <c r="Q1089">
        <f t="shared" si="183"/>
        <v>-1.2903354838710301E-3</v>
      </c>
      <c r="R1089">
        <v>307.25</v>
      </c>
      <c r="S1089">
        <f t="shared" si="184"/>
        <v>4.0849673202614234E-3</v>
      </c>
      <c r="T1089">
        <v>3594.5500489999999</v>
      </c>
      <c r="U1089">
        <f t="shared" si="185"/>
        <v>9.4215245717494955E-3</v>
      </c>
      <c r="W1089">
        <f t="shared" si="186"/>
        <v>1.2613899750576196E-2</v>
      </c>
      <c r="X1089">
        <v>3.2384776529299055E-3</v>
      </c>
    </row>
    <row r="1090" spans="1:24" x14ac:dyDescent="0.35">
      <c r="A1090" s="1">
        <v>44424</v>
      </c>
      <c r="B1090">
        <v>2006.1397710000001</v>
      </c>
      <c r="C1090">
        <f t="shared" si="176"/>
        <v>1.2979763199444383E-2</v>
      </c>
      <c r="D1090">
        <v>3472.9499510000001</v>
      </c>
      <c r="E1090">
        <f t="shared" si="177"/>
        <v>2.7574202431792649E-3</v>
      </c>
      <c r="F1090">
        <v>1530.599976</v>
      </c>
      <c r="G1090">
        <f t="shared" si="178"/>
        <v>2.8829938024286239E-3</v>
      </c>
      <c r="H1090">
        <v>622.36511229999996</v>
      </c>
      <c r="I1090">
        <f t="shared" si="179"/>
        <v>-4.70918915986418E-3</v>
      </c>
      <c r="J1090">
        <v>1704.400024</v>
      </c>
      <c r="K1090">
        <f t="shared" si="180"/>
        <v>-4.5555000719655903E-3</v>
      </c>
      <c r="L1090">
        <v>210.8999939</v>
      </c>
      <c r="M1090">
        <f t="shared" si="181"/>
        <v>-2.6011019534804003E-3</v>
      </c>
      <c r="N1090">
        <v>780.79998780000005</v>
      </c>
      <c r="O1090">
        <f t="shared" si="182"/>
        <v>3.2121290494513399E-3</v>
      </c>
      <c r="P1090">
        <v>115.5</v>
      </c>
      <c r="Q1090">
        <f t="shared" si="183"/>
        <v>-5.1679458032034553E-3</v>
      </c>
      <c r="R1090">
        <v>303.7000122</v>
      </c>
      <c r="S1090">
        <f t="shared" si="184"/>
        <v>-1.1554069324654193E-2</v>
      </c>
      <c r="T1090">
        <v>3633.5</v>
      </c>
      <c r="U1090">
        <f t="shared" si="185"/>
        <v>1.0835834935956967E-2</v>
      </c>
      <c r="W1090">
        <f t="shared" si="186"/>
        <v>4.0803349172927603E-4</v>
      </c>
      <c r="X1090">
        <v>3.2450877826012414E-3</v>
      </c>
    </row>
    <row r="1091" spans="1:24" x14ac:dyDescent="0.35">
      <c r="A1091" s="1">
        <v>44425</v>
      </c>
      <c r="B1091">
        <v>1997.6020510000001</v>
      </c>
      <c r="C1091">
        <f t="shared" si="176"/>
        <v>-4.2557951960366935E-3</v>
      </c>
      <c r="D1091">
        <v>3553.0500489999999</v>
      </c>
      <c r="E1091">
        <f t="shared" si="177"/>
        <v>2.3063994336266269E-2</v>
      </c>
      <c r="F1091">
        <v>1514.650024</v>
      </c>
      <c r="G1091">
        <f t="shared" si="178"/>
        <v>-1.0420718835814191E-2</v>
      </c>
      <c r="H1091">
        <v>614.80700679999995</v>
      </c>
      <c r="I1091">
        <f t="shared" si="179"/>
        <v>-1.2144166423577962E-2</v>
      </c>
      <c r="J1091">
        <v>1741.650024</v>
      </c>
      <c r="K1091">
        <f t="shared" si="180"/>
        <v>2.1855198002508347E-2</v>
      </c>
      <c r="L1091">
        <v>209.1999969</v>
      </c>
      <c r="M1091">
        <f t="shared" si="181"/>
        <v>-8.060678279611877E-3</v>
      </c>
      <c r="N1091">
        <v>784.15002440000001</v>
      </c>
      <c r="O1091">
        <f t="shared" si="182"/>
        <v>4.2905182535146746E-3</v>
      </c>
      <c r="P1091">
        <v>113.8499985</v>
      </c>
      <c r="Q1091">
        <f t="shared" si="183"/>
        <v>-1.4285727272727256E-2</v>
      </c>
      <c r="R1091">
        <v>297.7000122</v>
      </c>
      <c r="S1091">
        <f t="shared" si="184"/>
        <v>-1.9756337698296655E-2</v>
      </c>
      <c r="T1091">
        <v>3634.3500979999999</v>
      </c>
      <c r="U1091">
        <f t="shared" si="185"/>
        <v>2.3396119444063501E-4</v>
      </c>
      <c r="W1091">
        <f t="shared" si="186"/>
        <v>-1.9479751919334709E-3</v>
      </c>
      <c r="X1091">
        <v>3.2612515814123282E-3</v>
      </c>
    </row>
    <row r="1092" spans="1:24" x14ac:dyDescent="0.35">
      <c r="A1092" s="1">
        <v>44426</v>
      </c>
      <c r="B1092">
        <v>2005.355225</v>
      </c>
      <c r="C1092">
        <f t="shared" ref="C1092:C1155" si="187">B1092/B1091 - 1</f>
        <v>3.8812405083978874E-3</v>
      </c>
      <c r="D1092">
        <v>3560.5500489999999</v>
      </c>
      <c r="E1092">
        <f t="shared" ref="E1092:E1155" si="188">D1092/D1091 - 1</f>
        <v>2.1108624693060296E-3</v>
      </c>
      <c r="F1092">
        <v>1513</v>
      </c>
      <c r="G1092">
        <f t="shared" ref="G1092:G1155" si="189">F1092/F1091 - 1</f>
        <v>-1.0893764063347744E-3</v>
      </c>
      <c r="H1092">
        <v>611.46966550000002</v>
      </c>
      <c r="I1092">
        <f t="shared" ref="I1092:I1155" si="190">H1092/H1091 - 1</f>
        <v>-5.4282746668266046E-3</v>
      </c>
      <c r="J1092">
        <v>1733.4499510000001</v>
      </c>
      <c r="K1092">
        <f t="shared" ref="K1092:K1155" si="191">J1092/J1091 -1</f>
        <v>-4.7082208750338639E-3</v>
      </c>
      <c r="L1092">
        <v>208.9499969</v>
      </c>
      <c r="M1092">
        <f t="shared" ref="M1092:M1155" si="192">L1092/L1091 -1</f>
        <v>-1.1950286983967162E-3</v>
      </c>
      <c r="N1092">
        <v>782.90002440000001</v>
      </c>
      <c r="O1092">
        <f t="shared" ref="O1092:O1155" si="193">N1092/N1091-1</f>
        <v>-1.594082715174916E-3</v>
      </c>
      <c r="P1092">
        <v>113.1999969</v>
      </c>
      <c r="Q1092">
        <f t="shared" ref="Q1092:Q1155" si="194">P1092/P1091 -1</f>
        <v>-5.7092807076321028E-3</v>
      </c>
      <c r="R1092">
        <v>293.35000609999997</v>
      </c>
      <c r="S1092">
        <f t="shared" ref="S1092:S1155" si="195">R1092/R1091 - 1</f>
        <v>-1.461204542066874E-2</v>
      </c>
      <c r="T1092">
        <v>3650.6000979999999</v>
      </c>
      <c r="U1092">
        <f t="shared" ref="U1092:U1155" si="196">T1092/T1091 - 1</f>
        <v>4.4712258207988409E-3</v>
      </c>
      <c r="W1092">
        <f t="shared" ref="W1092:W1155" si="197">0.1*C1092+0.1*E1092+0.1*G1092+0.1*I1092+0.1*K1092+0.1*M1092+0.1*O1092+0.1*Q1092+0.1*S1092+0.1*U1092</f>
        <v>-2.387298069156496E-3</v>
      </c>
      <c r="X1092">
        <v>3.2741166331979655E-3</v>
      </c>
    </row>
    <row r="1093" spans="1:24" x14ac:dyDescent="0.35">
      <c r="A1093" s="1">
        <v>44428</v>
      </c>
      <c r="B1093">
        <v>1982.834106</v>
      </c>
      <c r="C1093">
        <f t="shared" si="187"/>
        <v>-1.1230488603334643E-2</v>
      </c>
      <c r="D1093">
        <v>3559.5</v>
      </c>
      <c r="E1093">
        <f t="shared" si="188"/>
        <v>-2.9491201796050248E-4</v>
      </c>
      <c r="F1093">
        <v>1514.75</v>
      </c>
      <c r="G1093">
        <f t="shared" si="189"/>
        <v>1.1566424322537738E-3</v>
      </c>
      <c r="H1093">
        <v>602.39013669999997</v>
      </c>
      <c r="I1093">
        <f t="shared" si="190"/>
        <v>-1.48486986555183E-2</v>
      </c>
      <c r="J1093">
        <v>1732.9499510000001</v>
      </c>
      <c r="K1093">
        <f t="shared" si="191"/>
        <v>-2.8844213224132886E-4</v>
      </c>
      <c r="L1093">
        <v>208.8999939</v>
      </c>
      <c r="M1093">
        <f t="shared" si="192"/>
        <v>-2.3930605763033963E-4</v>
      </c>
      <c r="N1093">
        <v>761.15002440000001</v>
      </c>
      <c r="O1093">
        <f t="shared" si="193"/>
        <v>-2.7781324973988553E-2</v>
      </c>
      <c r="P1093">
        <v>110.1999969</v>
      </c>
      <c r="Q1093">
        <f t="shared" si="194"/>
        <v>-2.6501767510207386E-2</v>
      </c>
      <c r="R1093">
        <v>283.10000609999997</v>
      </c>
      <c r="S1093">
        <f t="shared" si="195"/>
        <v>-3.4941195796348024E-2</v>
      </c>
      <c r="T1093">
        <v>3643.1000979999999</v>
      </c>
      <c r="U1093">
        <f t="shared" si="196"/>
        <v>-2.0544567464699792E-3</v>
      </c>
      <c r="W1093">
        <f t="shared" si="197"/>
        <v>-1.170239500614453E-2</v>
      </c>
      <c r="X1093">
        <v>3.2960040578683741E-3</v>
      </c>
    </row>
    <row r="1094" spans="1:24" x14ac:dyDescent="0.35">
      <c r="A1094" s="1">
        <v>44431</v>
      </c>
      <c r="B1094">
        <v>1995.848389</v>
      </c>
      <c r="C1094">
        <f t="shared" si="187"/>
        <v>6.5634754620262914E-3</v>
      </c>
      <c r="D1094">
        <v>3637.3999020000001</v>
      </c>
      <c r="E1094">
        <f t="shared" si="188"/>
        <v>2.1885068689422749E-2</v>
      </c>
      <c r="F1094">
        <v>1524.599976</v>
      </c>
      <c r="G1094">
        <f t="shared" si="189"/>
        <v>6.5027073774550637E-3</v>
      </c>
      <c r="H1094">
        <v>611.17517090000001</v>
      </c>
      <c r="I1094">
        <f t="shared" si="190"/>
        <v>1.4583628888955591E-2</v>
      </c>
      <c r="J1094">
        <v>1738.75</v>
      </c>
      <c r="K1094">
        <f t="shared" si="191"/>
        <v>3.3469223947599769E-3</v>
      </c>
      <c r="L1094">
        <v>206.3000031</v>
      </c>
      <c r="M1094">
        <f t="shared" si="192"/>
        <v>-1.2446102804792858E-2</v>
      </c>
      <c r="N1094">
        <v>759.34997559999999</v>
      </c>
      <c r="O1094">
        <f t="shared" si="193"/>
        <v>-2.3649067099734689E-3</v>
      </c>
      <c r="P1094">
        <v>111.75</v>
      </c>
      <c r="Q1094">
        <f t="shared" si="194"/>
        <v>1.4065364279515657E-2</v>
      </c>
      <c r="R1094">
        <v>276.9500122</v>
      </c>
      <c r="S1094">
        <f t="shared" si="195"/>
        <v>-2.1723750503302997E-2</v>
      </c>
      <c r="T1094">
        <v>3673.75</v>
      </c>
      <c r="U1094">
        <f t="shared" si="196"/>
        <v>8.4131374860729746E-3</v>
      </c>
      <c r="W1094">
        <f t="shared" si="197"/>
        <v>3.8825544560138975E-3</v>
      </c>
      <c r="X1094">
        <v>3.315772749864743E-3</v>
      </c>
    </row>
    <row r="1095" spans="1:24" x14ac:dyDescent="0.35">
      <c r="A1095" s="1">
        <v>44432</v>
      </c>
      <c r="B1095">
        <v>2015.554443</v>
      </c>
      <c r="C1095">
        <f t="shared" si="187"/>
        <v>9.8735225123354198E-3</v>
      </c>
      <c r="D1095">
        <v>3613.1999510000001</v>
      </c>
      <c r="E1095">
        <f t="shared" si="188"/>
        <v>-6.6530905734873969E-3</v>
      </c>
      <c r="F1095">
        <v>1558.849976</v>
      </c>
      <c r="G1095">
        <f t="shared" si="189"/>
        <v>2.2464909182184023E-2</v>
      </c>
      <c r="H1095">
        <v>608.67218019999996</v>
      </c>
      <c r="I1095">
        <f t="shared" si="190"/>
        <v>-4.0953736656451634E-3</v>
      </c>
      <c r="J1095">
        <v>1720.849976</v>
      </c>
      <c r="K1095">
        <f t="shared" si="191"/>
        <v>-1.0294765780014425E-2</v>
      </c>
      <c r="L1095">
        <v>205.75</v>
      </c>
      <c r="M1095">
        <f t="shared" si="192"/>
        <v>-2.6660353452995222E-3</v>
      </c>
      <c r="N1095">
        <v>771.34997559999999</v>
      </c>
      <c r="O1095">
        <f t="shared" si="193"/>
        <v>1.5802989906621434E-2</v>
      </c>
      <c r="P1095">
        <v>113.1999969</v>
      </c>
      <c r="Q1095">
        <f t="shared" si="194"/>
        <v>1.2975363758389369E-2</v>
      </c>
      <c r="R1095">
        <v>279.7999878</v>
      </c>
      <c r="S1095">
        <f t="shared" si="195"/>
        <v>1.0290577629373354E-2</v>
      </c>
      <c r="T1095">
        <v>3708.5500489999999</v>
      </c>
      <c r="U1095">
        <f t="shared" si="196"/>
        <v>9.472623069071151E-3</v>
      </c>
      <c r="W1095">
        <f t="shared" si="197"/>
        <v>5.717072069352824E-3</v>
      </c>
      <c r="X1095">
        <v>3.3266633179639075E-3</v>
      </c>
    </row>
    <row r="1096" spans="1:24" x14ac:dyDescent="0.35">
      <c r="A1096" s="1">
        <v>44433</v>
      </c>
      <c r="B1096">
        <v>2032.9990230000001</v>
      </c>
      <c r="C1096">
        <f t="shared" si="187"/>
        <v>8.6549783165545957E-3</v>
      </c>
      <c r="D1096">
        <v>3659</v>
      </c>
      <c r="E1096">
        <f t="shared" si="188"/>
        <v>1.2675758225703548E-2</v>
      </c>
      <c r="F1096">
        <v>1557.400024</v>
      </c>
      <c r="G1096">
        <f t="shared" si="189"/>
        <v>-9.3014210624708937E-4</v>
      </c>
      <c r="H1096">
        <v>601.16314699999998</v>
      </c>
      <c r="I1096">
        <f t="shared" si="190"/>
        <v>-1.2336744547011502E-2</v>
      </c>
      <c r="J1096">
        <v>1735.5500489999999</v>
      </c>
      <c r="K1096">
        <f t="shared" si="191"/>
        <v>8.5423326873439454E-3</v>
      </c>
      <c r="L1096">
        <v>206.3999939</v>
      </c>
      <c r="M1096">
        <f t="shared" si="192"/>
        <v>3.1591441069258597E-3</v>
      </c>
      <c r="N1096">
        <v>769.04998780000005</v>
      </c>
      <c r="O1096">
        <f t="shared" si="193"/>
        <v>-2.9817694597201738E-3</v>
      </c>
      <c r="P1096">
        <v>115.6500015</v>
      </c>
      <c r="Q1096">
        <f t="shared" si="194"/>
        <v>2.1643150769379504E-2</v>
      </c>
      <c r="R1096">
        <v>284.39999390000003</v>
      </c>
      <c r="S1096">
        <f t="shared" si="195"/>
        <v>1.6440337028492236E-2</v>
      </c>
      <c r="T1096">
        <v>3789.6999510000001</v>
      </c>
      <c r="U1096">
        <f t="shared" si="196"/>
        <v>2.1881840861735613E-2</v>
      </c>
      <c r="W1096">
        <f t="shared" si="197"/>
        <v>7.6748885883156535E-3</v>
      </c>
      <c r="X1096">
        <v>3.3270397855093225E-3</v>
      </c>
    </row>
    <row r="1097" spans="1:24" x14ac:dyDescent="0.35">
      <c r="A1097" s="1">
        <v>44434</v>
      </c>
      <c r="B1097">
        <v>2058.7045899999998</v>
      </c>
      <c r="C1097">
        <f t="shared" si="187"/>
        <v>1.2644161019845113E-2</v>
      </c>
      <c r="D1097">
        <v>3671.8500979999999</v>
      </c>
      <c r="E1097">
        <f t="shared" si="188"/>
        <v>3.5119152773981366E-3</v>
      </c>
      <c r="F1097">
        <v>1554.8000489999999</v>
      </c>
      <c r="G1097">
        <f t="shared" si="189"/>
        <v>-1.6694330036816085E-3</v>
      </c>
      <c r="H1097">
        <v>576.08404540000004</v>
      </c>
      <c r="I1097">
        <f t="shared" si="190"/>
        <v>-4.1717629773469711E-2</v>
      </c>
      <c r="J1097">
        <v>1727.6999510000001</v>
      </c>
      <c r="K1097">
        <f t="shared" si="191"/>
        <v>-4.5231181921391306E-3</v>
      </c>
      <c r="L1097">
        <v>204.6000061</v>
      </c>
      <c r="M1097">
        <f t="shared" si="192"/>
        <v>-8.7208713817699124E-3</v>
      </c>
      <c r="N1097">
        <v>760.54998780000005</v>
      </c>
      <c r="O1097">
        <f t="shared" si="193"/>
        <v>-1.1052597535715081E-2</v>
      </c>
      <c r="P1097">
        <v>115.5500031</v>
      </c>
      <c r="Q1097">
        <f t="shared" si="194"/>
        <v>-8.6466406141816332E-4</v>
      </c>
      <c r="R1097">
        <v>284.2999878</v>
      </c>
      <c r="S1097">
        <f t="shared" si="195"/>
        <v>-3.516388964311945E-4</v>
      </c>
      <c r="T1097">
        <v>3847.8000489999999</v>
      </c>
      <c r="U1097">
        <f t="shared" si="196"/>
        <v>1.5331054899127006E-2</v>
      </c>
      <c r="W1097">
        <f t="shared" si="197"/>
        <v>-3.7412821648254548E-3</v>
      </c>
      <c r="X1097">
        <v>3.3359101917471933E-3</v>
      </c>
    </row>
    <row r="1098" spans="1:24" x14ac:dyDescent="0.35">
      <c r="A1098" s="1">
        <v>44435</v>
      </c>
      <c r="B1098">
        <v>2055.889404</v>
      </c>
      <c r="C1098">
        <f t="shared" si="187"/>
        <v>-1.3674550558027132E-3</v>
      </c>
      <c r="D1098">
        <v>3720.1499020000001</v>
      </c>
      <c r="E1098">
        <f t="shared" si="188"/>
        <v>1.3154078383076806E-2</v>
      </c>
      <c r="F1098">
        <v>1548.4499510000001</v>
      </c>
      <c r="G1098">
        <f t="shared" si="189"/>
        <v>-4.0841894776656451E-3</v>
      </c>
      <c r="H1098">
        <v>584.18200679999995</v>
      </c>
      <c r="I1098">
        <f t="shared" si="190"/>
        <v>1.405690968993456E-2</v>
      </c>
      <c r="J1098">
        <v>1708.8000489999999</v>
      </c>
      <c r="K1098">
        <f t="shared" si="191"/>
        <v>-1.0939342788694795E-2</v>
      </c>
      <c r="L1098">
        <v>205.8999939</v>
      </c>
      <c r="M1098">
        <f t="shared" si="192"/>
        <v>6.3538013745934041E-3</v>
      </c>
      <c r="N1098">
        <v>771.79998780000005</v>
      </c>
      <c r="O1098">
        <f t="shared" si="193"/>
        <v>1.479192713228783E-2</v>
      </c>
      <c r="P1098">
        <v>116.6500015</v>
      </c>
      <c r="Q1098">
        <f t="shared" si="194"/>
        <v>9.5196743443446419E-3</v>
      </c>
      <c r="R1098">
        <v>285.75</v>
      </c>
      <c r="S1098">
        <f t="shared" si="195"/>
        <v>5.1002893500651236E-3</v>
      </c>
      <c r="T1098">
        <v>3833.0500489999999</v>
      </c>
      <c r="U1098">
        <f t="shared" si="196"/>
        <v>-3.8333592733940103E-3</v>
      </c>
      <c r="W1098">
        <f t="shared" si="197"/>
        <v>4.2752333678745206E-3</v>
      </c>
      <c r="X1098">
        <v>3.3511585158688909E-3</v>
      </c>
    </row>
    <row r="1099" spans="1:24" x14ac:dyDescent="0.35">
      <c r="A1099" s="1">
        <v>44438</v>
      </c>
      <c r="B1099">
        <v>2095.4399410000001</v>
      </c>
      <c r="C1099">
        <f t="shared" si="187"/>
        <v>1.9237677339573489E-2</v>
      </c>
      <c r="D1099">
        <v>3701.3000489999999</v>
      </c>
      <c r="E1099">
        <f t="shared" si="188"/>
        <v>-5.0669606055030458E-3</v>
      </c>
      <c r="F1099">
        <v>1568.25</v>
      </c>
      <c r="G1099">
        <f t="shared" si="189"/>
        <v>1.2787012578102885E-2</v>
      </c>
      <c r="H1099">
        <v>609.0157471</v>
      </c>
      <c r="I1099">
        <f t="shared" si="190"/>
        <v>4.2510279349466717E-2</v>
      </c>
      <c r="J1099">
        <v>1698.0500489999999</v>
      </c>
      <c r="K1099">
        <f t="shared" si="191"/>
        <v>-6.2909642390817089E-3</v>
      </c>
      <c r="L1099">
        <v>208</v>
      </c>
      <c r="M1099">
        <f t="shared" si="192"/>
        <v>1.0199155717410591E-2</v>
      </c>
      <c r="N1099">
        <v>787.20001219999995</v>
      </c>
      <c r="O1099">
        <f t="shared" si="193"/>
        <v>1.9953387721470817E-2</v>
      </c>
      <c r="P1099">
        <v>120.1500015</v>
      </c>
      <c r="Q1099">
        <f t="shared" si="194"/>
        <v>3.0004285940793629E-2</v>
      </c>
      <c r="R1099">
        <v>291.9500122</v>
      </c>
      <c r="S1099">
        <f t="shared" si="195"/>
        <v>2.169733053368339E-2</v>
      </c>
      <c r="T1099">
        <v>3888.3500979999999</v>
      </c>
      <c r="U1099">
        <f t="shared" si="196"/>
        <v>1.4427165910454898E-2</v>
      </c>
      <c r="W1099">
        <f t="shared" si="197"/>
        <v>1.5945837024637168E-2</v>
      </c>
      <c r="X1099">
        <v>3.3563337741658542E-3</v>
      </c>
    </row>
    <row r="1100" spans="1:24" x14ac:dyDescent="0.35">
      <c r="A1100" s="1">
        <v>44439</v>
      </c>
      <c r="B1100">
        <v>2084.2717290000001</v>
      </c>
      <c r="C1100">
        <f t="shared" si="187"/>
        <v>-5.3297695541062451E-3</v>
      </c>
      <c r="D1100">
        <v>3786.4499510000001</v>
      </c>
      <c r="E1100">
        <f t="shared" si="188"/>
        <v>2.3005403742667463E-2</v>
      </c>
      <c r="F1100">
        <v>1581.400024</v>
      </c>
      <c r="G1100">
        <f t="shared" si="189"/>
        <v>8.385157978638702E-3</v>
      </c>
      <c r="H1100">
        <v>651.81219480000004</v>
      </c>
      <c r="I1100">
        <f t="shared" si="190"/>
        <v>7.0271496104636677E-2</v>
      </c>
      <c r="J1100">
        <v>1706.4499510000001</v>
      </c>
      <c r="K1100">
        <f t="shared" si="191"/>
        <v>4.9467929434394708E-3</v>
      </c>
      <c r="L1100">
        <v>211.3000031</v>
      </c>
      <c r="M1100">
        <f t="shared" si="192"/>
        <v>1.5865399519230827E-2</v>
      </c>
      <c r="N1100">
        <v>794.04998780000005</v>
      </c>
      <c r="O1100">
        <f t="shared" si="193"/>
        <v>8.7016965114830036E-3</v>
      </c>
      <c r="P1100">
        <v>120.5500031</v>
      </c>
      <c r="Q1100">
        <f t="shared" si="194"/>
        <v>3.3291851436223485E-3</v>
      </c>
      <c r="R1100">
        <v>287.2999878</v>
      </c>
      <c r="S1100">
        <f t="shared" si="195"/>
        <v>-1.5927467736546963E-2</v>
      </c>
      <c r="T1100">
        <v>3954.8000489999999</v>
      </c>
      <c r="U1100">
        <f t="shared" si="196"/>
        <v>1.7089497942631038E-2</v>
      </c>
      <c r="W1100">
        <f t="shared" si="197"/>
        <v>1.3033739259569634E-2</v>
      </c>
      <c r="X1100">
        <v>3.3594632072254998E-3</v>
      </c>
    </row>
    <row r="1101" spans="1:24" x14ac:dyDescent="0.35">
      <c r="A1101" s="1">
        <v>44440</v>
      </c>
      <c r="B1101">
        <v>2092.532471</v>
      </c>
      <c r="C1101">
        <f t="shared" si="187"/>
        <v>3.9633709391448946E-3</v>
      </c>
      <c r="D1101">
        <v>3714.9499510000001</v>
      </c>
      <c r="E1101">
        <f t="shared" si="188"/>
        <v>-1.8883122958251897E-2</v>
      </c>
      <c r="F1101">
        <v>1579.099976</v>
      </c>
      <c r="G1101">
        <f t="shared" si="189"/>
        <v>-1.4544378178156236E-3</v>
      </c>
      <c r="H1101">
        <v>654.11889650000001</v>
      </c>
      <c r="I1101">
        <f t="shared" si="190"/>
        <v>3.5389054061925052E-3</v>
      </c>
      <c r="J1101">
        <v>1677.75</v>
      </c>
      <c r="K1101">
        <f t="shared" si="191"/>
        <v>-1.6818513184744477E-2</v>
      </c>
      <c r="L1101">
        <v>209.5</v>
      </c>
      <c r="M1101">
        <f t="shared" si="192"/>
        <v>-8.5187083463890145E-3</v>
      </c>
      <c r="N1101">
        <v>788.5</v>
      </c>
      <c r="O1101">
        <f t="shared" si="193"/>
        <v>-6.9894690325188469E-3</v>
      </c>
      <c r="P1101">
        <v>119.6999969</v>
      </c>
      <c r="Q1101">
        <f t="shared" si="194"/>
        <v>-7.0510674254805616E-3</v>
      </c>
      <c r="R1101">
        <v>295.25</v>
      </c>
      <c r="S1101">
        <f t="shared" si="195"/>
        <v>2.7671467238398639E-2</v>
      </c>
      <c r="T1101">
        <v>3968.6000979999999</v>
      </c>
      <c r="U1101">
        <f t="shared" si="196"/>
        <v>3.4894429121616888E-3</v>
      </c>
      <c r="W1101">
        <f t="shared" si="197"/>
        <v>-2.1052132269302696E-3</v>
      </c>
      <c r="X1101">
        <v>3.3643748698525713E-3</v>
      </c>
    </row>
    <row r="1102" spans="1:24" x14ac:dyDescent="0.35">
      <c r="A1102" s="1">
        <v>44441</v>
      </c>
      <c r="B1102">
        <v>2117.7304690000001</v>
      </c>
      <c r="C1102">
        <f t="shared" si="187"/>
        <v>1.2041867139083395E-2</v>
      </c>
      <c r="D1102">
        <v>3836.75</v>
      </c>
      <c r="E1102">
        <f t="shared" si="188"/>
        <v>3.2786457585306961E-2</v>
      </c>
      <c r="F1102">
        <v>1589</v>
      </c>
      <c r="G1102">
        <f t="shared" si="189"/>
        <v>6.269409252400715E-3</v>
      </c>
      <c r="H1102">
        <v>654.21710210000003</v>
      </c>
      <c r="I1102">
        <f t="shared" si="190"/>
        <v>1.5013417365783432E-4</v>
      </c>
      <c r="J1102">
        <v>1689.099976</v>
      </c>
      <c r="K1102">
        <f t="shared" si="191"/>
        <v>6.7649983608999431E-3</v>
      </c>
      <c r="L1102">
        <v>209.75</v>
      </c>
      <c r="M1102">
        <f t="shared" si="192"/>
        <v>1.1933174224343368E-3</v>
      </c>
      <c r="N1102">
        <v>789.95001219999995</v>
      </c>
      <c r="O1102">
        <f t="shared" si="193"/>
        <v>1.8389501585287515E-3</v>
      </c>
      <c r="P1102">
        <v>118.6500015</v>
      </c>
      <c r="Q1102">
        <f t="shared" si="194"/>
        <v>-8.7718916223297194E-3</v>
      </c>
      <c r="R1102">
        <v>293.14999390000003</v>
      </c>
      <c r="S1102">
        <f t="shared" si="195"/>
        <v>-7.112637087214102E-3</v>
      </c>
      <c r="T1102">
        <v>3917.6499020000001</v>
      </c>
      <c r="U1102">
        <f t="shared" si="196"/>
        <v>-1.2838329572605778E-2</v>
      </c>
      <c r="W1102">
        <f t="shared" si="197"/>
        <v>3.232227581016235E-3</v>
      </c>
      <c r="X1102">
        <v>3.3815616681121437E-3</v>
      </c>
    </row>
    <row r="1103" spans="1:24" x14ac:dyDescent="0.35">
      <c r="A1103" s="1">
        <v>44442</v>
      </c>
      <c r="B1103">
        <v>2204.5847170000002</v>
      </c>
      <c r="C1103">
        <f t="shared" si="187"/>
        <v>4.1012890578569605E-2</v>
      </c>
      <c r="D1103">
        <v>3842.0500489999999</v>
      </c>
      <c r="E1103">
        <f t="shared" si="188"/>
        <v>1.3813902391346389E-3</v>
      </c>
      <c r="F1103">
        <v>1576.0500489999999</v>
      </c>
      <c r="G1103">
        <f t="shared" si="189"/>
        <v>-8.1497488986784772E-3</v>
      </c>
      <c r="H1103">
        <v>646.31542969999998</v>
      </c>
      <c r="I1103">
        <f t="shared" si="190"/>
        <v>-1.2078058452822615E-2</v>
      </c>
      <c r="J1103">
        <v>1700.650024</v>
      </c>
      <c r="K1103">
        <f t="shared" si="191"/>
        <v>6.8379895590029438E-3</v>
      </c>
      <c r="L1103">
        <v>210.6000061</v>
      </c>
      <c r="M1103">
        <f t="shared" si="192"/>
        <v>4.0524724672228452E-3</v>
      </c>
      <c r="N1103">
        <v>789.40002440000001</v>
      </c>
      <c r="O1103">
        <f t="shared" si="193"/>
        <v>-6.96231143117787E-4</v>
      </c>
      <c r="P1103">
        <v>123.0999985</v>
      </c>
      <c r="Q1103">
        <f t="shared" si="194"/>
        <v>3.750524183516335E-2</v>
      </c>
      <c r="R1103">
        <v>295.5499878</v>
      </c>
      <c r="S1103">
        <f t="shared" si="195"/>
        <v>8.1869143781003739E-3</v>
      </c>
      <c r="T1103">
        <v>3938.8999020000001</v>
      </c>
      <c r="U1103">
        <f t="shared" si="196"/>
        <v>5.4241702376600642E-3</v>
      </c>
      <c r="W1103">
        <f t="shared" si="197"/>
        <v>8.3477030800234945E-3</v>
      </c>
      <c r="X1103">
        <v>3.3894373582344373E-3</v>
      </c>
    </row>
    <row r="1104" spans="1:24" x14ac:dyDescent="0.35">
      <c r="A1104" s="1">
        <v>44445</v>
      </c>
      <c r="B1104">
        <v>2238.828125</v>
      </c>
      <c r="C1104">
        <f t="shared" si="187"/>
        <v>1.5532815652735898E-2</v>
      </c>
      <c r="D1104">
        <v>3852</v>
      </c>
      <c r="E1104">
        <f t="shared" si="188"/>
        <v>2.5897504907803626E-3</v>
      </c>
      <c r="F1104">
        <v>1565.6999510000001</v>
      </c>
      <c r="G1104">
        <f t="shared" si="189"/>
        <v>-6.5671125143309528E-3</v>
      </c>
      <c r="H1104">
        <v>642.53637700000002</v>
      </c>
      <c r="I1104">
        <f t="shared" si="190"/>
        <v>-5.8470717645625614E-3</v>
      </c>
      <c r="J1104">
        <v>1730.400024</v>
      </c>
      <c r="K1104">
        <f t="shared" si="191"/>
        <v>1.7493311134072487E-2</v>
      </c>
      <c r="L1104">
        <v>209.3000031</v>
      </c>
      <c r="M1104">
        <f t="shared" si="192"/>
        <v>-6.1728535723912792E-3</v>
      </c>
      <c r="N1104">
        <v>784.25</v>
      </c>
      <c r="O1104">
        <f t="shared" si="193"/>
        <v>-6.5239729425070614E-3</v>
      </c>
      <c r="P1104">
        <v>121.6500015</v>
      </c>
      <c r="Q1104">
        <f t="shared" si="194"/>
        <v>-1.1779017202831255E-2</v>
      </c>
      <c r="R1104">
        <v>297.4500122</v>
      </c>
      <c r="S1104">
        <f t="shared" si="195"/>
        <v>6.4287750919678199E-3</v>
      </c>
      <c r="T1104">
        <v>3921.3000489999999</v>
      </c>
      <c r="U1104">
        <f t="shared" si="196"/>
        <v>-4.4682153489261633E-3</v>
      </c>
      <c r="W1104">
        <f t="shared" si="197"/>
        <v>6.8640902400729682E-5</v>
      </c>
      <c r="X1104">
        <v>3.3898992904780609E-3</v>
      </c>
    </row>
    <row r="1105" spans="1:24" x14ac:dyDescent="0.35">
      <c r="A1105" s="1">
        <v>44446</v>
      </c>
      <c r="B1105">
        <v>2252.9499510000001</v>
      </c>
      <c r="C1105">
        <f t="shared" si="187"/>
        <v>6.3076865268520965E-3</v>
      </c>
      <c r="D1105">
        <v>3815.8999020000001</v>
      </c>
      <c r="E1105">
        <f t="shared" si="188"/>
        <v>-9.3717803738317951E-3</v>
      </c>
      <c r="F1105">
        <v>1569.25</v>
      </c>
      <c r="G1105">
        <f t="shared" si="189"/>
        <v>2.2673878208481213E-3</v>
      </c>
      <c r="H1105">
        <v>658.19244379999998</v>
      </c>
      <c r="I1105">
        <f t="shared" si="190"/>
        <v>2.4366039590004274E-2</v>
      </c>
      <c r="J1105">
        <v>1706.650024</v>
      </c>
      <c r="K1105">
        <f t="shared" si="191"/>
        <v>-1.3725150063913727E-2</v>
      </c>
      <c r="L1105">
        <v>211.75</v>
      </c>
      <c r="M1105">
        <f t="shared" si="192"/>
        <v>1.1705670634077459E-2</v>
      </c>
      <c r="N1105">
        <v>769.90002440000001</v>
      </c>
      <c r="O1105">
        <f t="shared" si="193"/>
        <v>-1.8297705578578238E-2</v>
      </c>
      <c r="P1105">
        <v>119.9499969</v>
      </c>
      <c r="Q1105">
        <f t="shared" si="194"/>
        <v>-1.3974554698217623E-2</v>
      </c>
      <c r="R1105">
        <v>294.60000609999997</v>
      </c>
      <c r="S1105">
        <f t="shared" si="195"/>
        <v>-9.5814623738651461E-3</v>
      </c>
      <c r="T1105">
        <v>3937.5500489999999</v>
      </c>
      <c r="U1105">
        <f t="shared" si="196"/>
        <v>4.1440338145366518E-3</v>
      </c>
      <c r="W1105">
        <f t="shared" si="197"/>
        <v>-1.6159834702087928E-3</v>
      </c>
      <c r="X1105">
        <v>3.3932819986311263E-3</v>
      </c>
    </row>
    <row r="1106" spans="1:24" x14ac:dyDescent="0.35">
      <c r="A1106" s="1">
        <v>44447</v>
      </c>
      <c r="B1106">
        <v>2244.1352539999998</v>
      </c>
      <c r="C1106">
        <f t="shared" si="187"/>
        <v>-3.9125134564519382E-3</v>
      </c>
      <c r="D1106">
        <v>3774.1499020000001</v>
      </c>
      <c r="E1106">
        <f t="shared" si="188"/>
        <v>-1.0941062677801816E-2</v>
      </c>
      <c r="F1106">
        <v>1576.400024</v>
      </c>
      <c r="G1106">
        <f t="shared" si="189"/>
        <v>4.5563320057353529E-3</v>
      </c>
      <c r="H1106">
        <v>655.54217530000005</v>
      </c>
      <c r="I1106">
        <f t="shared" si="190"/>
        <v>-4.0265860311292645E-3</v>
      </c>
      <c r="J1106">
        <v>1693.25</v>
      </c>
      <c r="K1106">
        <f t="shared" si="191"/>
        <v>-7.8516531283862045E-3</v>
      </c>
      <c r="L1106">
        <v>211.25</v>
      </c>
      <c r="M1106">
        <f t="shared" si="192"/>
        <v>-2.3612750885477762E-3</v>
      </c>
      <c r="N1106">
        <v>777.45001219999995</v>
      </c>
      <c r="O1106">
        <f t="shared" si="193"/>
        <v>9.8064522155116851E-3</v>
      </c>
      <c r="P1106">
        <v>118.9499969</v>
      </c>
      <c r="Q1106">
        <f t="shared" si="194"/>
        <v>-8.3368072183751529E-3</v>
      </c>
      <c r="R1106">
        <v>295.25</v>
      </c>
      <c r="S1106">
        <f t="shared" si="195"/>
        <v>2.206360782556871E-3</v>
      </c>
      <c r="T1106">
        <v>3932.9499510000001</v>
      </c>
      <c r="U1106">
        <f t="shared" si="196"/>
        <v>-1.1682640075059147E-3</v>
      </c>
      <c r="W1106">
        <f t="shared" si="197"/>
        <v>-2.202901660439416E-3</v>
      </c>
      <c r="X1106">
        <v>3.4086683894263619E-3</v>
      </c>
    </row>
    <row r="1107" spans="1:24" x14ac:dyDescent="0.35">
      <c r="A1107" s="1">
        <v>44448</v>
      </c>
      <c r="B1107">
        <v>2238.828125</v>
      </c>
      <c r="C1107">
        <f t="shared" si="187"/>
        <v>-2.3648882082932809E-3</v>
      </c>
      <c r="D1107">
        <v>3791.3999020000001</v>
      </c>
      <c r="E1107">
        <f t="shared" si="188"/>
        <v>4.5705656764876146E-3</v>
      </c>
      <c r="F1107">
        <v>1568.599976</v>
      </c>
      <c r="G1107">
        <f t="shared" si="189"/>
        <v>-4.948013119289385E-3</v>
      </c>
      <c r="H1107">
        <v>673.50494379999998</v>
      </c>
      <c r="I1107">
        <f t="shared" si="190"/>
        <v>2.7401392582833362E-2</v>
      </c>
      <c r="J1107">
        <v>1691.599976</v>
      </c>
      <c r="K1107">
        <f t="shared" si="191"/>
        <v>-9.7447157832575293E-4</v>
      </c>
      <c r="L1107">
        <v>212.6499939</v>
      </c>
      <c r="M1107">
        <f t="shared" si="192"/>
        <v>6.6271900591716726E-3</v>
      </c>
      <c r="N1107">
        <v>776.29998780000005</v>
      </c>
      <c r="O1107">
        <f t="shared" si="193"/>
        <v>-1.4792261649666516E-3</v>
      </c>
      <c r="P1107">
        <v>122.1500015</v>
      </c>
      <c r="Q1107">
        <f t="shared" si="194"/>
        <v>2.690209906176122E-2</v>
      </c>
      <c r="R1107">
        <v>298.9500122</v>
      </c>
      <c r="S1107">
        <f t="shared" si="195"/>
        <v>1.2531794072819569E-2</v>
      </c>
      <c r="T1107">
        <v>3950.5</v>
      </c>
      <c r="U1107">
        <f t="shared" si="196"/>
        <v>4.4623118063167322E-3</v>
      </c>
      <c r="W1107">
        <f t="shared" si="197"/>
        <v>7.2728754188515106E-3</v>
      </c>
      <c r="X1107">
        <v>3.422030670761478E-3</v>
      </c>
    </row>
    <row r="1108" spans="1:24" x14ac:dyDescent="0.35">
      <c r="A1108" s="1">
        <v>44452</v>
      </c>
      <c r="B1108">
        <v>2188.9399410000001</v>
      </c>
      <c r="C1108">
        <f t="shared" si="187"/>
        <v>-2.2283168342813187E-2</v>
      </c>
      <c r="D1108">
        <v>3845.3500979999999</v>
      </c>
      <c r="E1108">
        <f t="shared" si="188"/>
        <v>1.4229624253442763E-2</v>
      </c>
      <c r="F1108">
        <v>1555.5500489999999</v>
      </c>
      <c r="G1108">
        <f t="shared" si="189"/>
        <v>-8.319474180586095E-3</v>
      </c>
      <c r="H1108">
        <v>680.52319339999997</v>
      </c>
      <c r="I1108">
        <f t="shared" si="190"/>
        <v>1.0420487131693745E-2</v>
      </c>
      <c r="J1108">
        <v>1691.900024</v>
      </c>
      <c r="K1108">
        <f t="shared" si="191"/>
        <v>1.7737526853700558E-4</v>
      </c>
      <c r="L1108">
        <v>214.1499939</v>
      </c>
      <c r="M1108">
        <f t="shared" si="192"/>
        <v>7.0538445475121225E-3</v>
      </c>
      <c r="N1108">
        <v>780.29998780000005</v>
      </c>
      <c r="O1108">
        <f t="shared" si="193"/>
        <v>5.1526472534617618E-3</v>
      </c>
      <c r="P1108">
        <v>123.0500031</v>
      </c>
      <c r="Q1108">
        <f t="shared" si="194"/>
        <v>7.3680031841834026E-3</v>
      </c>
      <c r="R1108">
        <v>301.2000122</v>
      </c>
      <c r="S1108">
        <f t="shared" si="195"/>
        <v>7.5263418905455737E-3</v>
      </c>
      <c r="T1108">
        <v>3961.8500979999999</v>
      </c>
      <c r="U1108">
        <f t="shared" si="196"/>
        <v>2.8730788507782545E-3</v>
      </c>
      <c r="W1108">
        <f t="shared" si="197"/>
        <v>2.4198759856755348E-3</v>
      </c>
      <c r="X1108">
        <v>3.4334998439673244E-3</v>
      </c>
    </row>
    <row r="1109" spans="1:24" x14ac:dyDescent="0.35">
      <c r="A1109" s="1">
        <v>44453</v>
      </c>
      <c r="B1109">
        <v>2186.0786130000001</v>
      </c>
      <c r="C1109">
        <f t="shared" si="187"/>
        <v>-1.3071751976405643E-3</v>
      </c>
      <c r="D1109">
        <v>3885.8999020000001</v>
      </c>
      <c r="E1109">
        <f t="shared" si="188"/>
        <v>1.0545152708225647E-2</v>
      </c>
      <c r="F1109">
        <v>1548.5500489999999</v>
      </c>
      <c r="G1109">
        <f t="shared" si="189"/>
        <v>-4.500015929734924E-3</v>
      </c>
      <c r="H1109">
        <v>681.40661620000003</v>
      </c>
      <c r="I1109">
        <f t="shared" si="190"/>
        <v>1.2981523753603508E-3</v>
      </c>
      <c r="J1109">
        <v>1686.150024</v>
      </c>
      <c r="K1109">
        <f t="shared" si="191"/>
        <v>-3.3985459651485472E-3</v>
      </c>
      <c r="L1109">
        <v>216.1000061</v>
      </c>
      <c r="M1109">
        <f t="shared" si="192"/>
        <v>9.1058242145483081E-3</v>
      </c>
      <c r="N1109">
        <v>781.40002440000001</v>
      </c>
      <c r="O1109">
        <f t="shared" si="193"/>
        <v>1.4097611395604837E-3</v>
      </c>
      <c r="P1109">
        <v>123.9499969</v>
      </c>
      <c r="Q1109">
        <f t="shared" si="194"/>
        <v>7.3140493890813119E-3</v>
      </c>
      <c r="R1109">
        <v>306.10000609999997</v>
      </c>
      <c r="S1109">
        <f t="shared" si="195"/>
        <v>1.6268239380901273E-2</v>
      </c>
      <c r="T1109">
        <v>3979.6999510000001</v>
      </c>
      <c r="U1109">
        <f t="shared" si="196"/>
        <v>4.5054337136609668E-3</v>
      </c>
      <c r="W1109">
        <f t="shared" si="197"/>
        <v>4.1240875828814309E-3</v>
      </c>
      <c r="X1109">
        <v>3.4823277269747099E-3</v>
      </c>
    </row>
    <row r="1110" spans="1:24" x14ac:dyDescent="0.35">
      <c r="A1110" s="1">
        <v>44454</v>
      </c>
      <c r="B1110">
        <v>2195.1701659999999</v>
      </c>
      <c r="C1110">
        <f t="shared" si="187"/>
        <v>4.1588408330490712E-3</v>
      </c>
      <c r="D1110">
        <v>3954.5500489999999</v>
      </c>
      <c r="E1110">
        <f t="shared" si="188"/>
        <v>1.7666473334700949E-2</v>
      </c>
      <c r="F1110">
        <v>1546.8000489999999</v>
      </c>
      <c r="G1110">
        <f t="shared" si="189"/>
        <v>-1.1300894027481689E-3</v>
      </c>
      <c r="H1110">
        <v>712.12976070000002</v>
      </c>
      <c r="I1110">
        <f t="shared" si="190"/>
        <v>4.5087828279880338E-2</v>
      </c>
      <c r="J1110">
        <v>1711.4499510000001</v>
      </c>
      <c r="K1110">
        <f t="shared" si="191"/>
        <v>1.5004552762144963E-2</v>
      </c>
      <c r="L1110">
        <v>216</v>
      </c>
      <c r="M1110">
        <f t="shared" si="192"/>
        <v>-4.6277694205021369E-4</v>
      </c>
      <c r="N1110">
        <v>780.65002440000001</v>
      </c>
      <c r="O1110">
        <f t="shared" si="193"/>
        <v>-9.5981568541148032E-4</v>
      </c>
      <c r="P1110">
        <v>128.4499969</v>
      </c>
      <c r="Q1110">
        <f t="shared" si="194"/>
        <v>3.6304962586086287E-2</v>
      </c>
      <c r="R1110">
        <v>311.9500122</v>
      </c>
      <c r="S1110">
        <f t="shared" si="195"/>
        <v>1.9111421050050259E-2</v>
      </c>
      <c r="T1110">
        <v>3982.6000979999999</v>
      </c>
      <c r="U1110">
        <f t="shared" si="196"/>
        <v>7.2873508950621613E-4</v>
      </c>
      <c r="W1110">
        <f t="shared" si="197"/>
        <v>1.3551013190520825E-2</v>
      </c>
      <c r="X1110">
        <v>3.4907695980728511E-3</v>
      </c>
    </row>
    <row r="1111" spans="1:24" x14ac:dyDescent="0.35">
      <c r="A1111" s="1">
        <v>44455</v>
      </c>
      <c r="B1111">
        <v>2241.2277829999998</v>
      </c>
      <c r="C1111">
        <f t="shared" si="187"/>
        <v>2.098134245507044E-2</v>
      </c>
      <c r="D1111">
        <v>3903.3000489999999</v>
      </c>
      <c r="E1111">
        <f t="shared" si="188"/>
        <v>-1.295975505809055E-2</v>
      </c>
      <c r="F1111">
        <v>1559.9499510000001</v>
      </c>
      <c r="G1111">
        <f t="shared" si="189"/>
        <v>8.5013586652660234E-3</v>
      </c>
      <c r="H1111">
        <v>705.35693360000005</v>
      </c>
      <c r="I1111">
        <f t="shared" si="190"/>
        <v>-9.5106643111537714E-3</v>
      </c>
      <c r="J1111">
        <v>1702.25</v>
      </c>
      <c r="K1111">
        <f t="shared" si="191"/>
        <v>-5.3755302599556298E-3</v>
      </c>
      <c r="L1111">
        <v>230.75</v>
      </c>
      <c r="M1111">
        <f t="shared" si="192"/>
        <v>6.8287037037036979E-2</v>
      </c>
      <c r="N1111">
        <v>781.04998780000005</v>
      </c>
      <c r="O1111">
        <f t="shared" si="193"/>
        <v>5.1234661820132033E-4</v>
      </c>
      <c r="P1111">
        <v>128.6999969</v>
      </c>
      <c r="Q1111">
        <f t="shared" si="194"/>
        <v>1.9462826472049777E-3</v>
      </c>
      <c r="R1111">
        <v>311.64999390000003</v>
      </c>
      <c r="S1111">
        <f t="shared" si="195"/>
        <v>-9.617512045732024E-4</v>
      </c>
      <c r="T1111">
        <v>4084.5</v>
      </c>
      <c r="U1111">
        <f t="shared" si="196"/>
        <v>2.5586275170126349E-2</v>
      </c>
      <c r="W1111">
        <f t="shared" si="197"/>
        <v>9.7006941759132936E-3</v>
      </c>
      <c r="X1111">
        <v>3.4910071754200135E-3</v>
      </c>
    </row>
    <row r="1112" spans="1:24" x14ac:dyDescent="0.35">
      <c r="A1112" s="1">
        <v>44456</v>
      </c>
      <c r="B1112">
        <v>2206.476807</v>
      </c>
      <c r="C1112">
        <f t="shared" si="187"/>
        <v>-1.5505329830189707E-2</v>
      </c>
      <c r="D1112">
        <v>3827.8500979999999</v>
      </c>
      <c r="E1112">
        <f t="shared" si="188"/>
        <v>-1.9329785067209948E-2</v>
      </c>
      <c r="F1112">
        <v>1582.150024</v>
      </c>
      <c r="G1112">
        <f t="shared" si="189"/>
        <v>1.4231272603181022E-2</v>
      </c>
      <c r="H1112">
        <v>714.73089600000003</v>
      </c>
      <c r="I1112">
        <f t="shared" si="190"/>
        <v>1.3289672155283316E-2</v>
      </c>
      <c r="J1112">
        <v>1691.3000489999999</v>
      </c>
      <c r="K1112">
        <f t="shared" si="191"/>
        <v>-6.4326338669408178E-3</v>
      </c>
      <c r="L1112">
        <v>231.1499939</v>
      </c>
      <c r="M1112">
        <f t="shared" si="192"/>
        <v>1.7334513542794916E-3</v>
      </c>
      <c r="N1112">
        <v>769.90002440000001</v>
      </c>
      <c r="O1112">
        <f t="shared" si="193"/>
        <v>-1.4275607930558154E-2</v>
      </c>
      <c r="P1112">
        <v>127.75</v>
      </c>
      <c r="Q1112">
        <f t="shared" si="194"/>
        <v>-7.3814834722812916E-3</v>
      </c>
      <c r="R1112">
        <v>308.60000609999997</v>
      </c>
      <c r="S1112">
        <f t="shared" si="195"/>
        <v>-9.786580650403276E-3</v>
      </c>
      <c r="T1112">
        <v>4239.6499020000001</v>
      </c>
      <c r="U1112">
        <f t="shared" si="196"/>
        <v>3.7985041498347361E-2</v>
      </c>
      <c r="W1112">
        <f t="shared" si="197"/>
        <v>-5.4719832064920038E-4</v>
      </c>
      <c r="X1112">
        <v>3.4994142374555784E-3</v>
      </c>
    </row>
    <row r="1113" spans="1:24" x14ac:dyDescent="0.35">
      <c r="A1113" s="1">
        <v>44459</v>
      </c>
      <c r="B1113">
        <v>2209.984375</v>
      </c>
      <c r="C1113">
        <f t="shared" si="187"/>
        <v>1.5896691000205632E-3</v>
      </c>
      <c r="D1113">
        <v>3823.5</v>
      </c>
      <c r="E1113">
        <f t="shared" si="188"/>
        <v>-1.1364337392085755E-3</v>
      </c>
      <c r="F1113">
        <v>1559.849976</v>
      </c>
      <c r="G1113">
        <f t="shared" si="189"/>
        <v>-1.4094774617909422E-2</v>
      </c>
      <c r="H1113">
        <v>711.5899048</v>
      </c>
      <c r="I1113">
        <f t="shared" si="190"/>
        <v>-4.394648695863923E-3</v>
      </c>
      <c r="J1113">
        <v>1687.849976</v>
      </c>
      <c r="K1113">
        <f t="shared" si="191"/>
        <v>-2.0398941051529285E-3</v>
      </c>
      <c r="L1113">
        <v>233.75</v>
      </c>
      <c r="M1113">
        <f t="shared" si="192"/>
        <v>1.1248133976264896E-2</v>
      </c>
      <c r="N1113">
        <v>756.5</v>
      </c>
      <c r="O1113">
        <f t="shared" si="193"/>
        <v>-1.7404888914561267E-2</v>
      </c>
      <c r="P1113">
        <v>128.5</v>
      </c>
      <c r="Q1113">
        <f t="shared" si="194"/>
        <v>5.8708414872798986E-3</v>
      </c>
      <c r="R1113">
        <v>298.9500122</v>
      </c>
      <c r="S1113">
        <f t="shared" si="195"/>
        <v>-3.1270232369577267E-2</v>
      </c>
      <c r="T1113">
        <v>4355.8999020000001</v>
      </c>
      <c r="U1113">
        <f t="shared" si="196"/>
        <v>2.7419716883972045E-2</v>
      </c>
      <c r="W1113">
        <f t="shared" si="197"/>
        <v>-2.4212510994735988E-3</v>
      </c>
      <c r="X1113">
        <v>3.5129357587772138E-3</v>
      </c>
    </row>
    <row r="1114" spans="1:24" x14ac:dyDescent="0.35">
      <c r="A1114" s="1">
        <v>44460</v>
      </c>
      <c r="B1114">
        <v>2219.5373540000001</v>
      </c>
      <c r="C1114">
        <f t="shared" si="187"/>
        <v>4.3226454938172232E-3</v>
      </c>
      <c r="D1114">
        <v>3862.9499510000001</v>
      </c>
      <c r="E1114">
        <f t="shared" si="188"/>
        <v>1.0317758859683446E-2</v>
      </c>
      <c r="F1114">
        <v>1551.9499510000001</v>
      </c>
      <c r="G1114">
        <f t="shared" si="189"/>
        <v>-5.0646056489729308E-3</v>
      </c>
      <c r="H1114">
        <v>713.25854489999995</v>
      </c>
      <c r="I1114">
        <f t="shared" si="190"/>
        <v>2.3449462797942022E-3</v>
      </c>
      <c r="J1114">
        <v>1718.4499510000001</v>
      </c>
      <c r="K1114">
        <f t="shared" si="191"/>
        <v>1.8129558571620352E-2</v>
      </c>
      <c r="L1114">
        <v>241.5</v>
      </c>
      <c r="M1114">
        <f t="shared" si="192"/>
        <v>3.3155080213903787E-2</v>
      </c>
      <c r="N1114">
        <v>764.5</v>
      </c>
      <c r="O1114">
        <f t="shared" si="193"/>
        <v>1.0575016523463265E-2</v>
      </c>
      <c r="P1114">
        <v>135.1999969</v>
      </c>
      <c r="Q1114">
        <f t="shared" si="194"/>
        <v>5.214005369649799E-2</v>
      </c>
      <c r="R1114">
        <v>301.9500122</v>
      </c>
      <c r="S1114">
        <f t="shared" si="195"/>
        <v>1.003512252072758E-2</v>
      </c>
      <c r="T1114">
        <v>4361.9501950000003</v>
      </c>
      <c r="U1114">
        <f t="shared" si="196"/>
        <v>1.3889880704609503E-3</v>
      </c>
      <c r="W1114">
        <f t="shared" si="197"/>
        <v>1.3734456458099587E-2</v>
      </c>
      <c r="X1114">
        <v>3.5258884207434397E-3</v>
      </c>
    </row>
    <row r="1115" spans="1:24" x14ac:dyDescent="0.35">
      <c r="A1115" s="1">
        <v>44461</v>
      </c>
      <c r="B1115">
        <v>2243.3508299999999</v>
      </c>
      <c r="C1115">
        <f t="shared" si="187"/>
        <v>1.0729026910533346E-2</v>
      </c>
      <c r="D1115">
        <v>3862.1499020000001</v>
      </c>
      <c r="E1115">
        <f t="shared" si="188"/>
        <v>-2.0710830068948471E-4</v>
      </c>
      <c r="F1115">
        <v>1533.6999510000001</v>
      </c>
      <c r="G1115">
        <f t="shared" si="189"/>
        <v>-1.1759399836470674E-2</v>
      </c>
      <c r="H1115">
        <v>713.35675049999998</v>
      </c>
      <c r="I1115">
        <f t="shared" si="190"/>
        <v>1.3768583734785622E-4</v>
      </c>
      <c r="J1115">
        <v>1716.900024</v>
      </c>
      <c r="K1115">
        <f t="shared" si="191"/>
        <v>-9.0193316313813554E-4</v>
      </c>
      <c r="L1115">
        <v>243.5</v>
      </c>
      <c r="M1115">
        <f t="shared" si="192"/>
        <v>8.2815734989647449E-3</v>
      </c>
      <c r="N1115">
        <v>770.09997559999999</v>
      </c>
      <c r="O1115">
        <f t="shared" si="193"/>
        <v>7.3250171353826943E-3</v>
      </c>
      <c r="P1115">
        <v>133.6499939</v>
      </c>
      <c r="Q1115">
        <f t="shared" si="194"/>
        <v>-1.1464519493639136E-2</v>
      </c>
      <c r="R1115">
        <v>310.10000609999997</v>
      </c>
      <c r="S1115">
        <f t="shared" si="195"/>
        <v>2.6991202419961224E-2</v>
      </c>
      <c r="T1115">
        <v>4378.6499020000001</v>
      </c>
      <c r="U1115">
        <f t="shared" si="196"/>
        <v>3.8284955704313006E-3</v>
      </c>
      <c r="W1115">
        <f t="shared" si="197"/>
        <v>3.2960040578683741E-3</v>
      </c>
      <c r="X1115">
        <v>3.5718598137608137E-3</v>
      </c>
    </row>
    <row r="1116" spans="1:24" x14ac:dyDescent="0.35">
      <c r="A1116" s="1">
        <v>44462</v>
      </c>
      <c r="B1116">
        <v>2298.1770019999999</v>
      </c>
      <c r="C1116">
        <f t="shared" si="187"/>
        <v>2.4439410575830545E-2</v>
      </c>
      <c r="D1116">
        <v>3869.25</v>
      </c>
      <c r="E1116">
        <f t="shared" si="188"/>
        <v>1.8383797056460427E-3</v>
      </c>
      <c r="F1116">
        <v>1570</v>
      </c>
      <c r="G1116">
        <f t="shared" si="189"/>
        <v>2.3668285948846624E-2</v>
      </c>
      <c r="H1116">
        <v>713.40582280000001</v>
      </c>
      <c r="I1116">
        <f t="shared" si="190"/>
        <v>6.8790685678221664E-5</v>
      </c>
      <c r="J1116">
        <v>1742.5500489999999</v>
      </c>
      <c r="K1116">
        <f t="shared" si="191"/>
        <v>1.4939731283968971E-2</v>
      </c>
      <c r="L1116">
        <v>242.5</v>
      </c>
      <c r="M1116">
        <f t="shared" si="192"/>
        <v>-4.1067761806981018E-3</v>
      </c>
      <c r="N1116">
        <v>769.84997559999999</v>
      </c>
      <c r="O1116">
        <f t="shared" si="193"/>
        <v>-3.2463317480979637E-4</v>
      </c>
      <c r="P1116">
        <v>137.75</v>
      </c>
      <c r="Q1116">
        <f t="shared" si="194"/>
        <v>3.0677188830010138E-2</v>
      </c>
      <c r="R1116">
        <v>321.5</v>
      </c>
      <c r="S1116">
        <f t="shared" si="195"/>
        <v>3.6762314336504121E-2</v>
      </c>
      <c r="T1116">
        <v>4409.8999020000001</v>
      </c>
      <c r="U1116">
        <f t="shared" si="196"/>
        <v>7.136903086434554E-3</v>
      </c>
      <c r="W1116">
        <f t="shared" si="197"/>
        <v>1.3509959509741133E-2</v>
      </c>
      <c r="X1116">
        <v>3.5743392586471746E-3</v>
      </c>
    </row>
    <row r="1117" spans="1:24" x14ac:dyDescent="0.35">
      <c r="A1117" s="1">
        <v>44463</v>
      </c>
      <c r="B1117">
        <v>2291.53125</v>
      </c>
      <c r="C1117">
        <f t="shared" si="187"/>
        <v>-2.8917494145213052E-3</v>
      </c>
      <c r="D1117">
        <v>3871.3000489999999</v>
      </c>
      <c r="E1117">
        <f t="shared" si="188"/>
        <v>5.2983110421922497E-4</v>
      </c>
      <c r="F1117">
        <v>1601.5500489999999</v>
      </c>
      <c r="G1117">
        <f t="shared" si="189"/>
        <v>2.0095572611464885E-2</v>
      </c>
      <c r="H1117">
        <v>725.77362059999996</v>
      </c>
      <c r="I1117">
        <f t="shared" si="190"/>
        <v>1.7336272574084655E-2</v>
      </c>
      <c r="J1117">
        <v>1763.849976</v>
      </c>
      <c r="K1117">
        <f t="shared" si="191"/>
        <v>1.2223423374395193E-2</v>
      </c>
      <c r="L1117">
        <v>238.4499969</v>
      </c>
      <c r="M1117">
        <f t="shared" si="192"/>
        <v>-1.670104371134018E-2</v>
      </c>
      <c r="N1117">
        <v>770.45001219999995</v>
      </c>
      <c r="O1117">
        <f t="shared" si="193"/>
        <v>7.7942017148502352E-4</v>
      </c>
      <c r="P1117">
        <v>136.1000061</v>
      </c>
      <c r="Q1117">
        <f t="shared" si="194"/>
        <v>-1.1978177132486389E-2</v>
      </c>
      <c r="R1117">
        <v>317.9500122</v>
      </c>
      <c r="S1117">
        <f t="shared" si="195"/>
        <v>-1.1041952721617454E-2</v>
      </c>
      <c r="T1117">
        <v>4422.3500979999999</v>
      </c>
      <c r="U1117">
        <f t="shared" si="196"/>
        <v>2.8232377778809603E-3</v>
      </c>
      <c r="W1117">
        <f t="shared" si="197"/>
        <v>1.1174834633564611E-3</v>
      </c>
      <c r="X1117">
        <v>3.5779034140064891E-3</v>
      </c>
    </row>
    <row r="1118" spans="1:24" x14ac:dyDescent="0.35">
      <c r="A1118" s="1">
        <v>44466</v>
      </c>
      <c r="B1118">
        <v>2330.0666500000002</v>
      </c>
      <c r="C1118">
        <f t="shared" si="187"/>
        <v>1.6816440971512137E-2</v>
      </c>
      <c r="D1118">
        <v>3836.9499510000001</v>
      </c>
      <c r="E1118">
        <f t="shared" si="188"/>
        <v>-8.8730136040147123E-3</v>
      </c>
      <c r="F1118">
        <v>1625.099976</v>
      </c>
      <c r="G1118">
        <f t="shared" si="189"/>
        <v>1.4704458980039137E-2</v>
      </c>
      <c r="H1118">
        <v>722.54998780000005</v>
      </c>
      <c r="I1118">
        <f t="shared" si="190"/>
        <v>-4.441650548465681E-3</v>
      </c>
      <c r="J1118">
        <v>1721.150024</v>
      </c>
      <c r="K1118">
        <f t="shared" si="191"/>
        <v>-2.4208380860618051E-2</v>
      </c>
      <c r="L1118">
        <v>238.6999969</v>
      </c>
      <c r="M1118">
        <f t="shared" si="192"/>
        <v>1.0484378412671802E-3</v>
      </c>
      <c r="N1118">
        <v>763.04998780000005</v>
      </c>
      <c r="O1118">
        <f t="shared" si="193"/>
        <v>-9.6048079470715253E-3</v>
      </c>
      <c r="P1118">
        <v>140</v>
      </c>
      <c r="Q1118">
        <f t="shared" si="194"/>
        <v>2.8655354336534433E-2</v>
      </c>
      <c r="R1118">
        <v>331.64999390000003</v>
      </c>
      <c r="S1118">
        <f t="shared" si="195"/>
        <v>4.3088476723763591E-2</v>
      </c>
      <c r="T1118">
        <v>4385.75</v>
      </c>
      <c r="U1118">
        <f t="shared" si="196"/>
        <v>-8.2761647515315895E-3</v>
      </c>
      <c r="W1118">
        <f t="shared" si="197"/>
        <v>4.8909151141414932E-3</v>
      </c>
      <c r="X1118">
        <v>3.5950276906170815E-3</v>
      </c>
    </row>
    <row r="1119" spans="1:24" x14ac:dyDescent="0.35">
      <c r="A1119" s="1">
        <v>44467</v>
      </c>
      <c r="B1119">
        <v>2351.849365</v>
      </c>
      <c r="C1119">
        <f t="shared" si="187"/>
        <v>9.3485373047161868E-3</v>
      </c>
      <c r="D1119">
        <v>3779.1499020000001</v>
      </c>
      <c r="E1119">
        <f t="shared" si="188"/>
        <v>-1.5064061230440573E-2</v>
      </c>
      <c r="F1119">
        <v>1615.0500489999999</v>
      </c>
      <c r="G1119">
        <f t="shared" si="189"/>
        <v>-6.1841899873364969E-3</v>
      </c>
      <c r="H1119">
        <v>696.15002440000001</v>
      </c>
      <c r="I1119">
        <f t="shared" si="190"/>
        <v>-3.6537213820156511E-2</v>
      </c>
      <c r="J1119">
        <v>1687.099976</v>
      </c>
      <c r="K1119">
        <f t="shared" si="191"/>
        <v>-1.9783312044389212E-2</v>
      </c>
      <c r="L1119">
        <v>237.75</v>
      </c>
      <c r="M1119">
        <f t="shared" si="192"/>
        <v>-3.9798781413390438E-3</v>
      </c>
      <c r="N1119">
        <v>775.09997559999999</v>
      </c>
      <c r="O1119">
        <f t="shared" si="193"/>
        <v>1.5791872082643099E-2</v>
      </c>
      <c r="P1119">
        <v>142.1999969</v>
      </c>
      <c r="Q1119">
        <f t="shared" si="194"/>
        <v>1.5714263571428688E-2</v>
      </c>
      <c r="R1119">
        <v>329.2999878</v>
      </c>
      <c r="S1119">
        <f t="shared" si="195"/>
        <v>-7.0858017283986774E-3</v>
      </c>
      <c r="T1119">
        <v>4315.75</v>
      </c>
      <c r="U1119">
        <f t="shared" si="196"/>
        <v>-1.5960782078321856E-2</v>
      </c>
      <c r="W1119">
        <f t="shared" si="197"/>
        <v>-6.3740566071594403E-3</v>
      </c>
      <c r="X1119">
        <v>3.5976554479526862E-3</v>
      </c>
    </row>
    <row r="1120" spans="1:24" x14ac:dyDescent="0.35">
      <c r="A1120" s="1">
        <v>44468</v>
      </c>
      <c r="B1120">
        <v>2333.2048340000001</v>
      </c>
      <c r="C1120">
        <f t="shared" si="187"/>
        <v>-7.927604240928865E-3</v>
      </c>
      <c r="D1120">
        <v>3791.8999020000001</v>
      </c>
      <c r="E1120">
        <f t="shared" si="188"/>
        <v>3.3737746135056312E-3</v>
      </c>
      <c r="F1120">
        <v>1593.849976</v>
      </c>
      <c r="G1120">
        <f t="shared" si="189"/>
        <v>-1.3126573392029939E-2</v>
      </c>
      <c r="H1120">
        <v>694.09997559999999</v>
      </c>
      <c r="I1120">
        <f t="shared" si="190"/>
        <v>-2.9448376472684945E-3</v>
      </c>
      <c r="J1120">
        <v>1692.25</v>
      </c>
      <c r="K1120">
        <f t="shared" si="191"/>
        <v>3.0525896943052189E-3</v>
      </c>
      <c r="L1120">
        <v>238.1000061</v>
      </c>
      <c r="M1120">
        <f t="shared" si="192"/>
        <v>1.4721602523659616E-3</v>
      </c>
      <c r="N1120">
        <v>811.29998780000005</v>
      </c>
      <c r="O1120">
        <f t="shared" si="193"/>
        <v>4.6703668351915306E-2</v>
      </c>
      <c r="P1120">
        <v>144.75</v>
      </c>
      <c r="Q1120">
        <f t="shared" si="194"/>
        <v>1.7932511642691829E-2</v>
      </c>
      <c r="R1120">
        <v>330.25</v>
      </c>
      <c r="S1120">
        <f t="shared" si="195"/>
        <v>2.8849445344558688E-3</v>
      </c>
      <c r="T1120">
        <v>4251.2001950000003</v>
      </c>
      <c r="U1120">
        <f t="shared" si="196"/>
        <v>-1.4956798934136484E-2</v>
      </c>
      <c r="W1120">
        <f t="shared" si="197"/>
        <v>3.6463834874876037E-3</v>
      </c>
      <c r="X1120">
        <v>3.6041364679456392E-3</v>
      </c>
    </row>
    <row r="1121" spans="1:24" x14ac:dyDescent="0.35">
      <c r="A1121" s="1">
        <v>44469</v>
      </c>
      <c r="B1121">
        <v>2325.266846</v>
      </c>
      <c r="C1121">
        <f t="shared" si="187"/>
        <v>-3.4021822192059625E-3</v>
      </c>
      <c r="D1121">
        <v>3775.5500489999999</v>
      </c>
      <c r="E1121">
        <f t="shared" si="188"/>
        <v>-4.3117839137516434E-3</v>
      </c>
      <c r="F1121">
        <v>1594.9499510000001</v>
      </c>
      <c r="G1121">
        <f t="shared" si="189"/>
        <v>6.9013709982956861E-4</v>
      </c>
      <c r="H1121">
        <v>688.29998780000005</v>
      </c>
      <c r="I1121">
        <f t="shared" si="190"/>
        <v>-8.3561273647737577E-3</v>
      </c>
      <c r="J1121">
        <v>1675.1999510000001</v>
      </c>
      <c r="K1121">
        <f t="shared" si="191"/>
        <v>-1.0075372433151042E-2</v>
      </c>
      <c r="L1121">
        <v>236.1499939</v>
      </c>
      <c r="M1121">
        <f t="shared" si="192"/>
        <v>-8.1898872324304151E-3</v>
      </c>
      <c r="N1121">
        <v>818.25</v>
      </c>
      <c r="O1121">
        <f t="shared" si="193"/>
        <v>8.5665133791585912E-3</v>
      </c>
      <c r="P1121">
        <v>144.5</v>
      </c>
      <c r="Q1121">
        <f t="shared" si="194"/>
        <v>-1.7271157167529916E-3</v>
      </c>
      <c r="R1121">
        <v>333.35000609999997</v>
      </c>
      <c r="S1121">
        <f t="shared" si="195"/>
        <v>9.386846631339818E-3</v>
      </c>
      <c r="T1121">
        <v>4250.2001950000003</v>
      </c>
      <c r="U1121">
        <f t="shared" si="196"/>
        <v>-2.3522768962425111E-4</v>
      </c>
      <c r="W1121">
        <f t="shared" si="197"/>
        <v>-1.7654199459362085E-3</v>
      </c>
      <c r="X1121">
        <v>3.626098759505193E-3</v>
      </c>
    </row>
    <row r="1122" spans="1:24" x14ac:dyDescent="0.35">
      <c r="A1122" s="1">
        <v>44470</v>
      </c>
      <c r="B1122">
        <v>2329.374268</v>
      </c>
      <c r="C1122">
        <f t="shared" si="187"/>
        <v>1.7664303806961268E-3</v>
      </c>
      <c r="D1122">
        <v>3730.1999510000001</v>
      </c>
      <c r="E1122">
        <f t="shared" si="188"/>
        <v>-1.2011520814566135E-2</v>
      </c>
      <c r="F1122">
        <v>1582.6999510000001</v>
      </c>
      <c r="G1122">
        <f t="shared" si="189"/>
        <v>-7.6804917874191414E-3</v>
      </c>
      <c r="H1122">
        <v>675.90002440000001</v>
      </c>
      <c r="I1122">
        <f t="shared" si="190"/>
        <v>-1.8015347406345028E-2</v>
      </c>
      <c r="J1122">
        <v>1665.150024</v>
      </c>
      <c r="K1122">
        <f t="shared" si="191"/>
        <v>-5.9992402662146782E-3</v>
      </c>
      <c r="L1122">
        <v>235.3500061</v>
      </c>
      <c r="M1122">
        <f t="shared" si="192"/>
        <v>-3.3876257491616268E-3</v>
      </c>
      <c r="N1122">
        <v>826.59997559999999</v>
      </c>
      <c r="O1122">
        <f t="shared" si="193"/>
        <v>1.020467534372127E-2</v>
      </c>
      <c r="P1122">
        <v>146.25</v>
      </c>
      <c r="Q1122">
        <f t="shared" si="194"/>
        <v>1.211072664359869E-2</v>
      </c>
      <c r="R1122">
        <v>333.2999878</v>
      </c>
      <c r="S1122">
        <f t="shared" si="195"/>
        <v>-1.5004739488433394E-4</v>
      </c>
      <c r="T1122">
        <v>4235.6000979999999</v>
      </c>
      <c r="U1122">
        <f t="shared" si="196"/>
        <v>-3.435155129204559E-3</v>
      </c>
      <c r="W1122">
        <f t="shared" si="197"/>
        <v>-2.6597596179779421E-3</v>
      </c>
      <c r="X1122">
        <v>3.6311277984939936E-3</v>
      </c>
    </row>
    <row r="1123" spans="1:24" x14ac:dyDescent="0.35">
      <c r="A1123" s="1">
        <v>44473</v>
      </c>
      <c r="B1123">
        <v>2359.3256839999999</v>
      </c>
      <c r="C1123">
        <f t="shared" si="187"/>
        <v>1.2858138089469007E-2</v>
      </c>
      <c r="D1123">
        <v>3773.3000489999999</v>
      </c>
      <c r="E1123">
        <f t="shared" si="188"/>
        <v>1.1554366673680816E-2</v>
      </c>
      <c r="F1123">
        <v>1585.75</v>
      </c>
      <c r="G1123">
        <f t="shared" si="189"/>
        <v>1.9271176435387005E-3</v>
      </c>
      <c r="H1123">
        <v>681.40002440000001</v>
      </c>
      <c r="I1123">
        <f t="shared" si="190"/>
        <v>8.1372981231691011E-3</v>
      </c>
      <c r="J1123">
        <v>1678.75</v>
      </c>
      <c r="K1123">
        <f t="shared" si="191"/>
        <v>8.1674178326167635E-3</v>
      </c>
      <c r="L1123">
        <v>236.6000061</v>
      </c>
      <c r="M1123">
        <f t="shared" si="192"/>
        <v>5.3112384431759363E-3</v>
      </c>
      <c r="N1123">
        <v>832</v>
      </c>
      <c r="O1123">
        <f t="shared" si="193"/>
        <v>6.5328146133567522E-3</v>
      </c>
      <c r="P1123">
        <v>147.6000061</v>
      </c>
      <c r="Q1123">
        <f t="shared" si="194"/>
        <v>9.2308109401708638E-3</v>
      </c>
      <c r="R1123">
        <v>342</v>
      </c>
      <c r="S1123">
        <f t="shared" si="195"/>
        <v>2.6102647820138936E-2</v>
      </c>
      <c r="T1123">
        <v>4257.3500979999999</v>
      </c>
      <c r="U1123">
        <f t="shared" si="196"/>
        <v>5.1350456834369229E-3</v>
      </c>
      <c r="W1123">
        <f t="shared" si="197"/>
        <v>9.4956895862753823E-3</v>
      </c>
      <c r="X1123">
        <v>3.6319518948266464E-3</v>
      </c>
    </row>
    <row r="1124" spans="1:24" x14ac:dyDescent="0.35">
      <c r="A1124" s="1">
        <v>44474</v>
      </c>
      <c r="B1124">
        <v>2408.2907709999999</v>
      </c>
      <c r="C1124">
        <f t="shared" si="187"/>
        <v>2.0753848157573751E-2</v>
      </c>
      <c r="D1124">
        <v>3833.3000489999999</v>
      </c>
      <c r="E1124">
        <f t="shared" si="188"/>
        <v>1.5901200334148102E-2</v>
      </c>
      <c r="F1124">
        <v>1595.4499510000001</v>
      </c>
      <c r="G1124">
        <f t="shared" si="189"/>
        <v>6.1169484471070845E-3</v>
      </c>
      <c r="H1124">
        <v>699.25</v>
      </c>
      <c r="I1124">
        <f t="shared" si="190"/>
        <v>2.6196030174371776E-2</v>
      </c>
      <c r="J1124">
        <v>1692.8000489999999</v>
      </c>
      <c r="K1124">
        <f t="shared" si="191"/>
        <v>8.369351600893582E-3</v>
      </c>
      <c r="L1124">
        <v>234.6999969</v>
      </c>
      <c r="M1124">
        <f t="shared" si="192"/>
        <v>-8.0304697845060558E-3</v>
      </c>
      <c r="N1124">
        <v>820.5</v>
      </c>
      <c r="O1124">
        <f t="shared" si="193"/>
        <v>-1.3822115384615419E-2</v>
      </c>
      <c r="P1124">
        <v>163.6499939</v>
      </c>
      <c r="Q1124">
        <f t="shared" si="194"/>
        <v>0.10873975024856053</v>
      </c>
      <c r="R1124">
        <v>344.9500122</v>
      </c>
      <c r="S1124">
        <f t="shared" si="195"/>
        <v>8.625766666666701E-3</v>
      </c>
      <c r="T1124">
        <v>4257.2998049999997</v>
      </c>
      <c r="U1124">
        <f t="shared" si="196"/>
        <v>-1.1813216870271148E-5</v>
      </c>
      <c r="W1124">
        <f t="shared" si="197"/>
        <v>1.7283849724332979E-2</v>
      </c>
      <c r="X1124">
        <v>3.6333778365602813E-3</v>
      </c>
    </row>
    <row r="1125" spans="1:24" x14ac:dyDescent="0.35">
      <c r="A1125" s="1">
        <v>44475</v>
      </c>
      <c r="B1125">
        <v>2362.7407229999999</v>
      </c>
      <c r="C1125">
        <f t="shared" si="187"/>
        <v>-1.8913849003825312E-2</v>
      </c>
      <c r="D1125">
        <v>3810.8999020000001</v>
      </c>
      <c r="E1125">
        <f t="shared" si="188"/>
        <v>-5.8435673476286976E-3</v>
      </c>
      <c r="F1125">
        <v>1614.900024</v>
      </c>
      <c r="G1125">
        <f t="shared" si="189"/>
        <v>1.21909640523723E-2</v>
      </c>
      <c r="H1125">
        <v>691.40002440000001</v>
      </c>
      <c r="I1125">
        <f t="shared" si="190"/>
        <v>-1.122627901322848E-2</v>
      </c>
      <c r="J1125">
        <v>1673.5500489999999</v>
      </c>
      <c r="K1125">
        <f t="shared" si="191"/>
        <v>-1.137169154228912E-2</v>
      </c>
      <c r="L1125">
        <v>231.25</v>
      </c>
      <c r="M1125">
        <f t="shared" si="192"/>
        <v>-1.4699603517549065E-2</v>
      </c>
      <c r="N1125">
        <v>800.59997559999999</v>
      </c>
      <c r="O1125">
        <f t="shared" si="193"/>
        <v>-2.4253533698964103E-2</v>
      </c>
      <c r="P1125">
        <v>168.1000061</v>
      </c>
      <c r="Q1125">
        <f t="shared" si="194"/>
        <v>2.7192253992500692E-2</v>
      </c>
      <c r="R1125">
        <v>336.0499878</v>
      </c>
      <c r="S1125">
        <f t="shared" si="195"/>
        <v>-2.5800910523927856E-2</v>
      </c>
      <c r="T1125">
        <v>4218.5498049999997</v>
      </c>
      <c r="U1125">
        <f t="shared" si="196"/>
        <v>-9.102013429848177E-3</v>
      </c>
      <c r="W1125">
        <f t="shared" si="197"/>
        <v>-8.1828230032387813E-3</v>
      </c>
      <c r="X1125">
        <v>3.6451138211802451E-3</v>
      </c>
    </row>
    <row r="1126" spans="1:24" x14ac:dyDescent="0.35">
      <c r="A1126" s="1">
        <v>44476</v>
      </c>
      <c r="B1126">
        <v>2374.3244629999999</v>
      </c>
      <c r="C1126">
        <f t="shared" si="187"/>
        <v>4.9026708208981251E-3</v>
      </c>
      <c r="D1126">
        <v>3892.8999020000001</v>
      </c>
      <c r="E1126">
        <f t="shared" si="188"/>
        <v>2.1517227455112531E-2</v>
      </c>
      <c r="F1126">
        <v>1610.5</v>
      </c>
      <c r="G1126">
        <f t="shared" si="189"/>
        <v>-2.724641732991917E-3</v>
      </c>
      <c r="H1126">
        <v>692.5</v>
      </c>
      <c r="I1126">
        <f t="shared" si="190"/>
        <v>1.5909394868109938E-3</v>
      </c>
      <c r="J1126">
        <v>1691</v>
      </c>
      <c r="K1126">
        <f t="shared" si="191"/>
        <v>1.0426907166849908E-2</v>
      </c>
      <c r="L1126">
        <v>232.9499969</v>
      </c>
      <c r="M1126">
        <f t="shared" si="192"/>
        <v>7.3513379459460015E-3</v>
      </c>
      <c r="N1126">
        <v>823.25</v>
      </c>
      <c r="O1126">
        <f t="shared" si="193"/>
        <v>2.8291312878226282E-2</v>
      </c>
      <c r="P1126">
        <v>160.3999939</v>
      </c>
      <c r="Q1126">
        <f t="shared" si="194"/>
        <v>-4.5806138730413837E-2</v>
      </c>
      <c r="R1126">
        <v>376.5</v>
      </c>
      <c r="S1126">
        <f t="shared" si="195"/>
        <v>0.12036903338343174</v>
      </c>
      <c r="T1126">
        <v>4311.7001950000003</v>
      </c>
      <c r="U1126">
        <f t="shared" si="196"/>
        <v>2.2081140274696986E-2</v>
      </c>
      <c r="W1126">
        <f t="shared" si="197"/>
        <v>1.6799978894856682E-2</v>
      </c>
      <c r="X1126">
        <v>3.6463834874876037E-3</v>
      </c>
    </row>
    <row r="1127" spans="1:24" x14ac:dyDescent="0.35">
      <c r="A1127" s="1">
        <v>44477</v>
      </c>
      <c r="B1127">
        <v>2465.5629880000001</v>
      </c>
      <c r="C1127">
        <f t="shared" si="187"/>
        <v>3.8427151142063742E-2</v>
      </c>
      <c r="D1127">
        <v>3935.6499020000001</v>
      </c>
      <c r="E1127">
        <f t="shared" si="188"/>
        <v>1.0981530755012958E-2</v>
      </c>
      <c r="F1127">
        <v>1602.650024</v>
      </c>
      <c r="G1127">
        <f t="shared" si="189"/>
        <v>-4.8742477491462433E-3</v>
      </c>
      <c r="H1127">
        <v>695.5</v>
      </c>
      <c r="I1127">
        <f t="shared" si="190"/>
        <v>4.3321299638989785E-3</v>
      </c>
      <c r="J1127">
        <v>1723.849976</v>
      </c>
      <c r="K1127">
        <f t="shared" si="191"/>
        <v>1.9426360733293846E-2</v>
      </c>
      <c r="L1127">
        <v>231.6999969</v>
      </c>
      <c r="M1127">
        <f t="shared" si="192"/>
        <v>-5.3659584315710607E-3</v>
      </c>
      <c r="N1127">
        <v>821.40002440000001</v>
      </c>
      <c r="O1127">
        <f t="shared" si="193"/>
        <v>-2.2471613726086082E-3</v>
      </c>
      <c r="P1127">
        <v>160.9499969</v>
      </c>
      <c r="Q1127">
        <f t="shared" si="194"/>
        <v>3.4289465144425879E-3</v>
      </c>
      <c r="R1127">
        <v>382.9500122</v>
      </c>
      <c r="S1127">
        <f t="shared" si="195"/>
        <v>1.7131506507304106E-2</v>
      </c>
      <c r="T1127">
        <v>4407.9501950000003</v>
      </c>
      <c r="U1127">
        <f t="shared" si="196"/>
        <v>2.2322980644993606E-2</v>
      </c>
      <c r="W1127">
        <f t="shared" si="197"/>
        <v>1.0356323870768394E-2</v>
      </c>
      <c r="X1127">
        <v>3.652703532673596E-3</v>
      </c>
    </row>
    <row r="1128" spans="1:24" x14ac:dyDescent="0.35">
      <c r="A1128" s="1">
        <v>44480</v>
      </c>
      <c r="B1128">
        <v>2448.3950199999999</v>
      </c>
      <c r="C1128">
        <f t="shared" si="187"/>
        <v>-6.9631025788258194E-3</v>
      </c>
      <c r="D1128">
        <v>3685.6000979999999</v>
      </c>
      <c r="E1128">
        <f t="shared" si="188"/>
        <v>-6.3534564868925725E-2</v>
      </c>
      <c r="F1128">
        <v>1633.8000489999999</v>
      </c>
      <c r="G1128">
        <f t="shared" si="189"/>
        <v>1.9436573508577748E-2</v>
      </c>
      <c r="H1128">
        <v>690.84997559999999</v>
      </c>
      <c r="I1128">
        <f t="shared" si="190"/>
        <v>-6.6858726096333809E-3</v>
      </c>
      <c r="J1128">
        <v>1690.9499510000001</v>
      </c>
      <c r="K1128">
        <f t="shared" si="191"/>
        <v>-1.9085201994399004E-2</v>
      </c>
      <c r="L1128">
        <v>238.0500031</v>
      </c>
      <c r="M1128">
        <f t="shared" si="192"/>
        <v>2.7406155740004712E-2</v>
      </c>
      <c r="N1128">
        <v>832.54998780000005</v>
      </c>
      <c r="O1128">
        <f t="shared" si="193"/>
        <v>1.3574340234704385E-2</v>
      </c>
      <c r="P1128">
        <v>165</v>
      </c>
      <c r="Q1128">
        <f t="shared" si="194"/>
        <v>2.5163113873909015E-2</v>
      </c>
      <c r="R1128">
        <v>415.75</v>
      </c>
      <c r="S1128">
        <f t="shared" si="195"/>
        <v>8.5650833672959559E-2</v>
      </c>
      <c r="T1128">
        <v>4719.4501950000003</v>
      </c>
      <c r="U1128">
        <f t="shared" si="196"/>
        <v>7.0667767606208187E-2</v>
      </c>
      <c r="W1128">
        <f t="shared" si="197"/>
        <v>1.4563004258457968E-2</v>
      </c>
      <c r="X1128">
        <v>3.6730275772633427E-3</v>
      </c>
    </row>
    <row r="1129" spans="1:24" x14ac:dyDescent="0.35">
      <c r="A1129" s="1">
        <v>44481</v>
      </c>
      <c r="B1129">
        <v>2462.3784179999998</v>
      </c>
      <c r="C1129">
        <f t="shared" si="187"/>
        <v>5.7112507931829093E-3</v>
      </c>
      <c r="D1129">
        <v>3652.8500979999999</v>
      </c>
      <c r="E1129">
        <f t="shared" si="188"/>
        <v>-8.8859342113030149E-3</v>
      </c>
      <c r="F1129">
        <v>1629.599976</v>
      </c>
      <c r="G1129">
        <f t="shared" si="189"/>
        <v>-2.5707386914149977E-3</v>
      </c>
      <c r="H1129">
        <v>686.34997559999999</v>
      </c>
      <c r="I1129">
        <f t="shared" si="190"/>
        <v>-6.5137152188385894E-3</v>
      </c>
      <c r="J1129">
        <v>1685.150024</v>
      </c>
      <c r="K1129">
        <f t="shared" si="191"/>
        <v>-3.4299814708117493E-3</v>
      </c>
      <c r="L1129">
        <v>241.3000031</v>
      </c>
      <c r="M1129">
        <f t="shared" si="192"/>
        <v>1.3652593815068004E-2</v>
      </c>
      <c r="N1129">
        <v>829.70001219999995</v>
      </c>
      <c r="O1129">
        <f t="shared" si="193"/>
        <v>-3.4231885673688955E-3</v>
      </c>
      <c r="P1129">
        <v>163.5500031</v>
      </c>
      <c r="Q1129">
        <f t="shared" si="194"/>
        <v>-8.7878599999999807E-3</v>
      </c>
      <c r="R1129">
        <v>420.85000609999997</v>
      </c>
      <c r="S1129">
        <f t="shared" si="195"/>
        <v>1.2267002044497932E-2</v>
      </c>
      <c r="T1129">
        <v>4739</v>
      </c>
      <c r="U1129">
        <f t="shared" si="196"/>
        <v>4.1423903616382152E-3</v>
      </c>
      <c r="W1129">
        <f t="shared" si="197"/>
        <v>2.1618188546498342E-4</v>
      </c>
      <c r="X1129">
        <v>3.6978371563214712E-3</v>
      </c>
    </row>
    <row r="1130" spans="1:24" x14ac:dyDescent="0.35">
      <c r="A1130" s="1">
        <v>44482</v>
      </c>
      <c r="B1130">
        <v>2487.4379880000001</v>
      </c>
      <c r="C1130">
        <f t="shared" si="187"/>
        <v>1.0176977598899795E-2</v>
      </c>
      <c r="D1130">
        <v>3655.1999510000001</v>
      </c>
      <c r="E1130">
        <f t="shared" si="188"/>
        <v>6.4329302789811749E-4</v>
      </c>
      <c r="F1130">
        <v>1639.400024</v>
      </c>
      <c r="G1130">
        <f t="shared" si="189"/>
        <v>6.0137752481164153E-3</v>
      </c>
      <c r="H1130">
        <v>689.90002440000001</v>
      </c>
      <c r="I1130">
        <f t="shared" si="190"/>
        <v>5.1723594757857594E-3</v>
      </c>
      <c r="J1130">
        <v>1709.1999510000001</v>
      </c>
      <c r="K1130">
        <f t="shared" si="191"/>
        <v>1.4271683029688509E-2</v>
      </c>
      <c r="L1130">
        <v>249.1999969</v>
      </c>
      <c r="M1130">
        <f t="shared" si="192"/>
        <v>3.2739302521791025E-2</v>
      </c>
      <c r="N1130">
        <v>842.54998780000005</v>
      </c>
      <c r="O1130">
        <f t="shared" si="193"/>
        <v>1.5487495975717414E-2</v>
      </c>
      <c r="P1130">
        <v>160</v>
      </c>
      <c r="Q1130">
        <f t="shared" si="194"/>
        <v>-2.1705918879313058E-2</v>
      </c>
      <c r="R1130">
        <v>506.89999390000003</v>
      </c>
      <c r="S1130">
        <f t="shared" si="195"/>
        <v>0.20446711786325444</v>
      </c>
      <c r="T1130">
        <v>5117.1499020000001</v>
      </c>
      <c r="U1130">
        <f t="shared" si="196"/>
        <v>7.9795294787929905E-2</v>
      </c>
      <c r="W1130">
        <f t="shared" si="197"/>
        <v>3.4706138064976834E-2</v>
      </c>
      <c r="X1130">
        <v>3.700363183987432E-3</v>
      </c>
    </row>
    <row r="1131" spans="1:24" x14ac:dyDescent="0.35">
      <c r="A1131" s="1">
        <v>44483</v>
      </c>
      <c r="B1131">
        <v>2492.4682619999999</v>
      </c>
      <c r="C1131">
        <f t="shared" si="187"/>
        <v>2.0222711176185459E-3</v>
      </c>
      <c r="D1131">
        <v>3611.4499510000001</v>
      </c>
      <c r="E1131">
        <f t="shared" si="188"/>
        <v>-1.196924944913913E-2</v>
      </c>
      <c r="F1131">
        <v>1687.400024</v>
      </c>
      <c r="G1131">
        <f t="shared" si="189"/>
        <v>2.9279004085216442E-2</v>
      </c>
      <c r="H1131">
        <v>685.79998780000005</v>
      </c>
      <c r="I1131">
        <f t="shared" si="190"/>
        <v>-5.9429431149328193E-3</v>
      </c>
      <c r="J1131">
        <v>1715.75</v>
      </c>
      <c r="K1131">
        <f t="shared" si="191"/>
        <v>3.8322309781062547E-3</v>
      </c>
      <c r="L1131">
        <v>256.5499878</v>
      </c>
      <c r="M1131">
        <f t="shared" si="192"/>
        <v>2.9494345872521865E-2</v>
      </c>
      <c r="N1131">
        <v>841.29998780000005</v>
      </c>
      <c r="O1131">
        <f t="shared" si="193"/>
        <v>-1.4835914997327615E-3</v>
      </c>
      <c r="P1131">
        <v>159.0500031</v>
      </c>
      <c r="Q1131">
        <f t="shared" si="194"/>
        <v>-5.9374806249999912E-3</v>
      </c>
      <c r="R1131">
        <v>497.60000609999997</v>
      </c>
      <c r="S1131">
        <f t="shared" si="195"/>
        <v>-1.8346790120172596E-2</v>
      </c>
      <c r="T1131">
        <v>5323.75</v>
      </c>
      <c r="U1131">
        <f t="shared" si="196"/>
        <v>4.0374056253316359E-2</v>
      </c>
      <c r="W1131">
        <f t="shared" si="197"/>
        <v>6.1321853497802187E-3</v>
      </c>
      <c r="X1131">
        <v>3.7154147689981046E-3</v>
      </c>
    </row>
    <row r="1132" spans="1:24" x14ac:dyDescent="0.35">
      <c r="A1132" s="1">
        <v>44487</v>
      </c>
      <c r="B1132">
        <v>2499.1140140000002</v>
      </c>
      <c r="C1132">
        <f t="shared" si="187"/>
        <v>2.6663336505907687E-3</v>
      </c>
      <c r="D1132">
        <v>3647.1499020000001</v>
      </c>
      <c r="E1132">
        <f t="shared" si="188"/>
        <v>9.885212721863823E-3</v>
      </c>
      <c r="F1132">
        <v>1670.3000489999999</v>
      </c>
      <c r="G1132">
        <f t="shared" si="189"/>
        <v>-1.0133918902919259E-2</v>
      </c>
      <c r="H1132">
        <v>680.59997559999999</v>
      </c>
      <c r="I1132">
        <f t="shared" si="190"/>
        <v>-7.5824034594712542E-3</v>
      </c>
      <c r="J1132">
        <v>1792.150024</v>
      </c>
      <c r="K1132">
        <f t="shared" si="191"/>
        <v>4.4528645781728216E-2</v>
      </c>
      <c r="L1132">
        <v>262.5499878</v>
      </c>
      <c r="M1132">
        <f t="shared" si="192"/>
        <v>2.3387255058758605E-2</v>
      </c>
      <c r="N1132">
        <v>835.90002440000001</v>
      </c>
      <c r="O1132">
        <f t="shared" si="193"/>
        <v>-6.4185944113953619E-3</v>
      </c>
      <c r="P1132">
        <v>162.1000061</v>
      </c>
      <c r="Q1132">
        <f t="shared" si="194"/>
        <v>1.9176378123566318E-2</v>
      </c>
      <c r="R1132">
        <v>509.60000609999997</v>
      </c>
      <c r="S1132">
        <f t="shared" si="195"/>
        <v>2.4115755331378441E-2</v>
      </c>
      <c r="T1132">
        <v>4897.7998049999997</v>
      </c>
      <c r="U1132">
        <f t="shared" si="196"/>
        <v>-8.0009428504343783E-2</v>
      </c>
      <c r="W1132">
        <f t="shared" si="197"/>
        <v>1.961523538975652E-3</v>
      </c>
      <c r="X1132">
        <v>3.7288176200977467E-3</v>
      </c>
    </row>
    <row r="1133" spans="1:24" x14ac:dyDescent="0.35">
      <c r="A1133" s="1">
        <v>44488</v>
      </c>
      <c r="B1133">
        <v>2521.4965820000002</v>
      </c>
      <c r="C1133">
        <f t="shared" si="187"/>
        <v>8.9562012275603564E-3</v>
      </c>
      <c r="D1133">
        <v>3634.1499020000001</v>
      </c>
      <c r="E1133">
        <f t="shared" si="188"/>
        <v>-3.5644271141339612E-3</v>
      </c>
      <c r="F1133">
        <v>1688.6999510000001</v>
      </c>
      <c r="G1133">
        <f t="shared" si="189"/>
        <v>1.1015926157109446E-2</v>
      </c>
      <c r="H1133">
        <v>681.09997559999999</v>
      </c>
      <c r="I1133">
        <f t="shared" si="190"/>
        <v>7.3464592701344422E-4</v>
      </c>
      <c r="J1133">
        <v>1822.150024</v>
      </c>
      <c r="K1133">
        <f t="shared" si="191"/>
        <v>1.6739670004323193E-2</v>
      </c>
      <c r="L1133">
        <v>245.9499969</v>
      </c>
      <c r="M1133">
        <f t="shared" si="192"/>
        <v>-6.3226020458417187E-2</v>
      </c>
      <c r="N1133">
        <v>827.34997559999999</v>
      </c>
      <c r="O1133">
        <f t="shared" si="193"/>
        <v>-1.0228554313223226E-2</v>
      </c>
      <c r="P1133">
        <v>158.6000061</v>
      </c>
      <c r="Q1133">
        <f t="shared" si="194"/>
        <v>-2.1591609304695725E-2</v>
      </c>
      <c r="R1133">
        <v>481.89999390000003</v>
      </c>
      <c r="S1133">
        <f t="shared" si="195"/>
        <v>-5.4356381217476546E-2</v>
      </c>
      <c r="T1133">
        <v>4754.5498049999997</v>
      </c>
      <c r="U1133">
        <f t="shared" si="196"/>
        <v>-2.9247826718797443E-2</v>
      </c>
      <c r="W1133">
        <f t="shared" si="197"/>
        <v>-1.4476837581073765E-2</v>
      </c>
      <c r="X1133">
        <v>3.7418797271083328E-3</v>
      </c>
    </row>
    <row r="1134" spans="1:24" x14ac:dyDescent="0.35">
      <c r="A1134" s="1">
        <v>44489</v>
      </c>
      <c r="B1134">
        <v>2492.4682619999999</v>
      </c>
      <c r="C1134">
        <f t="shared" si="187"/>
        <v>-1.1512337635998571E-2</v>
      </c>
      <c r="D1134">
        <v>3608.8500979999999</v>
      </c>
      <c r="E1134">
        <f t="shared" si="188"/>
        <v>-6.9616842128820133E-3</v>
      </c>
      <c r="F1134">
        <v>1673.849976</v>
      </c>
      <c r="G1134">
        <f t="shared" si="189"/>
        <v>-8.7937321199105245E-3</v>
      </c>
      <c r="H1134">
        <v>708.45001219999995</v>
      </c>
      <c r="I1134">
        <f t="shared" si="190"/>
        <v>4.0155685772718774E-2</v>
      </c>
      <c r="J1134">
        <v>1802.349976</v>
      </c>
      <c r="K1134">
        <f t="shared" si="191"/>
        <v>-1.0866310533824697E-2</v>
      </c>
      <c r="L1134">
        <v>246.6000061</v>
      </c>
      <c r="M1134">
        <f t="shared" si="192"/>
        <v>2.6428510192837429E-3</v>
      </c>
      <c r="N1134">
        <v>814.90002440000001</v>
      </c>
      <c r="O1134">
        <f t="shared" si="193"/>
        <v>-1.5047986423123105E-2</v>
      </c>
      <c r="P1134">
        <v>154.8999939</v>
      </c>
      <c r="Q1134">
        <f t="shared" si="194"/>
        <v>-2.3329205912306694E-2</v>
      </c>
      <c r="R1134">
        <v>486.89999390000003</v>
      </c>
      <c r="S1134">
        <f t="shared" si="195"/>
        <v>1.0375596728140923E-2</v>
      </c>
      <c r="T1134">
        <v>4596.3999020000001</v>
      </c>
      <c r="U1134">
        <f t="shared" si="196"/>
        <v>-3.326285547239094E-2</v>
      </c>
      <c r="W1134">
        <f t="shared" si="197"/>
        <v>-5.6599978790293111E-3</v>
      </c>
      <c r="X1134">
        <v>3.7459585102997415E-3</v>
      </c>
    </row>
    <row r="1135" spans="1:24" x14ac:dyDescent="0.35">
      <c r="A1135" s="1">
        <v>44490</v>
      </c>
      <c r="B1135">
        <v>2420.5666500000002</v>
      </c>
      <c r="C1135">
        <f t="shared" si="187"/>
        <v>-2.8847553686523031E-2</v>
      </c>
      <c r="D1135">
        <v>3532.5</v>
      </c>
      <c r="E1135">
        <f t="shared" si="188"/>
        <v>-2.1156350617697495E-2</v>
      </c>
      <c r="F1135">
        <v>1676.3000489999999</v>
      </c>
      <c r="G1135">
        <f t="shared" si="189"/>
        <v>1.4637351226989281E-3</v>
      </c>
      <c r="H1135">
        <v>696.04998780000005</v>
      </c>
      <c r="I1135">
        <f t="shared" si="190"/>
        <v>-1.7503033645935306E-2</v>
      </c>
      <c r="J1135">
        <v>1753.650024</v>
      </c>
      <c r="K1135">
        <f t="shared" si="191"/>
        <v>-2.7020252807992917E-2</v>
      </c>
      <c r="L1135">
        <v>244.6999969</v>
      </c>
      <c r="M1135">
        <f t="shared" si="192"/>
        <v>-7.7048221938385009E-3</v>
      </c>
      <c r="N1135">
        <v>818.40002440000001</v>
      </c>
      <c r="O1135">
        <f t="shared" si="193"/>
        <v>4.2950053935475463E-3</v>
      </c>
      <c r="P1135">
        <v>155</v>
      </c>
      <c r="Q1135">
        <f t="shared" si="194"/>
        <v>6.4561719779376858E-4</v>
      </c>
      <c r="R1135">
        <v>508</v>
      </c>
      <c r="S1135">
        <f t="shared" si="195"/>
        <v>4.3335400214306707E-2</v>
      </c>
      <c r="T1135">
        <v>4521.25</v>
      </c>
      <c r="U1135">
        <f t="shared" si="196"/>
        <v>-1.6349731007369583E-2</v>
      </c>
      <c r="W1135">
        <f t="shared" si="197"/>
        <v>-6.8841986031009895E-3</v>
      </c>
      <c r="X1135">
        <v>3.7489839547863008E-3</v>
      </c>
    </row>
    <row r="1136" spans="1:24" x14ac:dyDescent="0.35">
      <c r="A1136" s="1">
        <v>44491</v>
      </c>
      <c r="B1136">
        <v>2425.0893550000001</v>
      </c>
      <c r="C1136">
        <f t="shared" si="187"/>
        <v>1.8684488609308492E-3</v>
      </c>
      <c r="D1136">
        <v>3498.8500979999999</v>
      </c>
      <c r="E1136">
        <f t="shared" si="188"/>
        <v>-9.5258038216561314E-3</v>
      </c>
      <c r="F1136">
        <v>1680.75</v>
      </c>
      <c r="G1136">
        <f t="shared" si="189"/>
        <v>2.6546267791704992E-3</v>
      </c>
      <c r="H1136">
        <v>694.5</v>
      </c>
      <c r="I1136">
        <f t="shared" si="190"/>
        <v>-2.2268340308417844E-3</v>
      </c>
      <c r="J1136">
        <v>1719.8000489999999</v>
      </c>
      <c r="K1136">
        <f t="shared" si="191"/>
        <v>-1.9302582919475397E-2</v>
      </c>
      <c r="L1136">
        <v>236.6000061</v>
      </c>
      <c r="M1136">
        <f t="shared" si="192"/>
        <v>-3.3101720076074148E-2</v>
      </c>
      <c r="N1136">
        <v>812.54998780000005</v>
      </c>
      <c r="O1136">
        <f t="shared" si="193"/>
        <v>-7.1481383499332196E-3</v>
      </c>
      <c r="P1136">
        <v>157.0500031</v>
      </c>
      <c r="Q1136">
        <f t="shared" si="194"/>
        <v>1.3225826451612965E-2</v>
      </c>
      <c r="R1136">
        <v>490.89999390000003</v>
      </c>
      <c r="S1136">
        <f t="shared" si="195"/>
        <v>-3.3661429330708592E-2</v>
      </c>
      <c r="T1136">
        <v>4521.4501950000003</v>
      </c>
      <c r="U1136">
        <f t="shared" si="196"/>
        <v>4.4278683992260426E-5</v>
      </c>
      <c r="W1136">
        <f t="shared" si="197"/>
        <v>-8.7173327752982713E-3</v>
      </c>
      <c r="X1136">
        <v>3.7511857412708578E-3</v>
      </c>
    </row>
    <row r="1137" spans="1:24" x14ac:dyDescent="0.35">
      <c r="A1137" s="1">
        <v>44494</v>
      </c>
      <c r="B1137">
        <v>2401.4604490000002</v>
      </c>
      <c r="C1137">
        <f t="shared" si="187"/>
        <v>-9.7435197392963246E-3</v>
      </c>
      <c r="D1137">
        <v>3492.9499510000001</v>
      </c>
      <c r="E1137">
        <f t="shared" si="188"/>
        <v>-1.6863103118857081E-3</v>
      </c>
      <c r="F1137">
        <v>1657</v>
      </c>
      <c r="G1137">
        <f t="shared" si="189"/>
        <v>-1.4130596459913769E-2</v>
      </c>
      <c r="H1137">
        <v>691.09997559999999</v>
      </c>
      <c r="I1137">
        <f t="shared" si="190"/>
        <v>-4.895643484521206E-3</v>
      </c>
      <c r="J1137">
        <v>1707.5500489999999</v>
      </c>
      <c r="K1137">
        <f t="shared" si="191"/>
        <v>-7.1229210669710996E-3</v>
      </c>
      <c r="L1137">
        <v>233.3999939</v>
      </c>
      <c r="M1137">
        <f t="shared" si="192"/>
        <v>-1.3524987816980416E-2</v>
      </c>
      <c r="N1137">
        <v>813.20001219999995</v>
      </c>
      <c r="O1137">
        <f t="shared" si="193"/>
        <v>7.9998081319265779E-4</v>
      </c>
      <c r="P1137">
        <v>161.3999939</v>
      </c>
      <c r="Q1137">
        <f t="shared" si="194"/>
        <v>2.7698126164506842E-2</v>
      </c>
      <c r="R1137">
        <v>479.89999390000003</v>
      </c>
      <c r="S1137">
        <f t="shared" si="195"/>
        <v>-2.2407822645523989E-2</v>
      </c>
      <c r="T1137">
        <v>4400.6000979999999</v>
      </c>
      <c r="U1137">
        <f t="shared" si="196"/>
        <v>-2.6728171667939948E-2</v>
      </c>
      <c r="W1137">
        <f t="shared" si="197"/>
        <v>-7.1741866215332961E-3</v>
      </c>
      <c r="X1137">
        <v>3.7775048358035914E-3</v>
      </c>
    </row>
    <row r="1138" spans="1:24" x14ac:dyDescent="0.35">
      <c r="A1138" s="1">
        <v>44495</v>
      </c>
      <c r="B1138">
        <v>2456.148193</v>
      </c>
      <c r="C1138">
        <f t="shared" si="187"/>
        <v>2.2772702345679852E-2</v>
      </c>
      <c r="D1138">
        <v>3482.6000979999999</v>
      </c>
      <c r="E1138">
        <f t="shared" si="188"/>
        <v>-2.9630693669221442E-3</v>
      </c>
      <c r="F1138">
        <v>1652.75</v>
      </c>
      <c r="G1138">
        <f t="shared" si="189"/>
        <v>-2.5648762824381777E-3</v>
      </c>
      <c r="H1138">
        <v>696.20001219999995</v>
      </c>
      <c r="I1138">
        <f t="shared" si="190"/>
        <v>7.3795930835798274E-3</v>
      </c>
      <c r="J1138">
        <v>1703.6999510000001</v>
      </c>
      <c r="K1138">
        <f t="shared" si="191"/>
        <v>-2.2547497230049895E-3</v>
      </c>
      <c r="L1138">
        <v>236.6999969</v>
      </c>
      <c r="M1138">
        <f t="shared" si="192"/>
        <v>1.4138830703714023E-2</v>
      </c>
      <c r="N1138">
        <v>813.5</v>
      </c>
      <c r="O1138">
        <f t="shared" si="193"/>
        <v>3.6889792855321346E-4</v>
      </c>
      <c r="P1138">
        <v>163.1000061</v>
      </c>
      <c r="Q1138">
        <f t="shared" si="194"/>
        <v>1.0532913657067988E-2</v>
      </c>
      <c r="R1138">
        <v>508.64999390000003</v>
      </c>
      <c r="S1138">
        <f t="shared" si="195"/>
        <v>5.9908314993625256E-2</v>
      </c>
      <c r="T1138">
        <v>4568.5</v>
      </c>
      <c r="U1138">
        <f t="shared" si="196"/>
        <v>3.8153864986802066E-2</v>
      </c>
      <c r="W1138">
        <f t="shared" si="197"/>
        <v>1.4547242232665692E-2</v>
      </c>
      <c r="X1138">
        <v>3.7811618801525506E-3</v>
      </c>
    </row>
    <row r="1139" spans="1:24" x14ac:dyDescent="0.35">
      <c r="A1139" s="1">
        <v>44496</v>
      </c>
      <c r="B1139">
        <v>2425.0893550000001</v>
      </c>
      <c r="C1139">
        <f t="shared" si="187"/>
        <v>-1.2645343667990971E-2</v>
      </c>
      <c r="D1139">
        <v>3489.75</v>
      </c>
      <c r="E1139">
        <f t="shared" si="188"/>
        <v>2.0530356052381737E-3</v>
      </c>
      <c r="F1139">
        <v>1642.8000489999999</v>
      </c>
      <c r="G1139">
        <f t="shared" si="189"/>
        <v>-6.0202396006655556E-3</v>
      </c>
      <c r="H1139">
        <v>702.34997559999999</v>
      </c>
      <c r="I1139">
        <f t="shared" si="190"/>
        <v>8.8336157601693888E-3</v>
      </c>
      <c r="J1139">
        <v>1728.9499510000001</v>
      </c>
      <c r="K1139">
        <f t="shared" si="191"/>
        <v>1.4820684819048857E-2</v>
      </c>
      <c r="L1139">
        <v>238.4499969</v>
      </c>
      <c r="M1139">
        <f t="shared" si="192"/>
        <v>7.3933249806477086E-3</v>
      </c>
      <c r="N1139">
        <v>825.09997559999999</v>
      </c>
      <c r="O1139">
        <f t="shared" si="193"/>
        <v>1.4259343085433196E-2</v>
      </c>
      <c r="P1139">
        <v>157.8999939</v>
      </c>
      <c r="Q1139">
        <f t="shared" si="194"/>
        <v>-3.1882354417643421E-2</v>
      </c>
      <c r="R1139">
        <v>497.89999390000003</v>
      </c>
      <c r="S1139">
        <f t="shared" si="195"/>
        <v>-2.113437556064035E-2</v>
      </c>
      <c r="T1139">
        <v>4733</v>
      </c>
      <c r="U1139">
        <f t="shared" si="196"/>
        <v>3.6007442267702805E-2</v>
      </c>
      <c r="W1139">
        <f t="shared" si="197"/>
        <v>1.1685133271299832E-3</v>
      </c>
      <c r="X1139">
        <v>3.7853298609289215E-3</v>
      </c>
    </row>
    <row r="1140" spans="1:24" x14ac:dyDescent="0.35">
      <c r="A1140" s="1">
        <v>44497</v>
      </c>
      <c r="B1140">
        <v>2398.506836</v>
      </c>
      <c r="C1140">
        <f t="shared" si="187"/>
        <v>-1.0961459603619494E-2</v>
      </c>
      <c r="D1140">
        <v>3421.6499020000001</v>
      </c>
      <c r="E1140">
        <f t="shared" si="188"/>
        <v>-1.951431993695818E-2</v>
      </c>
      <c r="F1140">
        <v>1593.599976</v>
      </c>
      <c r="G1140">
        <f t="shared" si="189"/>
        <v>-2.9948911329743977E-2</v>
      </c>
      <c r="H1140">
        <v>689.75</v>
      </c>
      <c r="I1140">
        <f t="shared" si="190"/>
        <v>-1.7939739499864271E-2</v>
      </c>
      <c r="J1140">
        <v>1703.900024</v>
      </c>
      <c r="K1140">
        <f t="shared" si="191"/>
        <v>-1.4488520610739242E-2</v>
      </c>
      <c r="L1140">
        <v>225.1000061</v>
      </c>
      <c r="M1140">
        <f t="shared" si="192"/>
        <v>-5.5986542141154505E-2</v>
      </c>
      <c r="N1140">
        <v>807.59997559999999</v>
      </c>
      <c r="O1140">
        <f t="shared" si="193"/>
        <v>-2.1209550984744974E-2</v>
      </c>
      <c r="P1140">
        <v>150.1999969</v>
      </c>
      <c r="Q1140">
        <f t="shared" si="194"/>
        <v>-4.8765024049820416E-2</v>
      </c>
      <c r="R1140">
        <v>481.0499878</v>
      </c>
      <c r="S1140">
        <f t="shared" si="195"/>
        <v>-3.3842149641368002E-2</v>
      </c>
      <c r="T1140">
        <v>4675.6499020000001</v>
      </c>
      <c r="U1140">
        <f t="shared" si="196"/>
        <v>-1.2117071202197294E-2</v>
      </c>
      <c r="W1140">
        <f t="shared" si="197"/>
        <v>-2.6477328900021038E-2</v>
      </c>
      <c r="X1140">
        <v>3.791954265198994E-3</v>
      </c>
    </row>
    <row r="1141" spans="1:24" x14ac:dyDescent="0.35">
      <c r="A1141" s="1">
        <v>44498</v>
      </c>
      <c r="B1141">
        <v>2340.9580080000001</v>
      </c>
      <c r="C1141">
        <f t="shared" si="187"/>
        <v>-2.3993605995292655E-2</v>
      </c>
      <c r="D1141">
        <v>3397.75</v>
      </c>
      <c r="E1141">
        <f t="shared" si="188"/>
        <v>-6.984905728090518E-3</v>
      </c>
      <c r="F1141">
        <v>1582.849976</v>
      </c>
      <c r="G1141">
        <f t="shared" si="189"/>
        <v>-6.7457330333192678E-3</v>
      </c>
      <c r="H1141">
        <v>685.34997559999999</v>
      </c>
      <c r="I1141">
        <f t="shared" si="190"/>
        <v>-6.379158245741201E-3</v>
      </c>
      <c r="J1141">
        <v>1667.75</v>
      </c>
      <c r="K1141">
        <f t="shared" si="191"/>
        <v>-2.1216047591299358E-2</v>
      </c>
      <c r="L1141">
        <v>223.1999969</v>
      </c>
      <c r="M1141">
        <f t="shared" si="192"/>
        <v>-8.4407336673102407E-3</v>
      </c>
      <c r="N1141">
        <v>795</v>
      </c>
      <c r="O1141">
        <f t="shared" si="193"/>
        <v>-1.56017533193199E-2</v>
      </c>
      <c r="P1141">
        <v>149.0500031</v>
      </c>
      <c r="Q1141">
        <f t="shared" si="194"/>
        <v>-7.6564169356517775E-3</v>
      </c>
      <c r="R1141">
        <v>483.7000122</v>
      </c>
      <c r="S1141">
        <f t="shared" si="195"/>
        <v>5.5088337328921266E-3</v>
      </c>
      <c r="T1141">
        <v>4635.4501950000003</v>
      </c>
      <c r="U1141">
        <f t="shared" si="196"/>
        <v>-8.597672589387928E-3</v>
      </c>
      <c r="W1141">
        <f t="shared" si="197"/>
        <v>-1.0010719337252075E-2</v>
      </c>
      <c r="X1141">
        <v>3.7972524807718066E-3</v>
      </c>
    </row>
    <row r="1142" spans="1:24" x14ac:dyDescent="0.35">
      <c r="A1142" s="1">
        <v>44501</v>
      </c>
      <c r="B1142">
        <v>2342.388672</v>
      </c>
      <c r="C1142">
        <f t="shared" si="187"/>
        <v>6.1114466603440221E-4</v>
      </c>
      <c r="D1142">
        <v>3476.3999020000001</v>
      </c>
      <c r="E1142">
        <f t="shared" si="188"/>
        <v>2.3147642410418667E-2</v>
      </c>
      <c r="F1142">
        <v>1605.3000489999999</v>
      </c>
      <c r="G1142">
        <f t="shared" si="189"/>
        <v>1.4183323334744147E-2</v>
      </c>
      <c r="H1142">
        <v>712.5</v>
      </c>
      <c r="I1142">
        <f t="shared" si="190"/>
        <v>3.9614832372659059E-2</v>
      </c>
      <c r="J1142">
        <v>1700.0500489999999</v>
      </c>
      <c r="K1142">
        <f t="shared" si="191"/>
        <v>1.9367440563633709E-2</v>
      </c>
      <c r="L1142">
        <v>226.8500061</v>
      </c>
      <c r="M1142">
        <f t="shared" si="192"/>
        <v>1.6353088040746311E-2</v>
      </c>
      <c r="N1142">
        <v>811.79998780000005</v>
      </c>
      <c r="O1142">
        <f t="shared" si="193"/>
        <v>2.1132060125786278E-2</v>
      </c>
      <c r="P1142">
        <v>153.1499939</v>
      </c>
      <c r="Q1142">
        <f t="shared" si="194"/>
        <v>2.7507485506385709E-2</v>
      </c>
      <c r="R1142">
        <v>485.7000122</v>
      </c>
      <c r="S1142">
        <f t="shared" si="195"/>
        <v>4.1347941896949791E-3</v>
      </c>
      <c r="T1142">
        <v>4564.75</v>
      </c>
      <c r="U1142">
        <f t="shared" si="196"/>
        <v>-1.5252066579479306E-2</v>
      </c>
      <c r="W1142">
        <f t="shared" si="197"/>
        <v>1.50799744630624E-2</v>
      </c>
      <c r="X1142">
        <v>3.8062165232395362E-3</v>
      </c>
    </row>
    <row r="1143" spans="1:24" x14ac:dyDescent="0.35">
      <c r="A1143" s="1">
        <v>44502</v>
      </c>
      <c r="B1143">
        <v>2308.2375489999999</v>
      </c>
      <c r="C1143">
        <f t="shared" si="187"/>
        <v>-1.457961413843456E-2</v>
      </c>
      <c r="D1143">
        <v>3484.1999510000001</v>
      </c>
      <c r="E1143">
        <f t="shared" si="188"/>
        <v>2.2437145379945456E-3</v>
      </c>
      <c r="F1143">
        <v>1606.75</v>
      </c>
      <c r="G1143">
        <f t="shared" si="189"/>
        <v>9.0322740655457423E-4</v>
      </c>
      <c r="H1143">
        <v>713.95001219999995</v>
      </c>
      <c r="I1143">
        <f t="shared" si="190"/>
        <v>2.0351048421052287E-3</v>
      </c>
      <c r="J1143">
        <v>1697.900024</v>
      </c>
      <c r="K1143">
        <f t="shared" si="191"/>
        <v>-1.2646833552133474E-3</v>
      </c>
      <c r="L1143">
        <v>225.6000061</v>
      </c>
      <c r="M1143">
        <f t="shared" si="192"/>
        <v>-5.5102489150870015E-3</v>
      </c>
      <c r="N1143">
        <v>815.40002440000001</v>
      </c>
      <c r="O1143">
        <f t="shared" si="193"/>
        <v>4.4346349520849593E-3</v>
      </c>
      <c r="P1143">
        <v>152.9499969</v>
      </c>
      <c r="Q1143">
        <f t="shared" si="194"/>
        <v>-1.3058897026831939E-3</v>
      </c>
      <c r="R1143">
        <v>487.85000609999997</v>
      </c>
      <c r="S1143">
        <f t="shared" si="195"/>
        <v>4.4265881119942563E-3</v>
      </c>
      <c r="T1143">
        <v>4597.0498049999997</v>
      </c>
      <c r="U1143">
        <f t="shared" si="196"/>
        <v>7.0759198203624862E-3</v>
      </c>
      <c r="W1143">
        <f t="shared" si="197"/>
        <v>-1.5412464403220512E-4</v>
      </c>
      <c r="X1143">
        <v>3.858785984921554E-3</v>
      </c>
    </row>
    <row r="1144" spans="1:24" x14ac:dyDescent="0.35">
      <c r="A1144" s="1">
        <v>44503</v>
      </c>
      <c r="B1144">
        <v>2292.3620609999998</v>
      </c>
      <c r="C1144">
        <f t="shared" si="187"/>
        <v>-6.8777531181215545E-3</v>
      </c>
      <c r="D1144">
        <v>3492.25</v>
      </c>
      <c r="E1144">
        <f t="shared" si="188"/>
        <v>2.3104440368555412E-3</v>
      </c>
      <c r="F1144">
        <v>1581.4499510000001</v>
      </c>
      <c r="G1144">
        <f t="shared" si="189"/>
        <v>-1.5746101758207565E-2</v>
      </c>
      <c r="H1144">
        <v>699.09997559999999</v>
      </c>
      <c r="I1144">
        <f t="shared" si="190"/>
        <v>-2.0799826803336474E-2</v>
      </c>
      <c r="J1144">
        <v>1702.5</v>
      </c>
      <c r="K1144">
        <f t="shared" si="191"/>
        <v>2.7092148742440259E-3</v>
      </c>
      <c r="L1144">
        <v>222.4499969</v>
      </c>
      <c r="M1144">
        <f t="shared" si="192"/>
        <v>-1.3962806360048208E-2</v>
      </c>
      <c r="N1144">
        <v>787.95001219999995</v>
      </c>
      <c r="O1144">
        <f t="shared" si="193"/>
        <v>-3.3664473115755378E-2</v>
      </c>
      <c r="P1144">
        <v>152</v>
      </c>
      <c r="Q1144">
        <f t="shared" si="194"/>
        <v>-6.2111599820503516E-3</v>
      </c>
      <c r="R1144">
        <v>484.89999390000003</v>
      </c>
      <c r="S1144">
        <f t="shared" si="195"/>
        <v>-6.0469655900654562E-3</v>
      </c>
      <c r="T1144">
        <v>4741.2998049999997</v>
      </c>
      <c r="U1144">
        <f t="shared" si="196"/>
        <v>3.1378820356287251E-2</v>
      </c>
      <c r="W1144">
        <f t="shared" si="197"/>
        <v>-6.6910607460198175E-3</v>
      </c>
      <c r="X1144">
        <v>3.8645734708950617E-3</v>
      </c>
    </row>
    <row r="1145" spans="1:24" x14ac:dyDescent="0.35">
      <c r="A1145" s="1">
        <v>44504</v>
      </c>
      <c r="B1145">
        <v>2306.4377439999998</v>
      </c>
      <c r="C1145">
        <f t="shared" si="187"/>
        <v>6.1402529903411551E-3</v>
      </c>
      <c r="D1145">
        <v>3508.6499020000001</v>
      </c>
      <c r="E1145">
        <f t="shared" si="188"/>
        <v>4.6960847591095423E-3</v>
      </c>
      <c r="F1145">
        <v>1593.9499510000001</v>
      </c>
      <c r="G1145">
        <f t="shared" si="189"/>
        <v>7.9041388518781286E-3</v>
      </c>
      <c r="H1145">
        <v>701.09997559999999</v>
      </c>
      <c r="I1145">
        <f t="shared" si="190"/>
        <v>2.8608211554914664E-3</v>
      </c>
      <c r="J1145">
        <v>1708.6999510000001</v>
      </c>
      <c r="K1145">
        <f t="shared" si="191"/>
        <v>3.6416745961820318E-3</v>
      </c>
      <c r="L1145">
        <v>226.5500031</v>
      </c>
      <c r="M1145">
        <f t="shared" si="192"/>
        <v>1.843113624246584E-2</v>
      </c>
      <c r="N1145">
        <v>795.45001219999995</v>
      </c>
      <c r="O1145">
        <f t="shared" si="193"/>
        <v>9.5183703076031634E-3</v>
      </c>
      <c r="P1145">
        <v>152.0500031</v>
      </c>
      <c r="Q1145">
        <f t="shared" si="194"/>
        <v>3.2896776315793907E-4</v>
      </c>
      <c r="R1145">
        <v>489.7000122</v>
      </c>
      <c r="S1145">
        <f t="shared" si="195"/>
        <v>9.8989861010183589E-3</v>
      </c>
      <c r="T1145">
        <v>4783.7001950000003</v>
      </c>
      <c r="U1145">
        <f t="shared" si="196"/>
        <v>8.9427776651640478E-3</v>
      </c>
      <c r="W1145">
        <f t="shared" si="197"/>
        <v>7.2363210432411671E-3</v>
      </c>
      <c r="X1145">
        <v>3.8733192752284594E-3</v>
      </c>
    </row>
    <row r="1146" spans="1:24" x14ac:dyDescent="0.35">
      <c r="A1146" s="1">
        <v>44508</v>
      </c>
      <c r="B1146">
        <v>2309.2990719999998</v>
      </c>
      <c r="C1146">
        <f t="shared" si="187"/>
        <v>1.2405832359634328E-3</v>
      </c>
      <c r="D1146">
        <v>3502.75</v>
      </c>
      <c r="E1146">
        <f t="shared" si="188"/>
        <v>-1.6815305501517441E-3</v>
      </c>
      <c r="F1146">
        <v>1600.25</v>
      </c>
      <c r="G1146">
        <f t="shared" si="189"/>
        <v>3.9524760460938335E-3</v>
      </c>
      <c r="H1146">
        <v>709</v>
      </c>
      <c r="I1146">
        <f t="shared" si="190"/>
        <v>1.1268042611525031E-2</v>
      </c>
      <c r="J1146">
        <v>1737.5</v>
      </c>
      <c r="K1146">
        <f t="shared" si="191"/>
        <v>1.6854948104343848E-2</v>
      </c>
      <c r="L1146">
        <v>229.8000031</v>
      </c>
      <c r="M1146">
        <f t="shared" si="192"/>
        <v>1.4345618872339871E-2</v>
      </c>
      <c r="N1146">
        <v>800</v>
      </c>
      <c r="O1146">
        <f t="shared" si="193"/>
        <v>5.7200172609415123E-3</v>
      </c>
      <c r="P1146">
        <v>154.8999939</v>
      </c>
      <c r="Q1146">
        <f t="shared" si="194"/>
        <v>1.8743773376483475E-2</v>
      </c>
      <c r="R1146">
        <v>501.39999390000003</v>
      </c>
      <c r="S1146">
        <f t="shared" si="195"/>
        <v>2.3892140919983484E-2</v>
      </c>
      <c r="T1146">
        <v>4748.5</v>
      </c>
      <c r="U1146">
        <f t="shared" si="196"/>
        <v>-7.3583614284172816E-3</v>
      </c>
      <c r="W1146">
        <f t="shared" si="197"/>
        <v>8.6977708449105483E-3</v>
      </c>
      <c r="X1146">
        <v>3.8733339280573099E-3</v>
      </c>
    </row>
    <row r="1147" spans="1:24" x14ac:dyDescent="0.35">
      <c r="A1147" s="1">
        <v>44509</v>
      </c>
      <c r="B1147">
        <v>2327.5283199999999</v>
      </c>
      <c r="C1147">
        <f t="shared" si="187"/>
        <v>7.893844595976196E-3</v>
      </c>
      <c r="D1147">
        <v>3505.6999510000001</v>
      </c>
      <c r="E1147">
        <f t="shared" si="188"/>
        <v>8.4218142887726444E-4</v>
      </c>
      <c r="F1147">
        <v>1572.25</v>
      </c>
      <c r="G1147">
        <f t="shared" si="189"/>
        <v>-1.7497266052179383E-2</v>
      </c>
      <c r="H1147">
        <v>713.20001219999995</v>
      </c>
      <c r="I1147">
        <f t="shared" si="190"/>
        <v>5.9238535966148476E-3</v>
      </c>
      <c r="J1147">
        <v>1742.5</v>
      </c>
      <c r="K1147">
        <f t="shared" si="191"/>
        <v>2.8776978417266452E-3</v>
      </c>
      <c r="L1147">
        <v>228.75</v>
      </c>
      <c r="M1147">
        <f t="shared" si="192"/>
        <v>-4.5692040288749514E-3</v>
      </c>
      <c r="N1147">
        <v>801.34997559999999</v>
      </c>
      <c r="O1147">
        <f t="shared" si="193"/>
        <v>1.6874694999999829E-3</v>
      </c>
      <c r="P1147">
        <v>156.6499939</v>
      </c>
      <c r="Q1147">
        <f t="shared" si="194"/>
        <v>1.1297611807071783E-2</v>
      </c>
      <c r="R1147">
        <v>509.64999390000003</v>
      </c>
      <c r="S1147">
        <f t="shared" si="195"/>
        <v>1.6453929198980699E-2</v>
      </c>
      <c r="T1147">
        <v>4757.1499020000001</v>
      </c>
      <c r="U1147">
        <f t="shared" si="196"/>
        <v>1.8216072443930642E-3</v>
      </c>
      <c r="W1147">
        <f t="shared" si="197"/>
        <v>2.673172513258615E-3</v>
      </c>
      <c r="X1147">
        <v>3.8776423002882202E-3</v>
      </c>
    </row>
    <row r="1148" spans="1:24" x14ac:dyDescent="0.35">
      <c r="A1148" s="1">
        <v>44510</v>
      </c>
      <c r="B1148">
        <v>2353.556885</v>
      </c>
      <c r="C1148">
        <f t="shared" si="187"/>
        <v>1.1182920859154066E-2</v>
      </c>
      <c r="D1148">
        <v>3484.3000489999999</v>
      </c>
      <c r="E1148">
        <f t="shared" si="188"/>
        <v>-6.1043164843288533E-3</v>
      </c>
      <c r="F1148">
        <v>1555.25</v>
      </c>
      <c r="G1148">
        <f t="shared" si="189"/>
        <v>-1.0812529813960858E-2</v>
      </c>
      <c r="H1148">
        <v>735.45001219999995</v>
      </c>
      <c r="I1148">
        <f t="shared" si="190"/>
        <v>3.1197419544856331E-2</v>
      </c>
      <c r="J1148">
        <v>1740.150024</v>
      </c>
      <c r="K1148">
        <f t="shared" si="191"/>
        <v>-1.3486232424676503E-3</v>
      </c>
      <c r="L1148">
        <v>230.8500061</v>
      </c>
      <c r="M1148">
        <f t="shared" si="192"/>
        <v>9.1803545355191307E-3</v>
      </c>
      <c r="N1148">
        <v>811.09997559999999</v>
      </c>
      <c r="O1148">
        <f t="shared" si="193"/>
        <v>1.2166968611560636E-2</v>
      </c>
      <c r="P1148">
        <v>157.6999969</v>
      </c>
      <c r="Q1148">
        <f t="shared" si="194"/>
        <v>6.7028601397220999E-3</v>
      </c>
      <c r="R1148">
        <v>510.75</v>
      </c>
      <c r="S1148">
        <f t="shared" si="195"/>
        <v>2.1583559563738142E-3</v>
      </c>
      <c r="T1148">
        <v>4960.2998049999997</v>
      </c>
      <c r="U1148">
        <f t="shared" si="196"/>
        <v>4.2704120573243021E-2</v>
      </c>
      <c r="W1148">
        <f t="shared" si="197"/>
        <v>9.7027530679671733E-3</v>
      </c>
      <c r="X1148">
        <v>3.8825544560138975E-3</v>
      </c>
    </row>
    <row r="1149" spans="1:24" x14ac:dyDescent="0.35">
      <c r="A1149" s="1">
        <v>44511</v>
      </c>
      <c r="B1149">
        <v>2357.8488769999999</v>
      </c>
      <c r="C1149">
        <f t="shared" si="187"/>
        <v>1.8236194023413255E-3</v>
      </c>
      <c r="D1149">
        <v>3488.1999510000001</v>
      </c>
      <c r="E1149">
        <f t="shared" si="188"/>
        <v>1.1192784620024376E-3</v>
      </c>
      <c r="F1149">
        <v>1548.3000489999999</v>
      </c>
      <c r="G1149">
        <f t="shared" si="189"/>
        <v>-4.4687034238868328E-3</v>
      </c>
      <c r="H1149">
        <v>728.59997559999999</v>
      </c>
      <c r="I1149">
        <f t="shared" si="190"/>
        <v>-9.3140750375528825E-3</v>
      </c>
      <c r="J1149">
        <v>1733.3000489999999</v>
      </c>
      <c r="K1149">
        <f t="shared" si="191"/>
        <v>-3.9364278398562602E-3</v>
      </c>
      <c r="L1149">
        <v>230</v>
      </c>
      <c r="M1149">
        <f t="shared" si="192"/>
        <v>-3.6820709445066768E-3</v>
      </c>
      <c r="N1149">
        <v>794.84997559999999</v>
      </c>
      <c r="O1149">
        <f t="shared" si="193"/>
        <v>-2.003452162352648E-2</v>
      </c>
      <c r="P1149">
        <v>153.5</v>
      </c>
      <c r="Q1149">
        <f t="shared" si="194"/>
        <v>-2.6632828044145684E-2</v>
      </c>
      <c r="R1149">
        <v>503.4500122</v>
      </c>
      <c r="S1149">
        <f t="shared" si="195"/>
        <v>-1.4292682917278476E-2</v>
      </c>
      <c r="T1149">
        <v>4997.75</v>
      </c>
      <c r="U1149">
        <f t="shared" si="196"/>
        <v>7.5499861847565519E-3</v>
      </c>
      <c r="W1149">
        <f t="shared" si="197"/>
        <v>-7.1868425781652983E-3</v>
      </c>
      <c r="X1149">
        <v>3.8834727991668093E-3</v>
      </c>
    </row>
    <row r="1150" spans="1:24" x14ac:dyDescent="0.35">
      <c r="A1150" s="1">
        <v>44512</v>
      </c>
      <c r="B1150">
        <v>2393.4304200000001</v>
      </c>
      <c r="C1150">
        <f t="shared" si="187"/>
        <v>1.50906800461581E-2</v>
      </c>
      <c r="D1150">
        <v>3526.0500489999999</v>
      </c>
      <c r="E1150">
        <f t="shared" si="188"/>
        <v>1.085089688999874E-2</v>
      </c>
      <c r="F1150">
        <v>1553</v>
      </c>
      <c r="G1150">
        <f t="shared" si="189"/>
        <v>3.0355556747774237E-3</v>
      </c>
      <c r="H1150">
        <v>743.5</v>
      </c>
      <c r="I1150">
        <f t="shared" si="190"/>
        <v>2.0450212598113193E-2</v>
      </c>
      <c r="J1150">
        <v>1780.1999510000001</v>
      </c>
      <c r="K1150">
        <f t="shared" si="191"/>
        <v>2.7058155353459012E-2</v>
      </c>
      <c r="L1150">
        <v>232.8999939</v>
      </c>
      <c r="M1150">
        <f t="shared" si="192"/>
        <v>1.2608669130434791E-2</v>
      </c>
      <c r="N1150">
        <v>806.5</v>
      </c>
      <c r="O1150">
        <f t="shared" si="193"/>
        <v>1.4656884641917278E-2</v>
      </c>
      <c r="P1150">
        <v>154.6499939</v>
      </c>
      <c r="Q1150">
        <f t="shared" si="194"/>
        <v>7.4918169381106292E-3</v>
      </c>
      <c r="R1150">
        <v>507.0499878</v>
      </c>
      <c r="S1150">
        <f t="shared" si="195"/>
        <v>7.1506118040769451E-3</v>
      </c>
      <c r="T1150">
        <v>5078.5498049999997</v>
      </c>
      <c r="U1150">
        <f t="shared" si="196"/>
        <v>1.6167236256315221E-2</v>
      </c>
      <c r="W1150">
        <f t="shared" si="197"/>
        <v>1.3456071933336134E-2</v>
      </c>
      <c r="X1150">
        <v>3.8991943598329138E-3</v>
      </c>
    </row>
    <row r="1151" spans="1:24" x14ac:dyDescent="0.35">
      <c r="A1151" s="1">
        <v>44515</v>
      </c>
      <c r="B1151">
        <v>2379.3085940000001</v>
      </c>
      <c r="C1151">
        <f t="shared" si="187"/>
        <v>-5.9002450549617835E-3</v>
      </c>
      <c r="D1151">
        <v>3553.3000489999999</v>
      </c>
      <c r="E1151">
        <f t="shared" si="188"/>
        <v>7.728194331140692E-3</v>
      </c>
      <c r="F1151">
        <v>1557.25</v>
      </c>
      <c r="G1151">
        <f t="shared" si="189"/>
        <v>2.7366387636831302E-3</v>
      </c>
      <c r="H1151">
        <v>737.54998780000005</v>
      </c>
      <c r="I1151">
        <f t="shared" si="190"/>
        <v>-8.0027063887020411E-3</v>
      </c>
      <c r="J1151">
        <v>1787.150024</v>
      </c>
      <c r="K1151">
        <f t="shared" si="191"/>
        <v>3.9040968381647279E-3</v>
      </c>
      <c r="L1151">
        <v>238.1000061</v>
      </c>
      <c r="M1151">
        <f t="shared" si="192"/>
        <v>2.2327232014581977E-2</v>
      </c>
      <c r="N1151">
        <v>810.70001219999995</v>
      </c>
      <c r="O1151">
        <f t="shared" si="193"/>
        <v>5.2077026658399195E-3</v>
      </c>
      <c r="P1151">
        <v>157.8000031</v>
      </c>
      <c r="Q1151">
        <f t="shared" si="194"/>
        <v>2.0368634492393678E-2</v>
      </c>
      <c r="R1151">
        <v>505.4500122</v>
      </c>
      <c r="S1151">
        <f t="shared" si="195"/>
        <v>-3.1554593008511489E-3</v>
      </c>
      <c r="T1151">
        <v>5023.2998049999997</v>
      </c>
      <c r="U1151">
        <f t="shared" si="196"/>
        <v>-1.0879089921615903E-2</v>
      </c>
      <c r="W1151">
        <f t="shared" si="197"/>
        <v>3.4334998439673244E-3</v>
      </c>
      <c r="X1151">
        <v>3.9055820608629335E-3</v>
      </c>
    </row>
    <row r="1152" spans="1:24" x14ac:dyDescent="0.35">
      <c r="A1152" s="1">
        <v>44516</v>
      </c>
      <c r="B1152">
        <v>2324.0209960000002</v>
      </c>
      <c r="C1152">
        <f t="shared" si="187"/>
        <v>-2.3236833649666444E-2</v>
      </c>
      <c r="D1152">
        <v>3556.3999020000001</v>
      </c>
      <c r="E1152">
        <f t="shared" si="188"/>
        <v>8.7238706477177352E-4</v>
      </c>
      <c r="F1152">
        <v>1548</v>
      </c>
      <c r="G1152">
        <f t="shared" si="189"/>
        <v>-5.9399582597527978E-3</v>
      </c>
      <c r="H1152">
        <v>730.29998780000005</v>
      </c>
      <c r="I1152">
        <f t="shared" si="190"/>
        <v>-9.829842207205064E-3</v>
      </c>
      <c r="J1152">
        <v>1792.3000489999999</v>
      </c>
      <c r="K1152">
        <f t="shared" si="191"/>
        <v>2.8816970768201777E-3</v>
      </c>
      <c r="L1152">
        <v>235.4499969</v>
      </c>
      <c r="M1152">
        <f t="shared" si="192"/>
        <v>-1.1129815758538997E-2</v>
      </c>
      <c r="N1152">
        <v>798.45001219999995</v>
      </c>
      <c r="O1152">
        <f t="shared" si="193"/>
        <v>-1.5110398193725394E-2</v>
      </c>
      <c r="P1152">
        <v>157.1499939</v>
      </c>
      <c r="Q1152">
        <f t="shared" si="194"/>
        <v>-4.1191963702819079E-3</v>
      </c>
      <c r="R1152">
        <v>519.04998780000005</v>
      </c>
      <c r="S1152">
        <f t="shared" si="195"/>
        <v>2.690666786376239E-2</v>
      </c>
      <c r="T1152">
        <v>5081.5</v>
      </c>
      <c r="U1152">
        <f t="shared" si="196"/>
        <v>1.1586048466004417E-2</v>
      </c>
      <c r="W1152">
        <f t="shared" si="197"/>
        <v>-2.7119243967811853E-3</v>
      </c>
      <c r="X1152">
        <v>3.9093341039913576E-3</v>
      </c>
    </row>
    <row r="1153" spans="1:24" x14ac:dyDescent="0.35">
      <c r="A1153" s="1">
        <v>44517</v>
      </c>
      <c r="B1153">
        <v>2274.27124</v>
      </c>
      <c r="C1153">
        <f t="shared" si="187"/>
        <v>-2.1406758409509674E-2</v>
      </c>
      <c r="D1153">
        <v>3521.8999020000001</v>
      </c>
      <c r="E1153">
        <f t="shared" si="188"/>
        <v>-9.7008213223148676E-3</v>
      </c>
      <c r="F1153">
        <v>1530.8000489999999</v>
      </c>
      <c r="G1153">
        <f t="shared" si="189"/>
        <v>-1.1111079457364337E-2</v>
      </c>
      <c r="H1153">
        <v>720.04998780000005</v>
      </c>
      <c r="I1153">
        <f t="shared" si="190"/>
        <v>-1.4035328181885576E-2</v>
      </c>
      <c r="J1153">
        <v>1787.4499510000001</v>
      </c>
      <c r="K1153">
        <f t="shared" si="191"/>
        <v>-2.7060748018759018E-3</v>
      </c>
      <c r="L1153">
        <v>239.5</v>
      </c>
      <c r="M1153">
        <f t="shared" si="192"/>
        <v>1.7201117661174159E-2</v>
      </c>
      <c r="N1153">
        <v>791.34997559999999</v>
      </c>
      <c r="O1153">
        <f t="shared" si="193"/>
        <v>-8.8922743960351269E-3</v>
      </c>
      <c r="P1153">
        <v>157.3999939</v>
      </c>
      <c r="Q1153">
        <f t="shared" si="194"/>
        <v>1.5908368418968699E-3</v>
      </c>
      <c r="R1153">
        <v>530.15002440000001</v>
      </c>
      <c r="S1153">
        <f t="shared" si="195"/>
        <v>2.138529401965239E-2</v>
      </c>
      <c r="T1153">
        <v>5126.3999020000001</v>
      </c>
      <c r="U1153">
        <f t="shared" si="196"/>
        <v>8.8359543441898225E-3</v>
      </c>
      <c r="W1153">
        <f t="shared" si="197"/>
        <v>-1.8839133702072248E-3</v>
      </c>
      <c r="X1153">
        <v>3.9097688782849249E-3</v>
      </c>
    </row>
    <row r="1154" spans="1:24" x14ac:dyDescent="0.35">
      <c r="A1154" s="1">
        <v>44518</v>
      </c>
      <c r="B1154">
        <v>2282.8549800000001</v>
      </c>
      <c r="C1154">
        <f t="shared" si="187"/>
        <v>3.7742815584300704E-3</v>
      </c>
      <c r="D1154">
        <v>3475.6999510000001</v>
      </c>
      <c r="E1154">
        <f t="shared" si="188"/>
        <v>-1.3117905756993342E-2</v>
      </c>
      <c r="F1154">
        <v>1539.400024</v>
      </c>
      <c r="G1154">
        <f t="shared" si="189"/>
        <v>5.617961016932238E-3</v>
      </c>
      <c r="H1154">
        <v>714.34997559999999</v>
      </c>
      <c r="I1154">
        <f t="shared" si="190"/>
        <v>-7.9161340137169356E-3</v>
      </c>
      <c r="J1154">
        <v>1779.400024</v>
      </c>
      <c r="K1154">
        <f t="shared" si="191"/>
        <v>-4.5035817621055241E-3</v>
      </c>
      <c r="L1154">
        <v>237.5</v>
      </c>
      <c r="M1154">
        <f t="shared" si="192"/>
        <v>-8.3507306889353261E-3</v>
      </c>
      <c r="N1154">
        <v>790.65002440000001</v>
      </c>
      <c r="O1154">
        <f t="shared" si="193"/>
        <v>-8.8450271255680057E-4</v>
      </c>
      <c r="P1154">
        <v>154.3000031</v>
      </c>
      <c r="Q1154">
        <f t="shared" si="194"/>
        <v>-1.9694986786146229E-2</v>
      </c>
      <c r="R1154">
        <v>509.7000122</v>
      </c>
      <c r="S1154">
        <f t="shared" si="195"/>
        <v>-3.8574009730819925E-2</v>
      </c>
      <c r="T1154">
        <v>5080.8999020000001</v>
      </c>
      <c r="U1154">
        <f t="shared" si="196"/>
        <v>-8.8756243893982623E-3</v>
      </c>
      <c r="W1154">
        <f t="shared" si="197"/>
        <v>-9.252523326531004E-3</v>
      </c>
      <c r="X1154">
        <v>3.9117424771628502E-3</v>
      </c>
    </row>
    <row r="1155" spans="1:24" x14ac:dyDescent="0.35">
      <c r="A1155" s="1">
        <v>44522</v>
      </c>
      <c r="B1155">
        <v>2181.7404790000001</v>
      </c>
      <c r="C1155">
        <f t="shared" si="187"/>
        <v>-4.4293002352694399E-2</v>
      </c>
      <c r="D1155">
        <v>3458.3999020000001</v>
      </c>
      <c r="E1155">
        <f t="shared" si="188"/>
        <v>-4.9774287895658631E-3</v>
      </c>
      <c r="F1155">
        <v>1515.349976</v>
      </c>
      <c r="G1155">
        <f t="shared" si="189"/>
        <v>-1.5623000925716557E-2</v>
      </c>
      <c r="H1155">
        <v>742.09997559999999</v>
      </c>
      <c r="I1155">
        <f t="shared" si="190"/>
        <v>3.8846505141533871E-2</v>
      </c>
      <c r="J1155">
        <v>1759.400024</v>
      </c>
      <c r="K1155">
        <f t="shared" si="191"/>
        <v>-1.1239743582244666E-2</v>
      </c>
      <c r="L1155">
        <v>230.8999939</v>
      </c>
      <c r="M1155">
        <f t="shared" si="192"/>
        <v>-2.7789499368421011E-2</v>
      </c>
      <c r="N1155">
        <v>770.75</v>
      </c>
      <c r="O1155">
        <f t="shared" si="193"/>
        <v>-2.5169194695341401E-2</v>
      </c>
      <c r="P1155">
        <v>146.5500031</v>
      </c>
      <c r="Q1155">
        <f t="shared" si="194"/>
        <v>-5.0226829839901677E-2</v>
      </c>
      <c r="R1155">
        <v>486.10000609999997</v>
      </c>
      <c r="S1155">
        <f t="shared" si="195"/>
        <v>-4.6301756984733378E-2</v>
      </c>
      <c r="T1155">
        <v>4828.2998049999997</v>
      </c>
      <c r="U1155">
        <f t="shared" si="196"/>
        <v>-4.9715621616668537E-2</v>
      </c>
      <c r="W1155">
        <f t="shared" si="197"/>
        <v>-2.364895730137536E-2</v>
      </c>
      <c r="X1155">
        <v>3.9157017807238126E-3</v>
      </c>
    </row>
    <row r="1156" spans="1:24" x14ac:dyDescent="0.35">
      <c r="A1156" s="1">
        <v>44523</v>
      </c>
      <c r="B1156">
        <v>2202.138672</v>
      </c>
      <c r="C1156">
        <f t="shared" ref="C1156:C1219" si="198">B1156/B1155 - 1</f>
        <v>9.3495047629814643E-3</v>
      </c>
      <c r="D1156">
        <v>3464.25</v>
      </c>
      <c r="E1156">
        <f t="shared" ref="E1156:E1219" si="199">D1156/D1155 - 1</f>
        <v>1.6915620419191146E-3</v>
      </c>
      <c r="F1156">
        <v>1515.5500489999999</v>
      </c>
      <c r="G1156">
        <f t="shared" ref="G1156:G1219" si="200">F1156/F1155 - 1</f>
        <v>1.3203088604529789E-4</v>
      </c>
      <c r="H1156">
        <v>758.90002440000001</v>
      </c>
      <c r="I1156">
        <f t="shared" ref="I1156:I1219" si="201">H1156/H1155 - 1</f>
        <v>2.2638524932461879E-2</v>
      </c>
      <c r="J1156">
        <v>1736.900024</v>
      </c>
      <c r="K1156">
        <f t="shared" ref="K1156:K1219" si="202">J1156/J1155 -1</f>
        <v>-1.278845043371446E-2</v>
      </c>
      <c r="L1156">
        <v>231.6000061</v>
      </c>
      <c r="M1156">
        <f t="shared" ref="M1156:M1219" si="203">L1156/L1155 -1</f>
        <v>3.0316683347473283E-3</v>
      </c>
      <c r="N1156">
        <v>785.20001219999995</v>
      </c>
      <c r="O1156">
        <f t="shared" ref="O1156:O1219" si="204">N1156/N1155-1</f>
        <v>1.8747988582549446E-2</v>
      </c>
      <c r="P1156">
        <v>146.6999969</v>
      </c>
      <c r="Q1156">
        <f t="shared" ref="Q1156:Q1219" si="205">P1156/P1155 -1</f>
        <v>1.0234991253985637E-3</v>
      </c>
      <c r="R1156">
        <v>495.5</v>
      </c>
      <c r="S1156">
        <f t="shared" ref="S1156:S1219" si="206">R1156/R1155 - 1</f>
        <v>1.9337572067559927E-2</v>
      </c>
      <c r="T1156">
        <v>4843.2998049999997</v>
      </c>
      <c r="U1156">
        <f t="shared" ref="U1156:U1219" si="207">T1156/T1155 - 1</f>
        <v>3.1066836372644069E-3</v>
      </c>
      <c r="W1156">
        <f t="shared" ref="W1156:W1219" si="208">0.1*C1156+0.1*E1156+0.1*G1156+0.1*I1156+0.1*K1156+0.1*M1156+0.1*O1156+0.1*Q1156+0.1*S1156+0.1*U1156</f>
        <v>6.6270583937212968E-3</v>
      </c>
      <c r="X1156">
        <v>3.9213752682692128E-3</v>
      </c>
    </row>
    <row r="1157" spans="1:24" x14ac:dyDescent="0.35">
      <c r="A1157" s="1">
        <v>44524</v>
      </c>
      <c r="B1157">
        <v>2170.3415530000002</v>
      </c>
      <c r="C1157">
        <f t="shared" si="198"/>
        <v>-1.4439199222236687E-2</v>
      </c>
      <c r="D1157">
        <v>3443.3000489999999</v>
      </c>
      <c r="E1157">
        <f t="shared" si="199"/>
        <v>-6.0474708811431022E-3</v>
      </c>
      <c r="F1157">
        <v>1518.0500489999999</v>
      </c>
      <c r="G1157">
        <f t="shared" si="200"/>
        <v>1.6495661107658321E-3</v>
      </c>
      <c r="H1157">
        <v>758.90002440000001</v>
      </c>
      <c r="I1157">
        <f t="shared" si="201"/>
        <v>0</v>
      </c>
      <c r="J1157">
        <v>1696</v>
      </c>
      <c r="K1157">
        <f t="shared" si="202"/>
        <v>-2.3547713417499505E-2</v>
      </c>
      <c r="L1157">
        <v>227.6999969</v>
      </c>
      <c r="M1157">
        <f t="shared" si="203"/>
        <v>-1.6839417518478172E-2</v>
      </c>
      <c r="N1157">
        <v>778.95001219999995</v>
      </c>
      <c r="O1157">
        <f t="shared" si="204"/>
        <v>-7.9597553526374876E-3</v>
      </c>
      <c r="P1157">
        <v>153.4499969</v>
      </c>
      <c r="Q1157">
        <f t="shared" si="205"/>
        <v>4.6012270910961384E-2</v>
      </c>
      <c r="R1157">
        <v>488.64999390000003</v>
      </c>
      <c r="S1157">
        <f t="shared" si="206"/>
        <v>-1.3824432088799132E-2</v>
      </c>
      <c r="T1157">
        <v>4882.6000979999999</v>
      </c>
      <c r="U1157">
        <f t="shared" si="207"/>
        <v>8.1143630545910117E-3</v>
      </c>
      <c r="W1157">
        <f t="shared" si="208"/>
        <v>-2.6881788404475859E-3</v>
      </c>
      <c r="X1157">
        <v>3.9246449436956543E-3</v>
      </c>
    </row>
    <row r="1158" spans="1:24" x14ac:dyDescent="0.35">
      <c r="A1158" s="1">
        <v>44525</v>
      </c>
      <c r="B1158">
        <v>2300.991943</v>
      </c>
      <c r="C1158">
        <f t="shared" si="198"/>
        <v>6.0198077956626461E-2</v>
      </c>
      <c r="D1158">
        <v>3445.8999020000001</v>
      </c>
      <c r="E1158">
        <f t="shared" si="199"/>
        <v>7.5504689193595098E-4</v>
      </c>
      <c r="F1158">
        <v>1525.9499510000001</v>
      </c>
      <c r="G1158">
        <f t="shared" si="200"/>
        <v>5.2039799380818597E-3</v>
      </c>
      <c r="H1158">
        <v>765.15002440000001</v>
      </c>
      <c r="I1158">
        <f t="shared" si="201"/>
        <v>8.2356038991320268E-3</v>
      </c>
      <c r="J1158">
        <v>1722.400024</v>
      </c>
      <c r="K1158">
        <f t="shared" si="202"/>
        <v>1.5566051886792387E-2</v>
      </c>
      <c r="L1158">
        <v>231.3000031</v>
      </c>
      <c r="M1158">
        <f t="shared" si="203"/>
        <v>1.5810304123899499E-2</v>
      </c>
      <c r="N1158">
        <v>782.90002440000001</v>
      </c>
      <c r="O1158">
        <f t="shared" si="204"/>
        <v>5.0709443971173052E-3</v>
      </c>
      <c r="P1158">
        <v>155.1000061</v>
      </c>
      <c r="Q1158">
        <f t="shared" si="205"/>
        <v>1.0752748343652696E-2</v>
      </c>
      <c r="R1158">
        <v>492.75</v>
      </c>
      <c r="S1158">
        <f t="shared" si="206"/>
        <v>8.3904761100621617E-3</v>
      </c>
      <c r="T1158">
        <v>4894.5</v>
      </c>
      <c r="U1158">
        <f t="shared" si="207"/>
        <v>2.437205947887211E-3</v>
      </c>
      <c r="W1158">
        <f t="shared" si="208"/>
        <v>1.3242043949518756E-2</v>
      </c>
      <c r="X1158">
        <v>3.9251550247171533E-3</v>
      </c>
    </row>
    <row r="1159" spans="1:24" x14ac:dyDescent="0.35">
      <c r="A1159" s="1">
        <v>44526</v>
      </c>
      <c r="B1159">
        <v>2226.8291020000001</v>
      </c>
      <c r="C1159">
        <f t="shared" si="198"/>
        <v>-3.2230812987249058E-2</v>
      </c>
      <c r="D1159">
        <v>3446.8500979999999</v>
      </c>
      <c r="E1159">
        <f t="shared" si="199"/>
        <v>2.7574683740771988E-4</v>
      </c>
      <c r="F1159">
        <v>1489.900024</v>
      </c>
      <c r="G1159">
        <f t="shared" si="200"/>
        <v>-2.3624580200926948E-2</v>
      </c>
      <c r="H1159">
        <v>738.75</v>
      </c>
      <c r="I1159">
        <f t="shared" si="201"/>
        <v>-3.4503069408776232E-2</v>
      </c>
      <c r="J1159">
        <v>1691.650024</v>
      </c>
      <c r="K1159">
        <f t="shared" si="202"/>
        <v>-1.7852995571021935E-2</v>
      </c>
      <c r="L1159">
        <v>224</v>
      </c>
      <c r="M1159">
        <f t="shared" si="203"/>
        <v>-3.1560756602514672E-2</v>
      </c>
      <c r="N1159">
        <v>767.29998780000005</v>
      </c>
      <c r="O1159">
        <f t="shared" si="204"/>
        <v>-1.9925962592676538E-2</v>
      </c>
      <c r="P1159">
        <v>147.1000061</v>
      </c>
      <c r="Q1159">
        <f t="shared" si="205"/>
        <v>-5.1579624019112091E-2</v>
      </c>
      <c r="R1159">
        <v>460.2000122</v>
      </c>
      <c r="S1159">
        <f t="shared" si="206"/>
        <v>-6.6057813901572837E-2</v>
      </c>
      <c r="T1159">
        <v>4718.75</v>
      </c>
      <c r="U1159">
        <f t="shared" si="207"/>
        <v>-3.5907651445500011E-2</v>
      </c>
      <c r="W1159">
        <f t="shared" si="208"/>
        <v>-3.1296751989194266E-2</v>
      </c>
      <c r="X1159">
        <v>3.9277380708685472E-3</v>
      </c>
    </row>
    <row r="1160" spans="1:24" x14ac:dyDescent="0.35">
      <c r="A1160" s="1">
        <v>44529</v>
      </c>
      <c r="B1160">
        <v>2253.5036620000001</v>
      </c>
      <c r="C1160">
        <f t="shared" si="198"/>
        <v>1.1978718966822566E-2</v>
      </c>
      <c r="D1160">
        <v>3502</v>
      </c>
      <c r="E1160">
        <f t="shared" si="199"/>
        <v>1.6000087161318843E-2</v>
      </c>
      <c r="F1160">
        <v>1501.25</v>
      </c>
      <c r="G1160">
        <f t="shared" si="200"/>
        <v>7.6179447057986849E-3</v>
      </c>
      <c r="H1160">
        <v>739.34997559999999</v>
      </c>
      <c r="I1160">
        <f t="shared" si="201"/>
        <v>8.1214971235188393E-4</v>
      </c>
      <c r="J1160">
        <v>1696.349976</v>
      </c>
      <c r="K1160">
        <f t="shared" si="202"/>
        <v>2.7783240820029587E-3</v>
      </c>
      <c r="L1160">
        <v>221.5</v>
      </c>
      <c r="M1160">
        <f t="shared" si="203"/>
        <v>-1.1160714285714302E-2</v>
      </c>
      <c r="N1160">
        <v>751.04998780000005</v>
      </c>
      <c r="O1160">
        <f t="shared" si="204"/>
        <v>-2.1178157511238749E-2</v>
      </c>
      <c r="P1160">
        <v>144.1000061</v>
      </c>
      <c r="Q1160">
        <f t="shared" si="205"/>
        <v>-2.0394288753194045E-2</v>
      </c>
      <c r="R1160">
        <v>461.4500122</v>
      </c>
      <c r="S1160">
        <f t="shared" si="206"/>
        <v>2.7162102713216285E-3</v>
      </c>
      <c r="T1160">
        <v>4673.3500979999999</v>
      </c>
      <c r="U1160">
        <f t="shared" si="207"/>
        <v>-9.6211712847682485E-3</v>
      </c>
      <c r="W1160">
        <f t="shared" si="208"/>
        <v>-2.0450896935298776E-3</v>
      </c>
      <c r="X1160">
        <v>3.9391370279189819E-3</v>
      </c>
    </row>
    <row r="1161" spans="1:24" x14ac:dyDescent="0.35">
      <c r="A1161" s="1">
        <v>44530</v>
      </c>
      <c r="B1161">
        <v>2220.1833499999998</v>
      </c>
      <c r="C1161">
        <f t="shared" si="198"/>
        <v>-1.4786003041338924E-2</v>
      </c>
      <c r="D1161">
        <v>3529.1499020000001</v>
      </c>
      <c r="E1161">
        <f t="shared" si="199"/>
        <v>7.7526847515705377E-3</v>
      </c>
      <c r="F1161">
        <v>1493.5500489999999</v>
      </c>
      <c r="G1161">
        <f t="shared" si="200"/>
        <v>-5.1290264779351169E-3</v>
      </c>
      <c r="H1161">
        <v>728.25</v>
      </c>
      <c r="I1161">
        <f t="shared" si="201"/>
        <v>-1.5013154752581248E-2</v>
      </c>
      <c r="J1161">
        <v>1712.650024</v>
      </c>
      <c r="K1161">
        <f t="shared" si="202"/>
        <v>9.608894526845102E-3</v>
      </c>
      <c r="L1161">
        <v>221.1499939</v>
      </c>
      <c r="M1161">
        <f t="shared" si="203"/>
        <v>-1.5801629796839967E-3</v>
      </c>
      <c r="N1161">
        <v>753.59997559999999</v>
      </c>
      <c r="O1161">
        <f t="shared" si="204"/>
        <v>3.3952304659101706E-3</v>
      </c>
      <c r="P1161">
        <v>142.1000061</v>
      </c>
      <c r="Q1161">
        <f t="shared" si="205"/>
        <v>-1.387924993293943E-2</v>
      </c>
      <c r="R1161">
        <v>458.60000609999997</v>
      </c>
      <c r="S1161">
        <f t="shared" si="206"/>
        <v>-6.1761968244672394E-3</v>
      </c>
      <c r="T1161">
        <v>4710.8999020000001</v>
      </c>
      <c r="U1161">
        <f t="shared" si="207"/>
        <v>8.0348793076876479E-3</v>
      </c>
      <c r="W1161">
        <f t="shared" si="208"/>
        <v>-2.7772104956932503E-3</v>
      </c>
      <c r="X1161">
        <v>3.9418642519294285E-3</v>
      </c>
    </row>
    <row r="1162" spans="1:24" x14ac:dyDescent="0.35">
      <c r="A1162" s="1">
        <v>44531</v>
      </c>
      <c r="B1162">
        <v>2277.0402829999998</v>
      </c>
      <c r="C1162">
        <f t="shared" si="198"/>
        <v>2.560911602188165E-2</v>
      </c>
      <c r="D1162">
        <v>3577.8000489999999</v>
      </c>
      <c r="E1162">
        <f t="shared" si="199"/>
        <v>1.3785231104076701E-2</v>
      </c>
      <c r="F1162">
        <v>1504.650024</v>
      </c>
      <c r="G1162">
        <f t="shared" si="200"/>
        <v>7.4319404344247442E-3</v>
      </c>
      <c r="H1162">
        <v>722.25</v>
      </c>
      <c r="I1162">
        <f t="shared" si="201"/>
        <v>-8.2389289392379439E-3</v>
      </c>
      <c r="J1162">
        <v>1714.900024</v>
      </c>
      <c r="K1162">
        <f t="shared" si="202"/>
        <v>1.31375352142582E-3</v>
      </c>
      <c r="L1162">
        <v>221.8999939</v>
      </c>
      <c r="M1162">
        <f t="shared" si="203"/>
        <v>3.3913634216020672E-3</v>
      </c>
      <c r="N1162">
        <v>745.34997559999999</v>
      </c>
      <c r="O1162">
        <f t="shared" si="204"/>
        <v>-1.0947452583755068E-2</v>
      </c>
      <c r="P1162">
        <v>142.25</v>
      </c>
      <c r="Q1162">
        <f t="shared" si="205"/>
        <v>1.0555516788257613E-3</v>
      </c>
      <c r="R1162">
        <v>475.25</v>
      </c>
      <c r="S1162">
        <f t="shared" si="206"/>
        <v>3.630613536531313E-2</v>
      </c>
      <c r="T1162">
        <v>4693.7001950000003</v>
      </c>
      <c r="U1162">
        <f t="shared" si="207"/>
        <v>-3.65104488692225E-3</v>
      </c>
      <c r="W1162">
        <f t="shared" si="208"/>
        <v>6.6055665137634608E-3</v>
      </c>
      <c r="X1162">
        <v>3.943110730555999E-3</v>
      </c>
    </row>
    <row r="1163" spans="1:24" x14ac:dyDescent="0.35">
      <c r="A1163" s="1">
        <v>44532</v>
      </c>
      <c r="B1163">
        <v>2291.6696780000002</v>
      </c>
      <c r="C1163">
        <f t="shared" si="198"/>
        <v>6.4247414106903822E-3</v>
      </c>
      <c r="D1163">
        <v>3642.8999020000001</v>
      </c>
      <c r="E1163">
        <f t="shared" si="199"/>
        <v>1.8195497822242945E-2</v>
      </c>
      <c r="F1163">
        <v>1525.75</v>
      </c>
      <c r="G1163">
        <f t="shared" si="200"/>
        <v>1.4023178588670859E-2</v>
      </c>
      <c r="H1163">
        <v>732.54998780000005</v>
      </c>
      <c r="I1163">
        <f t="shared" si="201"/>
        <v>1.4260973070266525E-2</v>
      </c>
      <c r="J1163">
        <v>1748.25</v>
      </c>
      <c r="K1163">
        <f t="shared" si="202"/>
        <v>1.9447183820203939E-2</v>
      </c>
      <c r="L1163">
        <v>225.4499969</v>
      </c>
      <c r="M1163">
        <f t="shared" si="203"/>
        <v>1.5998211345602087E-2</v>
      </c>
      <c r="N1163">
        <v>766.25</v>
      </c>
      <c r="O1163">
        <f t="shared" si="204"/>
        <v>2.8040551531749447E-2</v>
      </c>
      <c r="P1163">
        <v>144</v>
      </c>
      <c r="Q1163">
        <f t="shared" si="205"/>
        <v>1.2302284710017597E-2</v>
      </c>
      <c r="R1163">
        <v>479.10000609999997</v>
      </c>
      <c r="S1163">
        <f t="shared" si="206"/>
        <v>8.1010123093108177E-3</v>
      </c>
      <c r="T1163">
        <v>4782.9501950000003</v>
      </c>
      <c r="U1163">
        <f t="shared" si="207"/>
        <v>1.9014848902167758E-2</v>
      </c>
      <c r="W1163">
        <f t="shared" si="208"/>
        <v>1.5580848351092238E-2</v>
      </c>
      <c r="X1163">
        <v>3.9490277689314575E-3</v>
      </c>
    </row>
    <row r="1164" spans="1:24" x14ac:dyDescent="0.35">
      <c r="A1164" s="1">
        <v>44533</v>
      </c>
      <c r="B1164">
        <v>2222.8139649999998</v>
      </c>
      <c r="C1164">
        <f t="shared" si="198"/>
        <v>-3.0046089827436506E-2</v>
      </c>
      <c r="D1164">
        <v>3640.4499510000001</v>
      </c>
      <c r="E1164">
        <f t="shared" si="199"/>
        <v>-6.7252767462944174E-4</v>
      </c>
      <c r="F1164">
        <v>1513.5500489999999</v>
      </c>
      <c r="G1164">
        <f t="shared" si="200"/>
        <v>-7.9960353924299898E-3</v>
      </c>
      <c r="H1164">
        <v>718.34997559999999</v>
      </c>
      <c r="I1164">
        <f t="shared" si="201"/>
        <v>-1.9384359342692337E-2</v>
      </c>
      <c r="J1164">
        <v>1735.5500489999999</v>
      </c>
      <c r="K1164">
        <f t="shared" si="202"/>
        <v>-7.264379236379237E-3</v>
      </c>
      <c r="L1164">
        <v>221.6499939</v>
      </c>
      <c r="M1164">
        <f t="shared" si="203"/>
        <v>-1.6855192070308722E-2</v>
      </c>
      <c r="N1164">
        <v>751.79998780000005</v>
      </c>
      <c r="O1164">
        <f t="shared" si="204"/>
        <v>-1.885809096247959E-2</v>
      </c>
      <c r="P1164">
        <v>145.8999939</v>
      </c>
      <c r="Q1164">
        <f t="shared" si="205"/>
        <v>1.3194402083333223E-2</v>
      </c>
      <c r="R1164">
        <v>480.10000609999997</v>
      </c>
      <c r="S1164">
        <f t="shared" si="206"/>
        <v>2.087246894735495E-3</v>
      </c>
      <c r="T1164">
        <v>4799.0498049999997</v>
      </c>
      <c r="U1164">
        <f t="shared" si="207"/>
        <v>3.3660417406875531E-3</v>
      </c>
      <c r="W1164">
        <f t="shared" si="208"/>
        <v>-8.2428983787599559E-3</v>
      </c>
      <c r="X1164">
        <v>3.9532697260001191E-3</v>
      </c>
    </row>
    <row r="1165" spans="1:24" x14ac:dyDescent="0.35">
      <c r="A1165" s="1">
        <v>44536</v>
      </c>
      <c r="B1165">
        <v>2180.6789549999999</v>
      </c>
      <c r="C1165">
        <f t="shared" si="198"/>
        <v>-1.8955706893806545E-2</v>
      </c>
      <c r="D1165">
        <v>3536.3999020000001</v>
      </c>
      <c r="E1165">
        <f t="shared" si="199"/>
        <v>-2.8581645236303355E-2</v>
      </c>
      <c r="F1165">
        <v>1503.8000489999999</v>
      </c>
      <c r="G1165">
        <f t="shared" si="200"/>
        <v>-6.4418087835561577E-3</v>
      </c>
      <c r="H1165">
        <v>697.59997559999999</v>
      </c>
      <c r="I1165">
        <f t="shared" si="201"/>
        <v>-2.8885641685542751E-2</v>
      </c>
      <c r="J1165">
        <v>1695.3000489999999</v>
      </c>
      <c r="K1165">
        <f t="shared" si="202"/>
        <v>-2.3191494836574456E-2</v>
      </c>
      <c r="L1165">
        <v>217.8999939</v>
      </c>
      <c r="M1165">
        <f t="shared" si="203"/>
        <v>-1.6918565771275706E-2</v>
      </c>
      <c r="N1165">
        <v>737.15002440000001</v>
      </c>
      <c r="O1165">
        <f t="shared" si="204"/>
        <v>-1.9486517209012399E-2</v>
      </c>
      <c r="P1165">
        <v>143.3500061</v>
      </c>
      <c r="Q1165">
        <f t="shared" si="205"/>
        <v>-1.7477641580627923E-2</v>
      </c>
      <c r="R1165">
        <v>467.2000122</v>
      </c>
      <c r="S1165">
        <f t="shared" si="206"/>
        <v>-2.6869389160792956E-2</v>
      </c>
      <c r="T1165">
        <v>4593.4501950000003</v>
      </c>
      <c r="U1165">
        <f t="shared" si="207"/>
        <v>-4.2841732916751751E-2</v>
      </c>
      <c r="W1165">
        <f t="shared" si="208"/>
        <v>-2.2965014407424402E-2</v>
      </c>
      <c r="X1165">
        <v>3.9588392830318337E-3</v>
      </c>
    </row>
    <row r="1166" spans="1:24" x14ac:dyDescent="0.35">
      <c r="A1166" s="1">
        <v>44537</v>
      </c>
      <c r="B1166">
        <v>2198.4467770000001</v>
      </c>
      <c r="C1166">
        <f t="shared" si="198"/>
        <v>8.14783944205133E-3</v>
      </c>
      <c r="D1166">
        <v>3584.5</v>
      </c>
      <c r="E1166">
        <f t="shared" si="199"/>
        <v>1.3601430644989199E-2</v>
      </c>
      <c r="F1166">
        <v>1525.6999510000001</v>
      </c>
      <c r="G1166">
        <f t="shared" si="200"/>
        <v>1.4563041153352163E-2</v>
      </c>
      <c r="H1166">
        <v>698.84997559999999</v>
      </c>
      <c r="I1166">
        <f t="shared" si="201"/>
        <v>1.79185786083913E-3</v>
      </c>
      <c r="J1166">
        <v>1711.650024</v>
      </c>
      <c r="K1166">
        <f t="shared" si="202"/>
        <v>9.6442957160558507E-3</v>
      </c>
      <c r="L1166">
        <v>220.6499939</v>
      </c>
      <c r="M1166">
        <f t="shared" si="203"/>
        <v>1.2620468457938738E-2</v>
      </c>
      <c r="N1166">
        <v>743.70001219999995</v>
      </c>
      <c r="O1166">
        <f t="shared" si="204"/>
        <v>8.8855559698737263E-3</v>
      </c>
      <c r="P1166">
        <v>145.8999939</v>
      </c>
      <c r="Q1166">
        <f t="shared" si="205"/>
        <v>1.7788543365817144E-2</v>
      </c>
      <c r="R1166">
        <v>481.7999878</v>
      </c>
      <c r="S1166">
        <f t="shared" si="206"/>
        <v>3.1249946957942365E-2</v>
      </c>
      <c r="T1166">
        <v>4660.6499020000001</v>
      </c>
      <c r="U1166">
        <f t="shared" si="207"/>
        <v>1.4629462418716876E-2</v>
      </c>
      <c r="W1166">
        <f t="shared" si="208"/>
        <v>1.3292244198757653E-2</v>
      </c>
      <c r="X1166">
        <v>3.9733409253163935E-3</v>
      </c>
    </row>
    <row r="1167" spans="1:24" x14ac:dyDescent="0.35">
      <c r="A1167" s="1">
        <v>44538</v>
      </c>
      <c r="B1167">
        <v>2231.905518</v>
      </c>
      <c r="C1167">
        <f t="shared" si="198"/>
        <v>1.5219263595572574E-2</v>
      </c>
      <c r="D1167">
        <v>3626.8999020000001</v>
      </c>
      <c r="E1167">
        <f t="shared" si="199"/>
        <v>1.1828679592690738E-2</v>
      </c>
      <c r="F1167">
        <v>1553.8000489999999</v>
      </c>
      <c r="G1167">
        <f t="shared" si="200"/>
        <v>1.841784027166149E-2</v>
      </c>
      <c r="H1167">
        <v>715.15002440000001</v>
      </c>
      <c r="I1167">
        <f t="shared" si="201"/>
        <v>2.3324102982196671E-2</v>
      </c>
      <c r="J1167">
        <v>1753.349976</v>
      </c>
      <c r="K1167">
        <f t="shared" si="202"/>
        <v>2.4362428893349497E-2</v>
      </c>
      <c r="L1167">
        <v>224.9499969</v>
      </c>
      <c r="M1167">
        <f t="shared" si="203"/>
        <v>1.9487890862796897E-2</v>
      </c>
      <c r="N1167">
        <v>757.54998780000005</v>
      </c>
      <c r="O1167">
        <f t="shared" si="204"/>
        <v>1.8623067598223297E-2</v>
      </c>
      <c r="P1167">
        <v>148.3999939</v>
      </c>
      <c r="Q1167">
        <f t="shared" si="205"/>
        <v>1.7135024705439594E-2</v>
      </c>
      <c r="R1167">
        <v>493.89999390000003</v>
      </c>
      <c r="S1167">
        <f t="shared" si="206"/>
        <v>2.511416854793036E-2</v>
      </c>
      <c r="T1167">
        <v>4814.6000979999999</v>
      </c>
      <c r="U1167">
        <f t="shared" si="207"/>
        <v>3.3031915985351379E-2</v>
      </c>
      <c r="W1167">
        <f t="shared" si="208"/>
        <v>2.065443830352125E-2</v>
      </c>
      <c r="X1167">
        <v>3.985375521429935E-3</v>
      </c>
    </row>
    <row r="1168" spans="1:24" x14ac:dyDescent="0.35">
      <c r="A1168" s="1">
        <v>44539</v>
      </c>
      <c r="B1168">
        <v>2267.30249</v>
      </c>
      <c r="C1168">
        <f t="shared" si="198"/>
        <v>1.5859529767066061E-2</v>
      </c>
      <c r="D1168">
        <v>3601.75</v>
      </c>
      <c r="E1168">
        <f t="shared" si="199"/>
        <v>-6.934269673704363E-3</v>
      </c>
      <c r="F1168">
        <v>1526.849976</v>
      </c>
      <c r="G1168">
        <f t="shared" si="200"/>
        <v>-1.7344621025945139E-2</v>
      </c>
      <c r="H1168">
        <v>713.95001219999995</v>
      </c>
      <c r="I1168">
        <f t="shared" si="201"/>
        <v>-1.6779866588229053E-3</v>
      </c>
      <c r="J1168">
        <v>1763.4499510000001</v>
      </c>
      <c r="K1168">
        <f t="shared" si="202"/>
        <v>5.7603873375249304E-3</v>
      </c>
      <c r="L1168">
        <v>235.3999939</v>
      </c>
      <c r="M1168">
        <f t="shared" si="203"/>
        <v>4.6454755030050032E-2</v>
      </c>
      <c r="N1168">
        <v>759.75</v>
      </c>
      <c r="O1168">
        <f t="shared" si="204"/>
        <v>2.9041148906741032E-3</v>
      </c>
      <c r="P1168">
        <v>147.3500061</v>
      </c>
      <c r="Q1168">
        <f t="shared" si="205"/>
        <v>-7.0753897787053655E-3</v>
      </c>
      <c r="R1168">
        <v>493.9500122</v>
      </c>
      <c r="S1168">
        <f t="shared" si="206"/>
        <v>1.0127212111310513E-4</v>
      </c>
      <c r="T1168">
        <v>4821.2001950000003</v>
      </c>
      <c r="U1168">
        <f t="shared" si="207"/>
        <v>1.3708505100438195E-3</v>
      </c>
      <c r="W1168">
        <f t="shared" si="208"/>
        <v>3.9418642519294285E-3</v>
      </c>
      <c r="X1168">
        <v>3.9884689672196163E-3</v>
      </c>
    </row>
    <row r="1169" spans="1:24" x14ac:dyDescent="0.35">
      <c r="A1169" s="1">
        <v>44540</v>
      </c>
      <c r="B1169">
        <v>2269.610107</v>
      </c>
      <c r="C1169">
        <f t="shared" si="198"/>
        <v>1.017780825530723E-3</v>
      </c>
      <c r="D1169">
        <v>3636.8000489999999</v>
      </c>
      <c r="E1169">
        <f t="shared" si="199"/>
        <v>9.7313941833829798E-3</v>
      </c>
      <c r="F1169">
        <v>1522.5500489999999</v>
      </c>
      <c r="G1169">
        <f t="shared" si="200"/>
        <v>-2.8162079232334492E-3</v>
      </c>
      <c r="H1169">
        <v>710.70001219999995</v>
      </c>
      <c r="I1169">
        <f t="shared" si="201"/>
        <v>-4.5521394277805438E-3</v>
      </c>
      <c r="J1169">
        <v>1759.25</v>
      </c>
      <c r="K1169">
        <f t="shared" si="202"/>
        <v>-2.3816672526590921E-3</v>
      </c>
      <c r="L1169">
        <v>236.1000061</v>
      </c>
      <c r="M1169">
        <f t="shared" si="203"/>
        <v>2.9737137559033844E-3</v>
      </c>
      <c r="N1169">
        <v>761.34997559999999</v>
      </c>
      <c r="O1169">
        <f t="shared" si="204"/>
        <v>2.1059237907206096E-3</v>
      </c>
      <c r="P1169">
        <v>147.5500031</v>
      </c>
      <c r="Q1169">
        <f t="shared" si="205"/>
        <v>1.3572921053308651E-3</v>
      </c>
      <c r="R1169">
        <v>494.4500122</v>
      </c>
      <c r="S1169">
        <f t="shared" si="206"/>
        <v>1.0122481782579573E-3</v>
      </c>
      <c r="T1169">
        <v>4796.6000979999999</v>
      </c>
      <c r="U1169">
        <f t="shared" si="207"/>
        <v>-5.1024840299128682E-3</v>
      </c>
      <c r="W1169">
        <f t="shared" si="208"/>
        <v>3.3458542055405651E-4</v>
      </c>
      <c r="X1169">
        <v>4.0042152510227583E-3</v>
      </c>
    </row>
    <row r="1170" spans="1:24" x14ac:dyDescent="0.35">
      <c r="A1170" s="1">
        <v>44543</v>
      </c>
      <c r="B1170">
        <v>2224.1062010000001</v>
      </c>
      <c r="C1170">
        <f t="shared" si="198"/>
        <v>-2.0049217202397607E-2</v>
      </c>
      <c r="D1170">
        <v>3609.6499020000001</v>
      </c>
      <c r="E1170">
        <f t="shared" si="199"/>
        <v>-7.4653944770665115E-3</v>
      </c>
      <c r="F1170">
        <v>1511.150024</v>
      </c>
      <c r="G1170">
        <f t="shared" si="200"/>
        <v>-7.4874550150173524E-3</v>
      </c>
      <c r="H1170">
        <v>703.09997559999999</v>
      </c>
      <c r="I1170">
        <f t="shared" si="201"/>
        <v>-1.0693733600023125E-2</v>
      </c>
      <c r="J1170">
        <v>1744.650024</v>
      </c>
      <c r="K1170">
        <f t="shared" si="202"/>
        <v>-8.2989774051441811E-3</v>
      </c>
      <c r="L1170">
        <v>234.6000061</v>
      </c>
      <c r="M1170">
        <f t="shared" si="203"/>
        <v>-6.3532399883322599E-3</v>
      </c>
      <c r="N1170">
        <v>762.59997559999999</v>
      </c>
      <c r="O1170">
        <f t="shared" si="204"/>
        <v>1.6418205031332178E-3</v>
      </c>
      <c r="P1170">
        <v>145.9499969</v>
      </c>
      <c r="Q1170">
        <f t="shared" si="205"/>
        <v>-1.0843823560719335E-2</v>
      </c>
      <c r="R1170">
        <v>495.35000609999997</v>
      </c>
      <c r="S1170">
        <f t="shared" si="206"/>
        <v>1.82019188551652E-3</v>
      </c>
      <c r="T1170">
        <v>4765.7998049999997</v>
      </c>
      <c r="U1170">
        <f t="shared" si="207"/>
        <v>-6.4212759810522435E-3</v>
      </c>
      <c r="W1170">
        <f t="shared" si="208"/>
        <v>-7.4151104841102891E-3</v>
      </c>
      <c r="X1170">
        <v>4.0472274189033881E-3</v>
      </c>
    </row>
    <row r="1171" spans="1:24" x14ac:dyDescent="0.35">
      <c r="A1171" s="1">
        <v>44544</v>
      </c>
      <c r="B1171">
        <v>2196.8776859999998</v>
      </c>
      <c r="C1171">
        <f t="shared" si="198"/>
        <v>-1.2242452715503283E-2</v>
      </c>
      <c r="D1171">
        <v>3623.8000489999999</v>
      </c>
      <c r="E1171">
        <f t="shared" si="199"/>
        <v>3.920088480647399E-3</v>
      </c>
      <c r="F1171">
        <v>1502.4499510000001</v>
      </c>
      <c r="G1171">
        <f t="shared" si="200"/>
        <v>-5.7572529939621253E-3</v>
      </c>
      <c r="H1171">
        <v>691.59997559999999</v>
      </c>
      <c r="I1171">
        <f t="shared" si="201"/>
        <v>-1.6356137674711668E-2</v>
      </c>
      <c r="J1171">
        <v>1752.150024</v>
      </c>
      <c r="K1171">
        <f t="shared" si="202"/>
        <v>4.29885644503325E-3</v>
      </c>
      <c r="L1171">
        <v>228.6000061</v>
      </c>
      <c r="M1171">
        <f t="shared" si="203"/>
        <v>-2.5575446905327204E-2</v>
      </c>
      <c r="N1171">
        <v>756.04998780000005</v>
      </c>
      <c r="O1171">
        <f t="shared" si="204"/>
        <v>-8.5890217801889435E-3</v>
      </c>
      <c r="P1171">
        <v>146.8999939</v>
      </c>
      <c r="Q1171">
        <f t="shared" si="205"/>
        <v>6.5090580347932914E-3</v>
      </c>
      <c r="R1171">
        <v>489.39999390000003</v>
      </c>
      <c r="S1171">
        <f t="shared" si="206"/>
        <v>-1.2011733373833433E-2</v>
      </c>
      <c r="T1171">
        <v>4814.3999020000001</v>
      </c>
      <c r="U1171">
        <f t="shared" si="207"/>
        <v>1.0197679086102696E-2</v>
      </c>
      <c r="W1171">
        <f t="shared" si="208"/>
        <v>-5.5606363396950029E-3</v>
      </c>
      <c r="X1171">
        <v>4.0903307372107574E-3</v>
      </c>
    </row>
    <row r="1172" spans="1:24" x14ac:dyDescent="0.35">
      <c r="A1172" s="1">
        <v>44545</v>
      </c>
      <c r="B1172">
        <v>2190.4628910000001</v>
      </c>
      <c r="C1172">
        <f t="shared" si="198"/>
        <v>-2.9199600145602966E-3</v>
      </c>
      <c r="D1172">
        <v>3570.3500979999999</v>
      </c>
      <c r="E1172">
        <f t="shared" si="199"/>
        <v>-1.4749696527751266E-2</v>
      </c>
      <c r="F1172">
        <v>1500</v>
      </c>
      <c r="G1172">
        <f t="shared" si="200"/>
        <v>-1.630637345603092E-3</v>
      </c>
      <c r="H1172">
        <v>685.45001219999995</v>
      </c>
      <c r="I1172">
        <f t="shared" si="201"/>
        <v>-8.8923707590715662E-3</v>
      </c>
      <c r="J1172">
        <v>1734.1999510000001</v>
      </c>
      <c r="K1172">
        <f t="shared" si="202"/>
        <v>-1.0244598210272904E-2</v>
      </c>
      <c r="L1172">
        <v>224.0500031</v>
      </c>
      <c r="M1172">
        <f t="shared" si="203"/>
        <v>-1.9903774621990333E-2</v>
      </c>
      <c r="N1172">
        <v>775.09997559999999</v>
      </c>
      <c r="O1172">
        <f t="shared" si="204"/>
        <v>2.5196730517029309E-2</v>
      </c>
      <c r="P1172">
        <v>143.9499969</v>
      </c>
      <c r="Q1172">
        <f t="shared" si="205"/>
        <v>-2.0081668635113514E-2</v>
      </c>
      <c r="R1172">
        <v>491.64999390000003</v>
      </c>
      <c r="S1172">
        <f t="shared" si="206"/>
        <v>4.5974663425512041E-3</v>
      </c>
      <c r="T1172">
        <v>4749.4501950000003</v>
      </c>
      <c r="U1172">
        <f t="shared" si="207"/>
        <v>-1.3490717082521142E-2</v>
      </c>
      <c r="W1172">
        <f t="shared" si="208"/>
        <v>-6.2119226337303607E-3</v>
      </c>
      <c r="X1172">
        <v>4.109549962120795E-3</v>
      </c>
    </row>
    <row r="1173" spans="1:24" x14ac:dyDescent="0.35">
      <c r="A1173" s="1">
        <v>44546</v>
      </c>
      <c r="B1173">
        <v>2218.798828</v>
      </c>
      <c r="C1173">
        <f t="shared" si="198"/>
        <v>1.2936049780356562E-2</v>
      </c>
      <c r="D1173">
        <v>3581.6000979999999</v>
      </c>
      <c r="E1173">
        <f t="shared" si="199"/>
        <v>3.1509515008911748E-3</v>
      </c>
      <c r="F1173">
        <v>1500.099976</v>
      </c>
      <c r="G1173">
        <f t="shared" si="200"/>
        <v>6.6650666666667746E-5</v>
      </c>
      <c r="H1173">
        <v>681.40002440000001</v>
      </c>
      <c r="I1173">
        <f t="shared" si="201"/>
        <v>-5.9085093411862522E-3</v>
      </c>
      <c r="J1173">
        <v>1771.599976</v>
      </c>
      <c r="K1173">
        <f t="shared" si="202"/>
        <v>2.1566155032142431E-2</v>
      </c>
      <c r="L1173">
        <v>222.8999939</v>
      </c>
      <c r="M1173">
        <f t="shared" si="203"/>
        <v>-5.1328238522126979E-3</v>
      </c>
      <c r="N1173">
        <v>764.45001219999995</v>
      </c>
      <c r="O1173">
        <f t="shared" si="204"/>
        <v>-1.3740115772492456E-2</v>
      </c>
      <c r="P1173">
        <v>145.3500061</v>
      </c>
      <c r="Q1173">
        <f t="shared" si="205"/>
        <v>9.7256632869020532E-3</v>
      </c>
      <c r="R1173">
        <v>491.9500122</v>
      </c>
      <c r="S1173">
        <f t="shared" si="206"/>
        <v>6.1022740511007534E-4</v>
      </c>
      <c r="T1173">
        <v>4742.1000979999999</v>
      </c>
      <c r="U1173">
        <f t="shared" si="207"/>
        <v>-1.5475679706544732E-3</v>
      </c>
      <c r="W1173">
        <f t="shared" si="208"/>
        <v>2.1726680735523083E-3</v>
      </c>
      <c r="X1173">
        <v>4.1240875828814309E-3</v>
      </c>
    </row>
    <row r="1174" spans="1:24" x14ac:dyDescent="0.35">
      <c r="A1174" s="1">
        <v>44547</v>
      </c>
      <c r="B1174">
        <v>2160.2346189999998</v>
      </c>
      <c r="C1174">
        <f t="shared" si="198"/>
        <v>-2.6394555586091273E-2</v>
      </c>
      <c r="D1174">
        <v>3584.3500979999999</v>
      </c>
      <c r="E1174">
        <f t="shared" si="199"/>
        <v>7.6781324680430529E-4</v>
      </c>
      <c r="F1174">
        <v>1473.0500489999999</v>
      </c>
      <c r="G1174">
        <f t="shared" si="200"/>
        <v>-1.8032082816325623E-2</v>
      </c>
      <c r="H1174">
        <v>666.04998780000005</v>
      </c>
      <c r="I1174">
        <f t="shared" si="201"/>
        <v>-2.2527202891599929E-2</v>
      </c>
      <c r="J1174">
        <v>1820.849976</v>
      </c>
      <c r="K1174">
        <f t="shared" si="202"/>
        <v>2.7799729435083353E-2</v>
      </c>
      <c r="L1174">
        <v>217.9499969</v>
      </c>
      <c r="M1174">
        <f t="shared" si="203"/>
        <v>-2.2207254981894353E-2</v>
      </c>
      <c r="N1174">
        <v>768.95001219999995</v>
      </c>
      <c r="O1174">
        <f t="shared" si="204"/>
        <v>5.8865850326164093E-3</v>
      </c>
      <c r="P1174">
        <v>139.3999939</v>
      </c>
      <c r="Q1174">
        <f t="shared" si="205"/>
        <v>-4.093575473197042E-2</v>
      </c>
      <c r="R1174">
        <v>470.2000122</v>
      </c>
      <c r="S1174">
        <f t="shared" si="206"/>
        <v>-4.4211809046886708E-2</v>
      </c>
      <c r="T1174">
        <v>4697.7998049999997</v>
      </c>
      <c r="U1174">
        <f t="shared" si="207"/>
        <v>-9.3419143595648846E-3</v>
      </c>
      <c r="W1174">
        <f t="shared" si="208"/>
        <v>-1.4919644669982914E-2</v>
      </c>
      <c r="X1174">
        <v>4.1422328453041505E-3</v>
      </c>
    </row>
    <row r="1175" spans="1:24" x14ac:dyDescent="0.35">
      <c r="A1175" s="1">
        <v>44550</v>
      </c>
      <c r="B1175">
        <v>2101.9934079999998</v>
      </c>
      <c r="C1175">
        <f t="shared" si="198"/>
        <v>-2.6960595153761924E-2</v>
      </c>
      <c r="D1175">
        <v>3556.8999020000001</v>
      </c>
      <c r="E1175">
        <f t="shared" si="199"/>
        <v>-7.6583467712365572E-3</v>
      </c>
      <c r="F1175">
        <v>1425.650024</v>
      </c>
      <c r="G1175">
        <f t="shared" si="200"/>
        <v>-3.2178149705217485E-2</v>
      </c>
      <c r="H1175">
        <v>658.25</v>
      </c>
      <c r="I1175">
        <f t="shared" si="201"/>
        <v>-1.1710814417644322E-2</v>
      </c>
      <c r="J1175">
        <v>1798.900024</v>
      </c>
      <c r="K1175">
        <f t="shared" si="202"/>
        <v>-1.2054783364535693E-2</v>
      </c>
      <c r="L1175">
        <v>212.3999939</v>
      </c>
      <c r="M1175">
        <f t="shared" si="203"/>
        <v>-2.546457021766535E-2</v>
      </c>
      <c r="N1175">
        <v>763.95001219999995</v>
      </c>
      <c r="O1175">
        <f t="shared" si="204"/>
        <v>-6.5023732631134257E-3</v>
      </c>
      <c r="P1175">
        <v>134</v>
      </c>
      <c r="Q1175">
        <f t="shared" si="205"/>
        <v>-3.873740413413318E-2</v>
      </c>
      <c r="R1175">
        <v>447.0499878</v>
      </c>
      <c r="S1175">
        <f t="shared" si="206"/>
        <v>-4.9234418969247296E-2</v>
      </c>
      <c r="T1175">
        <v>4618.9501950000003</v>
      </c>
      <c r="U1175">
        <f t="shared" si="207"/>
        <v>-1.6784369975935909E-2</v>
      </c>
      <c r="W1175">
        <f t="shared" si="208"/>
        <v>-2.2728582597249115E-2</v>
      </c>
      <c r="X1175">
        <v>4.1532356571568731E-3</v>
      </c>
    </row>
    <row r="1176" spans="1:24" x14ac:dyDescent="0.35">
      <c r="A1176" s="1">
        <v>44551</v>
      </c>
      <c r="B1176">
        <v>2133.2829590000001</v>
      </c>
      <c r="C1176">
        <f t="shared" si="198"/>
        <v>1.4885656101924605E-2</v>
      </c>
      <c r="D1176">
        <v>3608.3000489999999</v>
      </c>
      <c r="E1176">
        <f t="shared" si="199"/>
        <v>1.4450827522893839E-2</v>
      </c>
      <c r="F1176">
        <v>1441.8000489999999</v>
      </c>
      <c r="G1176">
        <f t="shared" si="200"/>
        <v>1.1328183444831108E-2</v>
      </c>
      <c r="H1176">
        <v>667</v>
      </c>
      <c r="I1176">
        <f t="shared" si="201"/>
        <v>1.3292821876186967E-2</v>
      </c>
      <c r="J1176">
        <v>1811.599976</v>
      </c>
      <c r="K1176">
        <f t="shared" si="202"/>
        <v>7.0598431433452902E-3</v>
      </c>
      <c r="L1176">
        <v>212.5</v>
      </c>
      <c r="M1176">
        <f t="shared" si="203"/>
        <v>4.708385257632397E-4</v>
      </c>
      <c r="N1176">
        <v>778.54998780000005</v>
      </c>
      <c r="O1176">
        <f t="shared" si="204"/>
        <v>1.911116613239594E-2</v>
      </c>
      <c r="P1176">
        <v>136.0500031</v>
      </c>
      <c r="Q1176">
        <f t="shared" si="205"/>
        <v>1.5298530597014803E-2</v>
      </c>
      <c r="R1176">
        <v>453.60000609999997</v>
      </c>
      <c r="S1176">
        <f t="shared" si="206"/>
        <v>1.4651646300749555E-2</v>
      </c>
      <c r="T1176">
        <v>4587.3999020000001</v>
      </c>
      <c r="U1176">
        <f t="shared" si="207"/>
        <v>-6.8306198742201785E-3</v>
      </c>
      <c r="W1176">
        <f t="shared" si="208"/>
        <v>1.0371889377088517E-2</v>
      </c>
      <c r="X1176">
        <v>4.179513007230528E-3</v>
      </c>
    </row>
    <row r="1177" spans="1:24" x14ac:dyDescent="0.35">
      <c r="A1177" s="1">
        <v>44552</v>
      </c>
      <c r="B1177">
        <v>2183.9094239999999</v>
      </c>
      <c r="C1177">
        <f t="shared" si="198"/>
        <v>2.3731715845014545E-2</v>
      </c>
      <c r="D1177">
        <v>3630.75</v>
      </c>
      <c r="E1177">
        <f t="shared" si="199"/>
        <v>6.2217528185388726E-3</v>
      </c>
      <c r="F1177">
        <v>1445.1999510000001</v>
      </c>
      <c r="G1177">
        <f t="shared" si="200"/>
        <v>2.3580953561197493E-3</v>
      </c>
      <c r="H1177">
        <v>684.75</v>
      </c>
      <c r="I1177">
        <f t="shared" si="201"/>
        <v>2.6611694152923526E-2</v>
      </c>
      <c r="J1177">
        <v>1824.6999510000001</v>
      </c>
      <c r="K1177">
        <f t="shared" si="202"/>
        <v>7.2311631560764145E-3</v>
      </c>
      <c r="L1177">
        <v>212</v>
      </c>
      <c r="M1177">
        <f t="shared" si="203"/>
        <v>-2.3529411764705577E-3</v>
      </c>
      <c r="N1177">
        <v>797.5</v>
      </c>
      <c r="O1177">
        <f t="shared" si="204"/>
        <v>2.4340135504398619E-2</v>
      </c>
      <c r="P1177">
        <v>136.8000031</v>
      </c>
      <c r="Q1177">
        <f t="shared" si="205"/>
        <v>5.5126790364623535E-3</v>
      </c>
      <c r="R1177">
        <v>470.5</v>
      </c>
      <c r="S1177">
        <f t="shared" si="206"/>
        <v>3.7257481641819634E-2</v>
      </c>
      <c r="T1177">
        <v>4655.8500979999999</v>
      </c>
      <c r="U1177">
        <f t="shared" si="207"/>
        <v>1.4921349231000525E-2</v>
      </c>
      <c r="W1177">
        <f t="shared" si="208"/>
        <v>1.458331255658837E-2</v>
      </c>
      <c r="X1177">
        <v>4.2029937133018398E-3</v>
      </c>
    </row>
    <row r="1178" spans="1:24" x14ac:dyDescent="0.35">
      <c r="A1178" s="1">
        <v>44553</v>
      </c>
      <c r="B1178">
        <v>2183.125</v>
      </c>
      <c r="C1178">
        <f t="shared" si="198"/>
        <v>-3.5918339441165514E-4</v>
      </c>
      <c r="D1178">
        <v>3662.6999510000001</v>
      </c>
      <c r="E1178">
        <f t="shared" si="199"/>
        <v>8.7998212490532079E-3</v>
      </c>
      <c r="F1178">
        <v>1444.099976</v>
      </c>
      <c r="G1178">
        <f t="shared" si="200"/>
        <v>-7.6112305376085931E-4</v>
      </c>
      <c r="H1178">
        <v>678.75</v>
      </c>
      <c r="I1178">
        <f t="shared" si="201"/>
        <v>-8.7623220153341119E-3</v>
      </c>
      <c r="J1178">
        <v>1857.599976</v>
      </c>
      <c r="K1178">
        <f t="shared" si="202"/>
        <v>1.8030375340323479E-2</v>
      </c>
      <c r="L1178">
        <v>217.3000031</v>
      </c>
      <c r="M1178">
        <f t="shared" si="203"/>
        <v>2.5000014622641453E-2</v>
      </c>
      <c r="N1178">
        <v>792.45001219999995</v>
      </c>
      <c r="O1178">
        <f t="shared" si="204"/>
        <v>-6.3322731034483049E-3</v>
      </c>
      <c r="P1178">
        <v>140.5</v>
      </c>
      <c r="Q1178">
        <f t="shared" si="205"/>
        <v>2.704676035201059E-2</v>
      </c>
      <c r="R1178">
        <v>472.35000609999997</v>
      </c>
      <c r="S1178">
        <f t="shared" si="206"/>
        <v>3.9320002125398101E-3</v>
      </c>
      <c r="T1178">
        <v>4647.8999020000001</v>
      </c>
      <c r="U1178">
        <f t="shared" si="207"/>
        <v>-1.7075712990448633E-3</v>
      </c>
      <c r="W1178">
        <f t="shared" si="208"/>
        <v>6.4886498910568741E-3</v>
      </c>
      <c r="X1178">
        <v>4.2076623418900727E-3</v>
      </c>
    </row>
    <row r="1179" spans="1:24" x14ac:dyDescent="0.35">
      <c r="A1179" s="1">
        <v>44554</v>
      </c>
      <c r="B1179">
        <v>2190.09375</v>
      </c>
      <c r="C1179">
        <f t="shared" si="198"/>
        <v>3.1920984826796506E-3</v>
      </c>
      <c r="D1179">
        <v>3670.8999020000001</v>
      </c>
      <c r="E1179">
        <f t="shared" si="199"/>
        <v>2.2387722471672866E-3</v>
      </c>
      <c r="F1179">
        <v>1438.900024</v>
      </c>
      <c r="G1179">
        <f t="shared" si="200"/>
        <v>-3.600825487445336E-3</v>
      </c>
      <c r="H1179">
        <v>677.04998780000005</v>
      </c>
      <c r="I1179">
        <f t="shared" si="201"/>
        <v>-2.5046220257826102E-3</v>
      </c>
      <c r="J1179">
        <v>1863.5</v>
      </c>
      <c r="K1179">
        <f t="shared" si="202"/>
        <v>3.1761542184689517E-3</v>
      </c>
      <c r="L1179">
        <v>218</v>
      </c>
      <c r="M1179">
        <f t="shared" si="203"/>
        <v>3.2213386562993662E-3</v>
      </c>
      <c r="N1179">
        <v>785.40002440000001</v>
      </c>
      <c r="O1179">
        <f t="shared" si="204"/>
        <v>-8.8964448122447193E-3</v>
      </c>
      <c r="P1179">
        <v>138.5</v>
      </c>
      <c r="Q1179">
        <f t="shared" si="205"/>
        <v>-1.4234875444839812E-2</v>
      </c>
      <c r="R1179">
        <v>467.60000609999997</v>
      </c>
      <c r="S1179">
        <f t="shared" si="206"/>
        <v>-1.005610233652543E-2</v>
      </c>
      <c r="T1179">
        <v>4628.8999020000001</v>
      </c>
      <c r="U1179">
        <f t="shared" si="207"/>
        <v>-4.0878677253407547E-3</v>
      </c>
      <c r="W1179">
        <f t="shared" si="208"/>
        <v>-3.1552374227563403E-3</v>
      </c>
      <c r="X1179">
        <v>4.2116515434558847E-3</v>
      </c>
    </row>
    <row r="1180" spans="1:24" x14ac:dyDescent="0.35">
      <c r="A1180" s="1">
        <v>44557</v>
      </c>
      <c r="B1180">
        <v>2187.73999</v>
      </c>
      <c r="C1180">
        <f t="shared" si="198"/>
        <v>-1.074730248419753E-3</v>
      </c>
      <c r="D1180">
        <v>3696.1000979999999</v>
      </c>
      <c r="E1180">
        <f t="shared" si="199"/>
        <v>6.8648551234726796E-3</v>
      </c>
      <c r="F1180">
        <v>1450.8000489999999</v>
      </c>
      <c r="G1180">
        <f t="shared" si="200"/>
        <v>8.2702236441132282E-3</v>
      </c>
      <c r="H1180">
        <v>675.75</v>
      </c>
      <c r="I1180">
        <f t="shared" si="201"/>
        <v>-1.9200765429805422E-3</v>
      </c>
      <c r="J1180">
        <v>1866.150024</v>
      </c>
      <c r="K1180">
        <f t="shared" si="202"/>
        <v>1.4220681513281708E-3</v>
      </c>
      <c r="L1180">
        <v>217.5500031</v>
      </c>
      <c r="M1180">
        <f t="shared" si="203"/>
        <v>-2.064205963302812E-3</v>
      </c>
      <c r="N1180">
        <v>794.09997559999999</v>
      </c>
      <c r="O1180">
        <f t="shared" si="204"/>
        <v>1.1077095657905378E-2</v>
      </c>
      <c r="P1180">
        <v>137.3500061</v>
      </c>
      <c r="Q1180">
        <f t="shared" si="205"/>
        <v>-8.3032050541516078E-3</v>
      </c>
      <c r="R1180">
        <v>471.14999390000003</v>
      </c>
      <c r="S1180">
        <f t="shared" si="206"/>
        <v>7.5919327495492794E-3</v>
      </c>
      <c r="T1180">
        <v>4668.6499020000001</v>
      </c>
      <c r="U1180">
        <f t="shared" si="207"/>
        <v>8.5873535486964414E-3</v>
      </c>
      <c r="W1180">
        <f t="shared" si="208"/>
        <v>3.0451311066210466E-3</v>
      </c>
      <c r="X1180">
        <v>4.2135981189451513E-3</v>
      </c>
    </row>
    <row r="1181" spans="1:24" x14ac:dyDescent="0.35">
      <c r="A1181" s="1">
        <v>44558</v>
      </c>
      <c r="B1181">
        <v>2213.7224120000001</v>
      </c>
      <c r="C1181">
        <f t="shared" si="198"/>
        <v>1.1876375674789497E-2</v>
      </c>
      <c r="D1181">
        <v>3706.5500489999999</v>
      </c>
      <c r="E1181">
        <f t="shared" si="199"/>
        <v>2.8272911238671483E-3</v>
      </c>
      <c r="F1181">
        <v>1460.8000489999999</v>
      </c>
      <c r="G1181">
        <f t="shared" si="200"/>
        <v>6.8927485954337619E-3</v>
      </c>
      <c r="H1181">
        <v>680.04998780000005</v>
      </c>
      <c r="I1181">
        <f t="shared" si="201"/>
        <v>6.363281982981972E-3</v>
      </c>
      <c r="J1181">
        <v>1888</v>
      </c>
      <c r="K1181">
        <f t="shared" si="202"/>
        <v>1.1708584904211339E-2</v>
      </c>
      <c r="L1181">
        <v>220.0500031</v>
      </c>
      <c r="M1181">
        <f t="shared" si="203"/>
        <v>1.1491610960128629E-2</v>
      </c>
      <c r="N1181">
        <v>815.09997559999999</v>
      </c>
      <c r="O1181">
        <f t="shared" si="204"/>
        <v>2.6445032924390821E-2</v>
      </c>
      <c r="P1181">
        <v>139.5</v>
      </c>
      <c r="Q1181">
        <f t="shared" si="205"/>
        <v>1.5653395009204818E-2</v>
      </c>
      <c r="R1181">
        <v>480.2000122</v>
      </c>
      <c r="S1181">
        <f t="shared" si="206"/>
        <v>1.920835915774366E-2</v>
      </c>
      <c r="T1181">
        <v>4721.9501950000003</v>
      </c>
      <c r="U1181">
        <f t="shared" si="207"/>
        <v>1.1416639525094086E-2</v>
      </c>
      <c r="W1181">
        <f t="shared" si="208"/>
        <v>1.2388331985784574E-2</v>
      </c>
      <c r="X1181">
        <v>4.2306602524327837E-3</v>
      </c>
    </row>
    <row r="1182" spans="1:24" x14ac:dyDescent="0.35">
      <c r="A1182" s="1">
        <v>44559</v>
      </c>
      <c r="B1182">
        <v>2217.506836</v>
      </c>
      <c r="C1182">
        <f t="shared" si="198"/>
        <v>1.7095296047442421E-3</v>
      </c>
      <c r="D1182">
        <v>3694.6999510000001</v>
      </c>
      <c r="E1182">
        <f t="shared" si="199"/>
        <v>-3.1970694698152391E-3</v>
      </c>
      <c r="F1182">
        <v>1453.849976</v>
      </c>
      <c r="G1182">
        <f t="shared" si="200"/>
        <v>-4.7577168447917595E-3</v>
      </c>
      <c r="H1182">
        <v>676.84997559999999</v>
      </c>
      <c r="I1182">
        <f t="shared" si="201"/>
        <v>-4.7055543818952383E-3</v>
      </c>
      <c r="J1182">
        <v>1885.5500489999999</v>
      </c>
      <c r="K1182">
        <f t="shared" si="202"/>
        <v>-1.2976435381356621E-3</v>
      </c>
      <c r="L1182">
        <v>216.75</v>
      </c>
      <c r="M1182">
        <f t="shared" si="203"/>
        <v>-1.4996605560147813E-2</v>
      </c>
      <c r="N1182">
        <v>838.79998780000005</v>
      </c>
      <c r="O1182">
        <f t="shared" si="204"/>
        <v>2.9076202808808072E-2</v>
      </c>
      <c r="P1182">
        <v>138.8999939</v>
      </c>
      <c r="Q1182">
        <f t="shared" si="205"/>
        <v>-4.3011189964158314E-3</v>
      </c>
      <c r="R1182">
        <v>476</v>
      </c>
      <c r="S1182">
        <f t="shared" si="206"/>
        <v>-8.7463808690007028E-3</v>
      </c>
      <c r="T1182">
        <v>4683.9501950000003</v>
      </c>
      <c r="U1182">
        <f t="shared" si="207"/>
        <v>-8.0475224072116269E-3</v>
      </c>
      <c r="W1182">
        <f t="shared" si="208"/>
        <v>-1.9263879653861559E-3</v>
      </c>
      <c r="X1182">
        <v>4.2348138427657951E-3</v>
      </c>
    </row>
    <row r="1183" spans="1:24" x14ac:dyDescent="0.35">
      <c r="A1183" s="1">
        <v>44560</v>
      </c>
      <c r="B1183">
        <v>2177.4484859999998</v>
      </c>
      <c r="C1183">
        <f t="shared" si="198"/>
        <v>-1.8064589181722046E-2</v>
      </c>
      <c r="D1183">
        <v>3733.75</v>
      </c>
      <c r="E1183">
        <f t="shared" si="199"/>
        <v>1.0569207112320678E-2</v>
      </c>
      <c r="F1183">
        <v>1461.5</v>
      </c>
      <c r="G1183">
        <f t="shared" si="200"/>
        <v>5.2619074363144946E-3</v>
      </c>
      <c r="H1183">
        <v>679.34997559999999</v>
      </c>
      <c r="I1183">
        <f t="shared" si="201"/>
        <v>3.6935806901430279E-3</v>
      </c>
      <c r="J1183">
        <v>1892.849976</v>
      </c>
      <c r="K1183">
        <f t="shared" si="202"/>
        <v>3.8715105991864451E-3</v>
      </c>
      <c r="L1183">
        <v>216</v>
      </c>
      <c r="M1183">
        <f t="shared" si="203"/>
        <v>-3.4602076124568004E-3</v>
      </c>
      <c r="N1183">
        <v>834.45001219999995</v>
      </c>
      <c r="O1183">
        <f t="shared" si="204"/>
        <v>-5.1859509576402951E-3</v>
      </c>
      <c r="P1183">
        <v>140.5</v>
      </c>
      <c r="Q1183">
        <f t="shared" si="205"/>
        <v>1.1519122896088252E-2</v>
      </c>
      <c r="R1183">
        <v>470.39999390000003</v>
      </c>
      <c r="S1183">
        <f t="shared" si="206"/>
        <v>-1.1764718697478971E-2</v>
      </c>
      <c r="T1183">
        <v>4639.3500979999999</v>
      </c>
      <c r="U1183">
        <f t="shared" si="207"/>
        <v>-9.521898214803759E-3</v>
      </c>
      <c r="W1183">
        <f t="shared" si="208"/>
        <v>-1.3082035930048973E-3</v>
      </c>
      <c r="X1183">
        <v>4.2348595139696027E-3</v>
      </c>
    </row>
    <row r="1184" spans="1:24" x14ac:dyDescent="0.35">
      <c r="A1184" s="1">
        <v>44561</v>
      </c>
      <c r="B1184">
        <v>2185.8017580000001</v>
      </c>
      <c r="C1184">
        <f t="shared" si="198"/>
        <v>3.8362661866437886E-3</v>
      </c>
      <c r="D1184">
        <v>3738.3500979999999</v>
      </c>
      <c r="E1184">
        <f t="shared" si="199"/>
        <v>1.2320316036156242E-3</v>
      </c>
      <c r="F1184">
        <v>1479.400024</v>
      </c>
      <c r="G1184">
        <f t="shared" si="200"/>
        <v>1.2247707150188081E-2</v>
      </c>
      <c r="H1184">
        <v>683.79998780000005</v>
      </c>
      <c r="I1184">
        <f t="shared" si="201"/>
        <v>6.5503972323981419E-3</v>
      </c>
      <c r="J1184">
        <v>1887.75</v>
      </c>
      <c r="K1184">
        <f t="shared" si="202"/>
        <v>-2.6943371448683306E-3</v>
      </c>
      <c r="L1184">
        <v>218.0500031</v>
      </c>
      <c r="M1184">
        <f t="shared" si="203"/>
        <v>9.4907550925926731E-3</v>
      </c>
      <c r="N1184">
        <v>845.70001219999995</v>
      </c>
      <c r="O1184">
        <f t="shared" si="204"/>
        <v>1.348193401104969E-2</v>
      </c>
      <c r="P1184">
        <v>142.3999939</v>
      </c>
      <c r="Q1184">
        <f t="shared" si="205"/>
        <v>1.3523088256227833E-2</v>
      </c>
      <c r="R1184">
        <v>482.39999390000003</v>
      </c>
      <c r="S1184">
        <f t="shared" si="206"/>
        <v>2.5510204412440896E-2</v>
      </c>
      <c r="T1184">
        <v>4671.4501950000003</v>
      </c>
      <c r="U1184">
        <f t="shared" si="207"/>
        <v>6.9190934768725842E-3</v>
      </c>
      <c r="W1184">
        <f t="shared" si="208"/>
        <v>9.0097140277160988E-3</v>
      </c>
      <c r="X1184">
        <v>4.2365117807290466E-3</v>
      </c>
    </row>
    <row r="1185" spans="1:24" x14ac:dyDescent="0.35">
      <c r="A1185" s="1">
        <v>44564</v>
      </c>
      <c r="B1185">
        <v>2218.7526859999998</v>
      </c>
      <c r="C1185">
        <f t="shared" si="198"/>
        <v>1.5074984672969416E-2</v>
      </c>
      <c r="D1185">
        <v>3817.75</v>
      </c>
      <c r="E1185">
        <f t="shared" si="199"/>
        <v>2.1239290039335446E-2</v>
      </c>
      <c r="F1185">
        <v>1519.650024</v>
      </c>
      <c r="G1185">
        <f t="shared" si="200"/>
        <v>2.720697535962735E-2</v>
      </c>
      <c r="H1185">
        <v>691.29998780000005</v>
      </c>
      <c r="I1185">
        <f t="shared" si="201"/>
        <v>1.0968119528825815E-2</v>
      </c>
      <c r="J1185">
        <v>1898.4499510000001</v>
      </c>
      <c r="K1185">
        <f t="shared" si="202"/>
        <v>5.6680974705336507E-3</v>
      </c>
      <c r="L1185">
        <v>219.1000061</v>
      </c>
      <c r="M1185">
        <f t="shared" si="203"/>
        <v>4.8154229996431042E-3</v>
      </c>
      <c r="N1185">
        <v>848.95001219999995</v>
      </c>
      <c r="O1185">
        <f t="shared" si="204"/>
        <v>3.8429702650062403E-3</v>
      </c>
      <c r="P1185">
        <v>143.0500031</v>
      </c>
      <c r="Q1185">
        <f t="shared" si="205"/>
        <v>4.5646715438518726E-3</v>
      </c>
      <c r="R1185">
        <v>497.60000609999997</v>
      </c>
      <c r="S1185">
        <f t="shared" si="206"/>
        <v>3.1509146750011929E-2</v>
      </c>
      <c r="T1185">
        <v>4711.5</v>
      </c>
      <c r="U1185">
        <f t="shared" si="207"/>
        <v>8.5733130672924762E-3</v>
      </c>
      <c r="W1185">
        <f t="shared" si="208"/>
        <v>1.334629916970973E-2</v>
      </c>
      <c r="X1185">
        <v>4.2534672264104116E-3</v>
      </c>
    </row>
    <row r="1186" spans="1:24" x14ac:dyDescent="0.35">
      <c r="A1186" s="1">
        <v>44565</v>
      </c>
      <c r="B1186">
        <v>2268.8254390000002</v>
      </c>
      <c r="C1186">
        <f t="shared" si="198"/>
        <v>2.2567974031514115E-2</v>
      </c>
      <c r="D1186">
        <v>3884.75</v>
      </c>
      <c r="E1186">
        <f t="shared" si="199"/>
        <v>1.7549603824241977E-2</v>
      </c>
      <c r="F1186">
        <v>1528.5500489999999</v>
      </c>
      <c r="G1186">
        <f t="shared" si="200"/>
        <v>5.8566280784659863E-3</v>
      </c>
      <c r="H1186">
        <v>697.45001219999995</v>
      </c>
      <c r="I1186">
        <f t="shared" si="201"/>
        <v>8.896317819376387E-3</v>
      </c>
      <c r="J1186">
        <v>1899.150024</v>
      </c>
      <c r="K1186">
        <f t="shared" si="202"/>
        <v>3.6876031397681253E-4</v>
      </c>
      <c r="L1186">
        <v>220.25</v>
      </c>
      <c r="M1186">
        <f t="shared" si="203"/>
        <v>5.2487168780595006E-3</v>
      </c>
      <c r="N1186">
        <v>837.70001219999995</v>
      </c>
      <c r="O1186">
        <f t="shared" si="204"/>
        <v>-1.3251663629577415E-2</v>
      </c>
      <c r="P1186">
        <v>147.8000031</v>
      </c>
      <c r="Q1186">
        <f t="shared" si="205"/>
        <v>3.3205172296846941E-2</v>
      </c>
      <c r="R1186">
        <v>489.60000609999997</v>
      </c>
      <c r="S1186">
        <f t="shared" si="206"/>
        <v>-1.6077170220918924E-2</v>
      </c>
      <c r="T1186">
        <v>4726.9501950000003</v>
      </c>
      <c r="U1186">
        <f t="shared" si="207"/>
        <v>3.2792518306272722E-3</v>
      </c>
      <c r="W1186">
        <f t="shared" si="208"/>
        <v>6.7643591222612638E-3</v>
      </c>
      <c r="X1186">
        <v>4.2752333678745206E-3</v>
      </c>
    </row>
    <row r="1187" spans="1:24" x14ac:dyDescent="0.35">
      <c r="A1187" s="1">
        <v>44566</v>
      </c>
      <c r="B1187">
        <v>2279.4399410000001</v>
      </c>
      <c r="C1187">
        <f t="shared" si="198"/>
        <v>4.678412811114363E-3</v>
      </c>
      <c r="D1187">
        <v>3860.9499510000001</v>
      </c>
      <c r="E1187">
        <f t="shared" si="199"/>
        <v>-6.1265329815303193E-3</v>
      </c>
      <c r="F1187">
        <v>1564.849976</v>
      </c>
      <c r="G1187">
        <f t="shared" si="200"/>
        <v>2.374794794828472E-2</v>
      </c>
      <c r="H1187">
        <v>700</v>
      </c>
      <c r="I1187">
        <f t="shared" si="201"/>
        <v>3.6561585137213637E-3</v>
      </c>
      <c r="J1187">
        <v>1844.650024</v>
      </c>
      <c r="K1187">
        <f t="shared" si="202"/>
        <v>-2.8697048317021245E-2</v>
      </c>
      <c r="L1187">
        <v>220.5500031</v>
      </c>
      <c r="M1187">
        <f t="shared" si="203"/>
        <v>1.3621026106696021E-3</v>
      </c>
      <c r="N1187">
        <v>835.09997559999999</v>
      </c>
      <c r="O1187">
        <f t="shared" si="204"/>
        <v>-3.1037800670095095E-3</v>
      </c>
      <c r="P1187">
        <v>150.3500061</v>
      </c>
      <c r="Q1187">
        <f t="shared" si="205"/>
        <v>1.725306459076803E-2</v>
      </c>
      <c r="R1187">
        <v>489.75</v>
      </c>
      <c r="S1187">
        <f t="shared" si="206"/>
        <v>3.0636008605244847E-4</v>
      </c>
      <c r="T1187">
        <v>4687.3999020000001</v>
      </c>
      <c r="U1187">
        <f t="shared" si="207"/>
        <v>-8.3669789966974717E-3</v>
      </c>
      <c r="W1187">
        <f t="shared" si="208"/>
        <v>4.7097061983519828E-4</v>
      </c>
      <c r="X1187">
        <v>4.2762119418148677E-3</v>
      </c>
    </row>
    <row r="1188" spans="1:24" x14ac:dyDescent="0.35">
      <c r="A1188" s="1">
        <v>44567</v>
      </c>
      <c r="B1188">
        <v>2230.428711</v>
      </c>
      <c r="C1188">
        <f t="shared" si="198"/>
        <v>-2.1501435119408607E-2</v>
      </c>
      <c r="D1188">
        <v>3807.4499510000001</v>
      </c>
      <c r="E1188">
        <f t="shared" si="199"/>
        <v>-1.3856693476729243E-2</v>
      </c>
      <c r="F1188">
        <v>1539.75</v>
      </c>
      <c r="G1188">
        <f t="shared" si="200"/>
        <v>-1.603986093552523E-2</v>
      </c>
      <c r="H1188">
        <v>710.40002440000001</v>
      </c>
      <c r="I1188">
        <f t="shared" si="201"/>
        <v>1.485717771428563E-2</v>
      </c>
      <c r="J1188">
        <v>1817.8000489999999</v>
      </c>
      <c r="K1188">
        <f t="shared" si="202"/>
        <v>-1.4555593012585466E-2</v>
      </c>
      <c r="L1188">
        <v>218.6999969</v>
      </c>
      <c r="M1188">
        <f t="shared" si="203"/>
        <v>-8.3881486012093998E-3</v>
      </c>
      <c r="N1188">
        <v>829.59997559999999</v>
      </c>
      <c r="O1188">
        <f t="shared" si="204"/>
        <v>-6.586037792718602E-3</v>
      </c>
      <c r="P1188">
        <v>150.8000031</v>
      </c>
      <c r="Q1188">
        <f t="shared" si="205"/>
        <v>2.9929962204371385E-3</v>
      </c>
      <c r="R1188">
        <v>488.85000609999997</v>
      </c>
      <c r="S1188">
        <f t="shared" si="206"/>
        <v>-1.8376598264421284E-3</v>
      </c>
      <c r="T1188">
        <v>4705.6499020000001</v>
      </c>
      <c r="U1188">
        <f t="shared" si="207"/>
        <v>3.8934164742832067E-3</v>
      </c>
      <c r="W1188">
        <f t="shared" si="208"/>
        <v>-6.102183835561271E-3</v>
      </c>
      <c r="X1188">
        <v>4.2789260625495373E-3</v>
      </c>
    </row>
    <row r="1189" spans="1:24" x14ac:dyDescent="0.35">
      <c r="A1189" s="1">
        <v>44568</v>
      </c>
      <c r="B1189">
        <v>2248.4272460000002</v>
      </c>
      <c r="C1189">
        <f t="shared" si="198"/>
        <v>8.069540582595236E-3</v>
      </c>
      <c r="D1189">
        <v>3853.5</v>
      </c>
      <c r="E1189">
        <f t="shared" si="199"/>
        <v>1.2094722082401921E-2</v>
      </c>
      <c r="F1189">
        <v>1550.5500489999999</v>
      </c>
      <c r="G1189">
        <f t="shared" si="200"/>
        <v>7.0141574930995265E-3</v>
      </c>
      <c r="H1189">
        <v>704.70001219999995</v>
      </c>
      <c r="I1189">
        <f t="shared" si="201"/>
        <v>-8.023665546484593E-3</v>
      </c>
      <c r="J1189">
        <v>1814.3000489999999</v>
      </c>
      <c r="K1189">
        <f t="shared" si="202"/>
        <v>-1.9254042830098017E-3</v>
      </c>
      <c r="L1189">
        <v>218.3999939</v>
      </c>
      <c r="M1189">
        <f t="shared" si="203"/>
        <v>-1.3717558493482329E-3</v>
      </c>
      <c r="N1189">
        <v>828.95001219999995</v>
      </c>
      <c r="O1189">
        <f t="shared" si="204"/>
        <v>-7.8346603075774013E-4</v>
      </c>
      <c r="P1189">
        <v>157.0500031</v>
      </c>
      <c r="Q1189">
        <f t="shared" si="205"/>
        <v>4.1445622490176248E-2</v>
      </c>
      <c r="R1189">
        <v>490.60000609999997</v>
      </c>
      <c r="S1189">
        <f t="shared" si="206"/>
        <v>3.5798301690970202E-3</v>
      </c>
      <c r="T1189">
        <v>4731.3500979999999</v>
      </c>
      <c r="U1189">
        <f t="shared" si="207"/>
        <v>5.4615614283324287E-3</v>
      </c>
      <c r="W1189">
        <f t="shared" si="208"/>
        <v>6.5561142536102015E-3</v>
      </c>
      <c r="X1189">
        <v>4.2895362340400704E-3</v>
      </c>
    </row>
    <row r="1190" spans="1:24" x14ac:dyDescent="0.35">
      <c r="A1190" s="1">
        <v>44571</v>
      </c>
      <c r="B1190">
        <v>2250.273193</v>
      </c>
      <c r="C1190">
        <f t="shared" si="198"/>
        <v>8.2099476568964214E-4</v>
      </c>
      <c r="D1190">
        <v>3879.8500979999999</v>
      </c>
      <c r="E1190">
        <f t="shared" si="199"/>
        <v>6.8379649669132458E-3</v>
      </c>
      <c r="F1190">
        <v>1559.150024</v>
      </c>
      <c r="G1190">
        <f t="shared" si="200"/>
        <v>5.5464027140217365E-3</v>
      </c>
      <c r="H1190">
        <v>704.95001219999995</v>
      </c>
      <c r="I1190">
        <f t="shared" si="201"/>
        <v>3.5476088501762426E-4</v>
      </c>
      <c r="J1190">
        <v>1850.75</v>
      </c>
      <c r="K1190">
        <f t="shared" si="202"/>
        <v>2.0090365438776514E-2</v>
      </c>
      <c r="L1190">
        <v>223.3000031</v>
      </c>
      <c r="M1190">
        <f t="shared" si="203"/>
        <v>2.2435940187084391E-2</v>
      </c>
      <c r="N1190">
        <v>826.70001219999995</v>
      </c>
      <c r="O1190">
        <f t="shared" si="204"/>
        <v>-2.7142770575858677E-3</v>
      </c>
      <c r="P1190">
        <v>158.3500061</v>
      </c>
      <c r="Q1190">
        <f t="shared" si="205"/>
        <v>8.2776375316098161E-3</v>
      </c>
      <c r="R1190">
        <v>503.7000122</v>
      </c>
      <c r="S1190">
        <f t="shared" si="206"/>
        <v>2.670200965576397E-2</v>
      </c>
      <c r="T1190">
        <v>4633.5498049999997</v>
      </c>
      <c r="U1190">
        <f t="shared" si="207"/>
        <v>-2.0670694616604646E-2</v>
      </c>
      <c r="W1190">
        <f t="shared" si="208"/>
        <v>6.7681104470686433E-3</v>
      </c>
      <c r="X1190">
        <v>4.2967111552907333E-3</v>
      </c>
    </row>
    <row r="1191" spans="1:24" x14ac:dyDescent="0.35">
      <c r="A1191" s="1">
        <v>44572</v>
      </c>
      <c r="B1191">
        <v>2266.4719239999999</v>
      </c>
      <c r="C1191">
        <f t="shared" si="198"/>
        <v>7.1985619570058557E-3</v>
      </c>
      <c r="D1191">
        <v>3915.8999020000001</v>
      </c>
      <c r="E1191">
        <f t="shared" si="199"/>
        <v>9.2915455724909002E-3</v>
      </c>
      <c r="F1191">
        <v>1565.900024</v>
      </c>
      <c r="G1191">
        <f t="shared" si="200"/>
        <v>4.3292819139257865E-3</v>
      </c>
      <c r="H1191">
        <v>703.45001219999995</v>
      </c>
      <c r="I1191">
        <f t="shared" si="201"/>
        <v>-2.1278104461887049E-3</v>
      </c>
      <c r="J1191">
        <v>1855.599976</v>
      </c>
      <c r="K1191">
        <f t="shared" si="202"/>
        <v>2.6205462650277234E-3</v>
      </c>
      <c r="L1191">
        <v>221.9499969</v>
      </c>
      <c r="M1191">
        <f t="shared" si="203"/>
        <v>-6.0457061408790702E-3</v>
      </c>
      <c r="N1191">
        <v>832.40002440000001</v>
      </c>
      <c r="O1191">
        <f t="shared" si="204"/>
        <v>6.8948979265541777E-3</v>
      </c>
      <c r="P1191">
        <v>160.9499969</v>
      </c>
      <c r="Q1191">
        <f t="shared" si="205"/>
        <v>1.6419265549999951E-2</v>
      </c>
      <c r="R1191">
        <v>501.2999878</v>
      </c>
      <c r="S1191">
        <f t="shared" si="206"/>
        <v>-4.764789243338452E-3</v>
      </c>
      <c r="T1191">
        <v>4504.8999020000001</v>
      </c>
      <c r="U1191">
        <f t="shared" si="207"/>
        <v>-2.7764868926449249E-2</v>
      </c>
      <c r="W1191">
        <f t="shared" si="208"/>
        <v>6.0509244281489218E-4</v>
      </c>
      <c r="X1191">
        <v>4.299033398101882E-3</v>
      </c>
    </row>
    <row r="1192" spans="1:24" x14ac:dyDescent="0.35">
      <c r="A1192" s="1">
        <v>44573</v>
      </c>
      <c r="B1192">
        <v>2326.974365</v>
      </c>
      <c r="C1192">
        <f t="shared" si="198"/>
        <v>2.6694546867901181E-2</v>
      </c>
      <c r="D1192">
        <v>3859.8999020000001</v>
      </c>
      <c r="E1192">
        <f t="shared" si="199"/>
        <v>-1.4300671978718982E-2</v>
      </c>
      <c r="F1192">
        <v>1556.650024</v>
      </c>
      <c r="G1192">
        <f t="shared" si="200"/>
        <v>-5.9071459596580222E-3</v>
      </c>
      <c r="H1192">
        <v>730.20001219999995</v>
      </c>
      <c r="I1192">
        <f t="shared" si="201"/>
        <v>3.8026866921703428E-2</v>
      </c>
      <c r="J1192">
        <v>1877.4499510000001</v>
      </c>
      <c r="K1192">
        <f t="shared" si="202"/>
        <v>1.1775153741433453E-2</v>
      </c>
      <c r="L1192">
        <v>222.75</v>
      </c>
      <c r="M1192">
        <f t="shared" si="203"/>
        <v>3.6044294263291032E-3</v>
      </c>
      <c r="N1192">
        <v>836.20001219999995</v>
      </c>
      <c r="O1192">
        <f t="shared" si="204"/>
        <v>4.5650981362463927E-3</v>
      </c>
      <c r="P1192">
        <v>164.9499969</v>
      </c>
      <c r="Q1192">
        <f t="shared" si="205"/>
        <v>2.4852439124215975E-2</v>
      </c>
      <c r="R1192">
        <v>507.25</v>
      </c>
      <c r="S1192">
        <f t="shared" si="206"/>
        <v>1.1869164860969006E-2</v>
      </c>
      <c r="T1192">
        <v>4276.1000979999999</v>
      </c>
      <c r="U1192">
        <f t="shared" si="207"/>
        <v>-5.0789098310136005E-2</v>
      </c>
      <c r="W1192">
        <f t="shared" si="208"/>
        <v>5.0390782830285526E-3</v>
      </c>
      <c r="X1192">
        <v>4.3061670241127739E-3</v>
      </c>
    </row>
    <row r="1193" spans="1:24" x14ac:dyDescent="0.35">
      <c r="A1193" s="1">
        <v>44574</v>
      </c>
      <c r="B1193">
        <v>2340.0810550000001</v>
      </c>
      <c r="C1193">
        <f t="shared" si="198"/>
        <v>5.6325029605559518E-3</v>
      </c>
      <c r="D1193">
        <v>3897.8999020000001</v>
      </c>
      <c r="E1193">
        <f t="shared" si="199"/>
        <v>9.8448148824559212E-3</v>
      </c>
      <c r="F1193">
        <v>1528</v>
      </c>
      <c r="G1193">
        <f t="shared" si="200"/>
        <v>-1.84049231094221E-2</v>
      </c>
      <c r="H1193">
        <v>731.79998780000005</v>
      </c>
      <c r="I1193">
        <f t="shared" si="201"/>
        <v>2.1911470463820137E-3</v>
      </c>
      <c r="J1193">
        <v>1896.8000489999999</v>
      </c>
      <c r="K1193">
        <f t="shared" si="202"/>
        <v>1.0306585264599599E-2</v>
      </c>
      <c r="L1193">
        <v>223.9499969</v>
      </c>
      <c r="M1193">
        <f t="shared" si="203"/>
        <v>5.3871914702581236E-3</v>
      </c>
      <c r="N1193">
        <v>865.5</v>
      </c>
      <c r="O1193">
        <f t="shared" si="204"/>
        <v>3.5039449141974099E-2</v>
      </c>
      <c r="P1193">
        <v>163.9499969</v>
      </c>
      <c r="Q1193">
        <f t="shared" si="205"/>
        <v>-6.0624432785303384E-3</v>
      </c>
      <c r="R1193">
        <v>511.9500122</v>
      </c>
      <c r="S1193">
        <f t="shared" si="206"/>
        <v>9.2656721537702769E-3</v>
      </c>
      <c r="T1193">
        <v>4254.6000979999999</v>
      </c>
      <c r="U1193">
        <f t="shared" si="207"/>
        <v>-5.0279459103531599E-3</v>
      </c>
      <c r="W1193">
        <f t="shared" si="208"/>
        <v>4.8172050621690388E-3</v>
      </c>
      <c r="X1193">
        <v>4.3167655893866187E-3</v>
      </c>
    </row>
    <row r="1194" spans="1:24" x14ac:dyDescent="0.35">
      <c r="A1194" s="1">
        <v>44575</v>
      </c>
      <c r="B1194">
        <v>2343.4960940000001</v>
      </c>
      <c r="C1194">
        <f t="shared" si="198"/>
        <v>1.4593678251884068E-3</v>
      </c>
      <c r="D1194">
        <v>3968.1499020000001</v>
      </c>
      <c r="E1194">
        <f t="shared" si="199"/>
        <v>1.8022525402449308E-2</v>
      </c>
      <c r="F1194">
        <v>1545.150024</v>
      </c>
      <c r="G1194">
        <f t="shared" si="200"/>
        <v>1.122383769633517E-2</v>
      </c>
      <c r="H1194">
        <v>720.59997559999999</v>
      </c>
      <c r="I1194">
        <f t="shared" si="201"/>
        <v>-1.5304744994148578E-2</v>
      </c>
      <c r="J1194">
        <v>1929.349976</v>
      </c>
      <c r="K1194">
        <f t="shared" si="202"/>
        <v>1.7160441880608612E-2</v>
      </c>
      <c r="L1194">
        <v>222.6000061</v>
      </c>
      <c r="M1194">
        <f t="shared" si="203"/>
        <v>-6.0280902821481241E-3</v>
      </c>
      <c r="N1194">
        <v>859.75</v>
      </c>
      <c r="O1194">
        <f t="shared" si="204"/>
        <v>-6.6435586366262456E-3</v>
      </c>
      <c r="P1194">
        <v>161.0500031</v>
      </c>
      <c r="Q1194">
        <f t="shared" si="205"/>
        <v>-1.7688282127683363E-2</v>
      </c>
      <c r="R1194">
        <v>509.89999390000003</v>
      </c>
      <c r="S1194">
        <f t="shared" si="206"/>
        <v>-4.0043329449108711E-3</v>
      </c>
      <c r="T1194">
        <v>4322.7001950000003</v>
      </c>
      <c r="U1194">
        <f t="shared" si="207"/>
        <v>1.6006227478820634E-2</v>
      </c>
      <c r="W1194">
        <f t="shared" si="208"/>
        <v>1.4203391297884945E-3</v>
      </c>
      <c r="X1194">
        <v>4.3303416534581918E-3</v>
      </c>
    </row>
    <row r="1195" spans="1:24" x14ac:dyDescent="0.35">
      <c r="A1195" s="1">
        <v>44578</v>
      </c>
      <c r="B1195">
        <v>2355.7258299999999</v>
      </c>
      <c r="C1195">
        <f t="shared" si="198"/>
        <v>5.2185860395974615E-3</v>
      </c>
      <c r="D1195">
        <v>4019.1499020000001</v>
      </c>
      <c r="E1195">
        <f t="shared" si="199"/>
        <v>1.2852337048631979E-2</v>
      </c>
      <c r="F1195">
        <v>1521.5</v>
      </c>
      <c r="G1195">
        <f t="shared" si="200"/>
        <v>-1.5305972645152099E-2</v>
      </c>
      <c r="H1195">
        <v>728.59997559999999</v>
      </c>
      <c r="I1195">
        <f t="shared" si="201"/>
        <v>1.1101859937392877E-2</v>
      </c>
      <c r="J1195">
        <v>1939.5</v>
      </c>
      <c r="K1195">
        <f t="shared" si="202"/>
        <v>5.2608516475809441E-3</v>
      </c>
      <c r="L1195">
        <v>224.6000061</v>
      </c>
      <c r="M1195">
        <f t="shared" si="203"/>
        <v>8.9847257196458141E-3</v>
      </c>
      <c r="N1195">
        <v>853.20001219999995</v>
      </c>
      <c r="O1195">
        <f t="shared" si="204"/>
        <v>-7.6184795580110931E-3</v>
      </c>
      <c r="P1195">
        <v>165.8500061</v>
      </c>
      <c r="Q1195">
        <f t="shared" si="205"/>
        <v>2.9804426622827007E-2</v>
      </c>
      <c r="R1195">
        <v>525</v>
      </c>
      <c r="S1195">
        <f t="shared" si="206"/>
        <v>2.9613662052644374E-2</v>
      </c>
      <c r="T1195">
        <v>4400.5</v>
      </c>
      <c r="U1195">
        <f t="shared" si="207"/>
        <v>1.7997964580099612E-2</v>
      </c>
      <c r="W1195">
        <f t="shared" si="208"/>
        <v>9.790996144525688E-3</v>
      </c>
      <c r="X1195">
        <v>4.3488011639167493E-3</v>
      </c>
    </row>
    <row r="1196" spans="1:24" x14ac:dyDescent="0.35">
      <c r="A1196" s="1">
        <v>44579</v>
      </c>
      <c r="B1196">
        <v>2327.6206050000001</v>
      </c>
      <c r="C1196">
        <f t="shared" si="198"/>
        <v>-1.1930601024143672E-2</v>
      </c>
      <c r="D1196">
        <v>3990.6000979999999</v>
      </c>
      <c r="E1196">
        <f t="shared" si="199"/>
        <v>-7.1034434385722767E-3</v>
      </c>
      <c r="F1196">
        <v>1529.25</v>
      </c>
      <c r="G1196">
        <f t="shared" si="200"/>
        <v>5.0936575747617674E-3</v>
      </c>
      <c r="H1196">
        <v>714.34997559999999</v>
      </c>
      <c r="I1196">
        <f t="shared" si="201"/>
        <v>-1.9558057201779611E-2</v>
      </c>
      <c r="J1196">
        <v>1920.75</v>
      </c>
      <c r="K1196">
        <f t="shared" si="202"/>
        <v>-9.6674400618715906E-3</v>
      </c>
      <c r="L1196">
        <v>220.75</v>
      </c>
      <c r="M1196">
        <f t="shared" si="203"/>
        <v>-1.7141611733909934E-2</v>
      </c>
      <c r="N1196">
        <v>846.70001219999995</v>
      </c>
      <c r="O1196">
        <f t="shared" si="204"/>
        <v>-7.618377762606432E-3</v>
      </c>
      <c r="P1196">
        <v>163.8500061</v>
      </c>
      <c r="Q1196">
        <f t="shared" si="205"/>
        <v>-1.2059089095203812E-2</v>
      </c>
      <c r="R1196">
        <v>510.7999878</v>
      </c>
      <c r="S1196">
        <f t="shared" si="206"/>
        <v>-2.7047642285714324E-2</v>
      </c>
      <c r="T1196">
        <v>4441.1499020000001</v>
      </c>
      <c r="U1196">
        <f t="shared" si="207"/>
        <v>9.2375643676854136E-3</v>
      </c>
      <c r="W1196">
        <f t="shared" si="208"/>
        <v>-9.7795040661354492E-3</v>
      </c>
      <c r="X1196">
        <v>4.3513111116521902E-3</v>
      </c>
    </row>
    <row r="1197" spans="1:24" x14ac:dyDescent="0.35">
      <c r="A1197" s="1">
        <v>44580</v>
      </c>
      <c r="B1197">
        <v>2327.4360350000002</v>
      </c>
      <c r="C1197">
        <f t="shared" si="198"/>
        <v>-7.9295568875537015E-5</v>
      </c>
      <c r="D1197">
        <v>3914.6499020000001</v>
      </c>
      <c r="E1197">
        <f t="shared" si="199"/>
        <v>-1.9032274378498748E-2</v>
      </c>
      <c r="F1197">
        <v>1518.4499510000001</v>
      </c>
      <c r="G1197">
        <f t="shared" si="200"/>
        <v>-7.0623174758868146E-3</v>
      </c>
      <c r="H1197">
        <v>703.70001219999995</v>
      </c>
      <c r="I1197">
        <f t="shared" si="201"/>
        <v>-1.4908607494603543E-2</v>
      </c>
      <c r="J1197">
        <v>1867.0500489999999</v>
      </c>
      <c r="K1197">
        <f t="shared" si="202"/>
        <v>-2.7957803462189235E-2</v>
      </c>
      <c r="L1197">
        <v>220.3500061</v>
      </c>
      <c r="M1197">
        <f t="shared" si="203"/>
        <v>-1.8119768969422356E-3</v>
      </c>
      <c r="N1197">
        <v>838.5</v>
      </c>
      <c r="O1197">
        <f t="shared" si="204"/>
        <v>-9.6846723536635482E-3</v>
      </c>
      <c r="P1197">
        <v>170.25</v>
      </c>
      <c r="Q1197">
        <f t="shared" si="205"/>
        <v>3.9060077276371841E-2</v>
      </c>
      <c r="R1197">
        <v>520.84997559999999</v>
      </c>
      <c r="S1197">
        <f t="shared" si="206"/>
        <v>1.9674996162950098E-2</v>
      </c>
      <c r="T1197">
        <v>4483.3999020000001</v>
      </c>
      <c r="U1197">
        <f t="shared" si="207"/>
        <v>9.5133019448350176E-3</v>
      </c>
      <c r="W1197">
        <f t="shared" si="208"/>
        <v>-1.2288572246502703E-3</v>
      </c>
      <c r="X1197">
        <v>4.354408373626462E-3</v>
      </c>
    </row>
    <row r="1198" spans="1:24" x14ac:dyDescent="0.35">
      <c r="A1198" s="1">
        <v>44581</v>
      </c>
      <c r="B1198">
        <v>2286.685547</v>
      </c>
      <c r="C1198">
        <f t="shared" si="198"/>
        <v>-1.7508746701174194E-2</v>
      </c>
      <c r="D1198">
        <v>3826.5500489999999</v>
      </c>
      <c r="E1198">
        <f t="shared" si="199"/>
        <v>-2.250516781973011E-2</v>
      </c>
      <c r="F1198">
        <v>1509</v>
      </c>
      <c r="G1198">
        <f t="shared" si="200"/>
        <v>-6.2234194770638407E-3</v>
      </c>
      <c r="H1198">
        <v>715.40002440000001</v>
      </c>
      <c r="I1198">
        <f t="shared" si="201"/>
        <v>1.6626420345541737E-2</v>
      </c>
      <c r="J1198">
        <v>1823.6999510000001</v>
      </c>
      <c r="K1198">
        <f t="shared" si="202"/>
        <v>-2.32184980917991E-2</v>
      </c>
      <c r="L1198">
        <v>218.75</v>
      </c>
      <c r="M1198">
        <f t="shared" si="203"/>
        <v>-7.2612028849859955E-3</v>
      </c>
      <c r="N1198">
        <v>820</v>
      </c>
      <c r="O1198">
        <f t="shared" si="204"/>
        <v>-2.2063208109719734E-2</v>
      </c>
      <c r="P1198">
        <v>166.8500061</v>
      </c>
      <c r="Q1198">
        <f t="shared" si="205"/>
        <v>-1.9970595594713592E-2</v>
      </c>
      <c r="R1198">
        <v>515.70001219999995</v>
      </c>
      <c r="S1198">
        <f t="shared" si="206"/>
        <v>-9.8876137875738568E-3</v>
      </c>
      <c r="T1198">
        <v>4483.5498049999997</v>
      </c>
      <c r="U1198">
        <f t="shared" si="207"/>
        <v>3.343511693709722E-5</v>
      </c>
      <c r="W1198">
        <f t="shared" si="208"/>
        <v>-1.1197859700428161E-2</v>
      </c>
      <c r="X1198">
        <v>4.4233532340212777E-3</v>
      </c>
    </row>
    <row r="1199" spans="1:24" x14ac:dyDescent="0.35">
      <c r="A1199" s="1">
        <v>44582</v>
      </c>
      <c r="B1199">
        <v>2287.0546880000002</v>
      </c>
      <c r="C1199">
        <f t="shared" si="198"/>
        <v>1.6143059131334958E-4</v>
      </c>
      <c r="D1199">
        <v>3833.5</v>
      </c>
      <c r="E1199">
        <f t="shared" si="199"/>
        <v>1.8162446357696815E-3</v>
      </c>
      <c r="F1199">
        <v>1521.599976</v>
      </c>
      <c r="G1199">
        <f t="shared" si="200"/>
        <v>8.3498846918488301E-3</v>
      </c>
      <c r="H1199">
        <v>695.25</v>
      </c>
      <c r="I1199">
        <f t="shared" si="201"/>
        <v>-2.8166094091064187E-2</v>
      </c>
      <c r="J1199">
        <v>1785.6999510000001</v>
      </c>
      <c r="K1199">
        <f t="shared" si="202"/>
        <v>-2.0836760991940206E-2</v>
      </c>
      <c r="L1199">
        <v>217.0500031</v>
      </c>
      <c r="M1199">
        <f t="shared" si="203"/>
        <v>-7.7714144000000651E-3</v>
      </c>
      <c r="N1199">
        <v>808.75</v>
      </c>
      <c r="O1199">
        <f t="shared" si="204"/>
        <v>-1.3719512195121908E-2</v>
      </c>
      <c r="P1199">
        <v>163.6499939</v>
      </c>
      <c r="Q1199">
        <f t="shared" si="205"/>
        <v>-1.9178975624862149E-2</v>
      </c>
      <c r="R1199">
        <v>501.85000609999997</v>
      </c>
      <c r="S1199">
        <f t="shared" si="206"/>
        <v>-2.6856710824797569E-2</v>
      </c>
      <c r="T1199">
        <v>4299.7998049999997</v>
      </c>
      <c r="U1199">
        <f t="shared" si="207"/>
        <v>-4.0983151295672982E-2</v>
      </c>
      <c r="W1199">
        <f t="shared" si="208"/>
        <v>-1.4718505950452723E-2</v>
      </c>
      <c r="X1199">
        <v>4.4499118910413136E-3</v>
      </c>
    </row>
    <row r="1200" spans="1:24" x14ac:dyDescent="0.35">
      <c r="A1200" s="1">
        <v>44585</v>
      </c>
      <c r="B1200">
        <v>2194.8010250000002</v>
      </c>
      <c r="C1200">
        <f t="shared" si="198"/>
        <v>-4.0337322707693746E-2</v>
      </c>
      <c r="D1200">
        <v>3771.3500979999999</v>
      </c>
      <c r="E1200">
        <f t="shared" si="199"/>
        <v>-1.6212313029868253E-2</v>
      </c>
      <c r="F1200">
        <v>1486.650024</v>
      </c>
      <c r="G1200">
        <f t="shared" si="200"/>
        <v>-2.296921171875721E-2</v>
      </c>
      <c r="H1200">
        <v>689.90002440000001</v>
      </c>
      <c r="I1200">
        <f t="shared" si="201"/>
        <v>-7.6950386192017328E-3</v>
      </c>
      <c r="J1200">
        <v>1736.8000489999999</v>
      </c>
      <c r="K1200">
        <f t="shared" si="202"/>
        <v>-2.7384164944741052E-2</v>
      </c>
      <c r="L1200">
        <v>211.8000031</v>
      </c>
      <c r="M1200">
        <f t="shared" si="203"/>
        <v>-2.4187974775476961E-2</v>
      </c>
      <c r="N1200">
        <v>800.84997559999999</v>
      </c>
      <c r="O1200">
        <f t="shared" si="204"/>
        <v>-9.7681909119010646E-3</v>
      </c>
      <c r="P1200">
        <v>165.6999969</v>
      </c>
      <c r="Q1200">
        <f t="shared" si="205"/>
        <v>1.2526752682023856E-2</v>
      </c>
      <c r="R1200">
        <v>478.4500122</v>
      </c>
      <c r="S1200">
        <f t="shared" si="206"/>
        <v>-4.6627465608393814E-2</v>
      </c>
      <c r="T1200">
        <v>4035.3000489999999</v>
      </c>
      <c r="U1200">
        <f t="shared" si="207"/>
        <v>-6.1514435088914521E-2</v>
      </c>
      <c r="W1200">
        <f t="shared" si="208"/>
        <v>-2.4416936472292452E-2</v>
      </c>
      <c r="X1200">
        <v>4.4523809812976548E-3</v>
      </c>
    </row>
    <row r="1201" spans="1:24" x14ac:dyDescent="0.35">
      <c r="A1201" s="1">
        <v>44586</v>
      </c>
      <c r="B1201">
        <v>2190.5090329999998</v>
      </c>
      <c r="C1201">
        <f t="shared" si="198"/>
        <v>-1.9555266974601304E-3</v>
      </c>
      <c r="D1201">
        <v>3769.8999020000001</v>
      </c>
      <c r="E1201">
        <f t="shared" si="199"/>
        <v>-3.8452966770941011E-4</v>
      </c>
      <c r="F1201">
        <v>1488.0500489999999</v>
      </c>
      <c r="G1201">
        <f t="shared" si="200"/>
        <v>9.4173139434183817E-4</v>
      </c>
      <c r="H1201">
        <v>711.84997559999999</v>
      </c>
      <c r="I1201">
        <f t="shared" si="201"/>
        <v>3.1816133386992851E-2</v>
      </c>
      <c r="J1201">
        <v>1722.150024</v>
      </c>
      <c r="K1201">
        <f t="shared" si="202"/>
        <v>-8.4350671272924727E-3</v>
      </c>
      <c r="L1201">
        <v>214.3000031</v>
      </c>
      <c r="M1201">
        <f t="shared" si="203"/>
        <v>1.1803588118077801E-2</v>
      </c>
      <c r="N1201">
        <v>808.04998780000005</v>
      </c>
      <c r="O1201">
        <f t="shared" si="204"/>
        <v>8.9904631571047222E-3</v>
      </c>
      <c r="P1201">
        <v>165.1499939</v>
      </c>
      <c r="Q1201">
        <f t="shared" si="205"/>
        <v>-3.319269826733473E-3</v>
      </c>
      <c r="R1201">
        <v>490.5499878</v>
      </c>
      <c r="S1201">
        <f t="shared" si="206"/>
        <v>2.5289947312075789E-2</v>
      </c>
      <c r="T1201">
        <v>4095.4499510000001</v>
      </c>
      <c r="U1201">
        <f t="shared" si="207"/>
        <v>1.4905930480908269E-2</v>
      </c>
      <c r="W1201">
        <f t="shared" si="208"/>
        <v>7.9653400530305795E-3</v>
      </c>
      <c r="X1201">
        <v>4.4711006128109968E-3</v>
      </c>
    </row>
    <row r="1202" spans="1:24" x14ac:dyDescent="0.35">
      <c r="A1202" s="1">
        <v>44588</v>
      </c>
      <c r="B1202">
        <v>2158.0654300000001</v>
      </c>
      <c r="C1202">
        <f t="shared" si="198"/>
        <v>-1.4810987999244518E-2</v>
      </c>
      <c r="D1202">
        <v>3649.25</v>
      </c>
      <c r="E1202">
        <f t="shared" si="199"/>
        <v>-3.2003476255693997E-2</v>
      </c>
      <c r="F1202">
        <v>1474.9499510000001</v>
      </c>
      <c r="G1202">
        <f t="shared" si="200"/>
        <v>-8.8035331935262251E-3</v>
      </c>
      <c r="H1202">
        <v>707.25</v>
      </c>
      <c r="I1202">
        <f t="shared" si="201"/>
        <v>-6.462001485808555E-3</v>
      </c>
      <c r="J1202">
        <v>1678.599976</v>
      </c>
      <c r="K1202">
        <f t="shared" si="202"/>
        <v>-2.5288184765022592E-2</v>
      </c>
      <c r="L1202">
        <v>214.6000061</v>
      </c>
      <c r="M1202">
        <f t="shared" si="203"/>
        <v>1.3999206517043561E-3</v>
      </c>
      <c r="N1202">
        <v>812.09997559999999</v>
      </c>
      <c r="O1202">
        <f t="shared" si="204"/>
        <v>5.0120510626161519E-3</v>
      </c>
      <c r="P1202">
        <v>165.6999969</v>
      </c>
      <c r="Q1202">
        <f t="shared" si="205"/>
        <v>3.3303240709354753E-3</v>
      </c>
      <c r="R1202">
        <v>494.39999390000003</v>
      </c>
      <c r="S1202">
        <f t="shared" si="206"/>
        <v>7.8483461334213356E-3</v>
      </c>
      <c r="T1202">
        <v>4063.3000489999999</v>
      </c>
      <c r="U1202">
        <f t="shared" si="207"/>
        <v>-7.8501513593518535E-3</v>
      </c>
      <c r="W1202">
        <f t="shared" si="208"/>
        <v>-7.7627693139970429E-3</v>
      </c>
      <c r="X1202">
        <v>4.4805804355205429E-3</v>
      </c>
    </row>
    <row r="1203" spans="1:24" x14ac:dyDescent="0.35">
      <c r="A1203" s="1">
        <v>44589</v>
      </c>
      <c r="B1203">
        <v>2155.9887699999999</v>
      </c>
      <c r="C1203">
        <f t="shared" si="198"/>
        <v>-9.6227851627284089E-4</v>
      </c>
      <c r="D1203">
        <v>3690.0500489999999</v>
      </c>
      <c r="E1203">
        <f t="shared" si="199"/>
        <v>1.1180392957456986E-2</v>
      </c>
      <c r="F1203">
        <v>1463.25</v>
      </c>
      <c r="G1203">
        <f t="shared" si="200"/>
        <v>-7.9324393292583562E-3</v>
      </c>
      <c r="H1203">
        <v>715.79998780000005</v>
      </c>
      <c r="I1203">
        <f t="shared" si="201"/>
        <v>1.2089060162601806E-2</v>
      </c>
      <c r="J1203">
        <v>1686.1999510000001</v>
      </c>
      <c r="K1203">
        <f t="shared" si="202"/>
        <v>4.5275676806038057E-3</v>
      </c>
      <c r="L1203">
        <v>217.6000061</v>
      </c>
      <c r="M1203">
        <f t="shared" si="203"/>
        <v>1.3979496340750464E-2</v>
      </c>
      <c r="N1203">
        <v>827.34997559999999</v>
      </c>
      <c r="O1203">
        <f t="shared" si="204"/>
        <v>1.8778476121407151E-2</v>
      </c>
      <c r="P1203">
        <v>168.8000031</v>
      </c>
      <c r="Q1203">
        <f t="shared" si="205"/>
        <v>1.8708547121282448E-2</v>
      </c>
      <c r="R1203">
        <v>497.2999878</v>
      </c>
      <c r="S1203">
        <f t="shared" si="206"/>
        <v>5.8656835270642915E-3</v>
      </c>
      <c r="T1203">
        <v>4076</v>
      </c>
      <c r="U1203">
        <f t="shared" si="207"/>
        <v>3.1255262586689092E-3</v>
      </c>
      <c r="W1203">
        <f t="shared" si="208"/>
        <v>7.936003232430466E-3</v>
      </c>
      <c r="X1203">
        <v>4.4913870806271294E-3</v>
      </c>
    </row>
    <row r="1204" spans="1:24" x14ac:dyDescent="0.35">
      <c r="A1204" s="1">
        <v>44592</v>
      </c>
      <c r="B1204">
        <v>2202.8310550000001</v>
      </c>
      <c r="C1204">
        <f t="shared" si="198"/>
        <v>2.1726590440450222E-2</v>
      </c>
      <c r="D1204">
        <v>3736.25</v>
      </c>
      <c r="E1204">
        <f t="shared" si="199"/>
        <v>1.2520142108240595E-2</v>
      </c>
      <c r="F1204">
        <v>1485.6999510000001</v>
      </c>
      <c r="G1204">
        <f t="shared" si="200"/>
        <v>1.5342525884161962E-2</v>
      </c>
      <c r="H1204">
        <v>729.29998780000005</v>
      </c>
      <c r="I1204">
        <f t="shared" si="201"/>
        <v>1.886001708590701E-2</v>
      </c>
      <c r="J1204">
        <v>1736.1999510000001</v>
      </c>
      <c r="K1204">
        <f t="shared" si="202"/>
        <v>2.965247387793335E-2</v>
      </c>
      <c r="L1204">
        <v>220.1999969</v>
      </c>
      <c r="M1204">
        <f t="shared" si="203"/>
        <v>1.1948486797400015E-2</v>
      </c>
      <c r="N1204">
        <v>834.5</v>
      </c>
      <c r="O1204">
        <f t="shared" si="204"/>
        <v>8.6420796650350518E-3</v>
      </c>
      <c r="P1204">
        <v>172.6000061</v>
      </c>
      <c r="Q1204">
        <f t="shared" si="205"/>
        <v>2.2511865700315381E-2</v>
      </c>
      <c r="R1204">
        <v>517.75</v>
      </c>
      <c r="S1204">
        <f t="shared" si="206"/>
        <v>4.1122084660545788E-2</v>
      </c>
      <c r="T1204">
        <v>4114.3500979999999</v>
      </c>
      <c r="U1204">
        <f t="shared" si="207"/>
        <v>9.408758096172587E-3</v>
      </c>
      <c r="W1204">
        <f t="shared" si="208"/>
        <v>1.9173502431616196E-2</v>
      </c>
      <c r="X1204">
        <v>4.4947201372361736E-3</v>
      </c>
    </row>
    <row r="1205" spans="1:24" x14ac:dyDescent="0.35">
      <c r="A1205" s="1">
        <v>44593</v>
      </c>
      <c r="B1205">
        <v>2195.539307</v>
      </c>
      <c r="C1205">
        <f t="shared" si="198"/>
        <v>-3.3101712378029724E-3</v>
      </c>
      <c r="D1205">
        <v>3800.6499020000001</v>
      </c>
      <c r="E1205">
        <f t="shared" si="199"/>
        <v>1.723650772833718E-2</v>
      </c>
      <c r="F1205">
        <v>1497</v>
      </c>
      <c r="G1205">
        <f t="shared" si="200"/>
        <v>7.6058755958052782E-3</v>
      </c>
      <c r="H1205">
        <v>723.04998780000005</v>
      </c>
      <c r="I1205">
        <f t="shared" si="201"/>
        <v>-8.5698616543977701E-3</v>
      </c>
      <c r="J1205">
        <v>1772.0500489999999</v>
      </c>
      <c r="K1205">
        <f t="shared" si="202"/>
        <v>2.0648599822475022E-2</v>
      </c>
      <c r="L1205">
        <v>227.75</v>
      </c>
      <c r="M1205">
        <f t="shared" si="203"/>
        <v>3.4287026368255091E-2</v>
      </c>
      <c r="N1205">
        <v>891.75</v>
      </c>
      <c r="O1205">
        <f t="shared" si="204"/>
        <v>6.8603954463750672E-2</v>
      </c>
      <c r="P1205">
        <v>170.9499969</v>
      </c>
      <c r="Q1205">
        <f t="shared" si="205"/>
        <v>-9.5597285149806588E-3</v>
      </c>
      <c r="R1205">
        <v>504.2999878</v>
      </c>
      <c r="S1205">
        <f t="shared" si="206"/>
        <v>-2.5977812071463102E-2</v>
      </c>
      <c r="T1205">
        <v>4225.6000979999999</v>
      </c>
      <c r="U1205">
        <f t="shared" si="207"/>
        <v>2.7039507419186037E-2</v>
      </c>
      <c r="W1205">
        <f t="shared" si="208"/>
        <v>1.2800389791916479E-2</v>
      </c>
      <c r="X1205">
        <v>4.5028876597551278E-3</v>
      </c>
    </row>
    <row r="1206" spans="1:24" x14ac:dyDescent="0.35">
      <c r="A1206" s="1">
        <v>44594</v>
      </c>
      <c r="B1206">
        <v>2200.0158689999998</v>
      </c>
      <c r="C1206">
        <f t="shared" si="198"/>
        <v>2.0389350287317587E-3</v>
      </c>
      <c r="D1206">
        <v>3856.1999510000001</v>
      </c>
      <c r="E1206">
        <f t="shared" si="199"/>
        <v>1.4615934230292504E-2</v>
      </c>
      <c r="F1206">
        <v>1531.1999510000001</v>
      </c>
      <c r="G1206">
        <f t="shared" si="200"/>
        <v>2.2845658650634704E-2</v>
      </c>
      <c r="H1206">
        <v>725.04998780000005</v>
      </c>
      <c r="I1206">
        <f t="shared" si="201"/>
        <v>2.7660604850923143E-3</v>
      </c>
      <c r="J1206">
        <v>1787.099976</v>
      </c>
      <c r="K1206">
        <f t="shared" si="202"/>
        <v>8.4929469167605021E-3</v>
      </c>
      <c r="L1206">
        <v>232.1499939</v>
      </c>
      <c r="M1206">
        <f t="shared" si="203"/>
        <v>1.9319402414928577E-2</v>
      </c>
      <c r="N1206">
        <v>890.65002440000001</v>
      </c>
      <c r="O1206">
        <f t="shared" si="204"/>
        <v>-1.2335022147462738E-3</v>
      </c>
      <c r="P1206">
        <v>171.3000031</v>
      </c>
      <c r="Q1206">
        <f t="shared" si="205"/>
        <v>2.0474185805614553E-3</v>
      </c>
      <c r="R1206">
        <v>506.39999390000003</v>
      </c>
      <c r="S1206">
        <f t="shared" si="206"/>
        <v>4.1642001800581419E-3</v>
      </c>
      <c r="T1206">
        <v>4236.6499020000001</v>
      </c>
      <c r="U1206">
        <f t="shared" si="207"/>
        <v>2.6149668079642474E-3</v>
      </c>
      <c r="W1206">
        <f t="shared" si="208"/>
        <v>7.7672021080277941E-3</v>
      </c>
      <c r="X1206">
        <v>4.5147982893664288E-3</v>
      </c>
    </row>
    <row r="1207" spans="1:24" x14ac:dyDescent="0.35">
      <c r="A1207" s="1">
        <v>44595</v>
      </c>
      <c r="B1207">
        <v>2171.5874020000001</v>
      </c>
      <c r="C1207">
        <f t="shared" si="198"/>
        <v>-1.292193724626256E-2</v>
      </c>
      <c r="D1207">
        <v>3824.6000979999999</v>
      </c>
      <c r="E1207">
        <f t="shared" si="199"/>
        <v>-8.1945576996871328E-3</v>
      </c>
      <c r="F1207">
        <v>1515.349976</v>
      </c>
      <c r="G1207">
        <f t="shared" si="200"/>
        <v>-1.0351342415893305E-2</v>
      </c>
      <c r="H1207">
        <v>721.65002440000001</v>
      </c>
      <c r="I1207">
        <f t="shared" si="201"/>
        <v>-4.6892813698493629E-3</v>
      </c>
      <c r="J1207">
        <v>1738.5500489999999</v>
      </c>
      <c r="K1207">
        <f t="shared" si="202"/>
        <v>-2.7166877987804372E-2</v>
      </c>
      <c r="L1207">
        <v>234.4499969</v>
      </c>
      <c r="M1207">
        <f t="shared" si="203"/>
        <v>9.9074006480084353E-3</v>
      </c>
      <c r="N1207">
        <v>883.54998780000005</v>
      </c>
      <c r="O1207">
        <f t="shared" si="204"/>
        <v>-7.9717469325653045E-3</v>
      </c>
      <c r="P1207">
        <v>167.5</v>
      </c>
      <c r="Q1207">
        <f t="shared" si="205"/>
        <v>-2.2183321840231751E-2</v>
      </c>
      <c r="R1207">
        <v>504.5</v>
      </c>
      <c r="S1207">
        <f t="shared" si="206"/>
        <v>-3.7519627229206653E-3</v>
      </c>
      <c r="T1207">
        <v>4140</v>
      </c>
      <c r="U1207">
        <f t="shared" si="207"/>
        <v>-2.2812813009253974E-2</v>
      </c>
      <c r="W1207">
        <f t="shared" si="208"/>
        <v>-1.1013644057645999E-2</v>
      </c>
      <c r="X1207">
        <v>4.5285288908566207E-3</v>
      </c>
    </row>
    <row r="1208" spans="1:24" x14ac:dyDescent="0.35">
      <c r="A1208" s="1">
        <v>44596</v>
      </c>
      <c r="B1208">
        <v>2151.7890630000002</v>
      </c>
      <c r="C1208">
        <f t="shared" si="198"/>
        <v>-9.1169892502442895E-3</v>
      </c>
      <c r="D1208">
        <v>3814.8999020000001</v>
      </c>
      <c r="E1208">
        <f t="shared" si="199"/>
        <v>-2.5362641195015856E-3</v>
      </c>
      <c r="F1208">
        <v>1524</v>
      </c>
      <c r="G1208">
        <f t="shared" si="200"/>
        <v>5.7082681472917507E-3</v>
      </c>
      <c r="H1208">
        <v>720.20001219999995</v>
      </c>
      <c r="I1208">
        <f t="shared" si="201"/>
        <v>-2.009301116847606E-3</v>
      </c>
      <c r="J1208">
        <v>1741.099976</v>
      </c>
      <c r="K1208">
        <f t="shared" si="202"/>
        <v>1.4666974939643307E-3</v>
      </c>
      <c r="L1208">
        <v>234.3000031</v>
      </c>
      <c r="M1208">
        <f t="shared" si="203"/>
        <v>-6.3976882910332655E-4</v>
      </c>
      <c r="N1208">
        <v>893.95001219999995</v>
      </c>
      <c r="O1208">
        <f t="shared" si="204"/>
        <v>1.177072553177827E-2</v>
      </c>
      <c r="P1208">
        <v>169.6000061</v>
      </c>
      <c r="Q1208">
        <f t="shared" si="205"/>
        <v>1.2537349850746171E-2</v>
      </c>
      <c r="R1208">
        <v>500.60000609999997</v>
      </c>
      <c r="S1208">
        <f t="shared" si="206"/>
        <v>-7.730414073339964E-3</v>
      </c>
      <c r="T1208">
        <v>4081.8999020000001</v>
      </c>
      <c r="U1208">
        <f t="shared" si="207"/>
        <v>-1.4033840096618344E-2</v>
      </c>
      <c r="W1208">
        <f t="shared" si="208"/>
        <v>-4.5835364618745922E-4</v>
      </c>
      <c r="X1208">
        <v>4.532497608348075E-3</v>
      </c>
    </row>
    <row r="1209" spans="1:24" x14ac:dyDescent="0.35">
      <c r="A1209" s="1">
        <v>44599</v>
      </c>
      <c r="B1209">
        <v>2138.6826169999999</v>
      </c>
      <c r="C1209">
        <f t="shared" si="198"/>
        <v>-6.0909529773923721E-3</v>
      </c>
      <c r="D1209">
        <v>3779</v>
      </c>
      <c r="E1209">
        <f t="shared" si="199"/>
        <v>-9.4104440279492163E-3</v>
      </c>
      <c r="F1209">
        <v>1468.150024</v>
      </c>
      <c r="G1209">
        <f t="shared" si="200"/>
        <v>-3.6646965879265081E-2</v>
      </c>
      <c r="H1209">
        <v>706.5</v>
      </c>
      <c r="I1209">
        <f t="shared" si="201"/>
        <v>-1.9022510369238188E-2</v>
      </c>
      <c r="J1209">
        <v>1715</v>
      </c>
      <c r="K1209">
        <f t="shared" si="202"/>
        <v>-1.4990509654685069E-2</v>
      </c>
      <c r="L1209">
        <v>230.1999969</v>
      </c>
      <c r="M1209">
        <f t="shared" si="203"/>
        <v>-1.7498959222164823E-2</v>
      </c>
      <c r="N1209">
        <v>887.04998780000005</v>
      </c>
      <c r="O1209">
        <f t="shared" si="204"/>
        <v>-7.7185796810036456E-3</v>
      </c>
      <c r="P1209">
        <v>172.1000061</v>
      </c>
      <c r="Q1209">
        <f t="shared" si="205"/>
        <v>1.4740565507562309E-2</v>
      </c>
      <c r="R1209">
        <v>494.60000609999997</v>
      </c>
      <c r="S1209">
        <f t="shared" si="206"/>
        <v>-1.1985617113239533E-2</v>
      </c>
      <c r="T1209">
        <v>4073.5500489999999</v>
      </c>
      <c r="U1209">
        <f t="shared" si="207"/>
        <v>-2.0455800486212095E-3</v>
      </c>
      <c r="W1209">
        <f t="shared" si="208"/>
        <v>-1.1066955346599685E-2</v>
      </c>
      <c r="X1209">
        <v>4.5392104441110076E-3</v>
      </c>
    </row>
    <row r="1210" spans="1:24" x14ac:dyDescent="0.35">
      <c r="A1210" s="1">
        <v>44600</v>
      </c>
      <c r="B1210">
        <v>2174.6333009999998</v>
      </c>
      <c r="C1210">
        <f t="shared" si="198"/>
        <v>1.6809733110576763E-2</v>
      </c>
      <c r="D1210">
        <v>3743.4499510000001</v>
      </c>
      <c r="E1210">
        <f t="shared" si="199"/>
        <v>-9.4072635617887812E-3</v>
      </c>
      <c r="F1210">
        <v>1461.849976</v>
      </c>
      <c r="G1210">
        <f t="shared" si="200"/>
        <v>-4.2911472921789429E-3</v>
      </c>
      <c r="H1210">
        <v>708.90002440000001</v>
      </c>
      <c r="I1210">
        <f t="shared" si="201"/>
        <v>3.3970621372965137E-3</v>
      </c>
      <c r="J1210">
        <v>1717.3000489999999</v>
      </c>
      <c r="K1210">
        <f t="shared" si="202"/>
        <v>1.3411364431485939E-3</v>
      </c>
      <c r="L1210">
        <v>231.25</v>
      </c>
      <c r="M1210">
        <f t="shared" si="203"/>
        <v>4.5612646139874258E-3</v>
      </c>
      <c r="N1210">
        <v>894.09997559999999</v>
      </c>
      <c r="O1210">
        <f t="shared" si="204"/>
        <v>7.9476781432405996E-3</v>
      </c>
      <c r="P1210">
        <v>166.9499969</v>
      </c>
      <c r="Q1210">
        <f t="shared" si="205"/>
        <v>-2.9924514918422185E-2</v>
      </c>
      <c r="R1210">
        <v>492.75</v>
      </c>
      <c r="S1210">
        <f t="shared" si="206"/>
        <v>-3.7404085668893972E-3</v>
      </c>
      <c r="T1210">
        <v>4015</v>
      </c>
      <c r="U1210">
        <f t="shared" si="207"/>
        <v>-1.4373224410087482E-2</v>
      </c>
      <c r="W1210">
        <f t="shared" si="208"/>
        <v>-2.7679684301116893E-3</v>
      </c>
      <c r="X1210">
        <v>4.5447256573470486E-3</v>
      </c>
    </row>
    <row r="1211" spans="1:24" x14ac:dyDescent="0.35">
      <c r="A1211" s="1">
        <v>44601</v>
      </c>
      <c r="B1211">
        <v>2199.9697270000001</v>
      </c>
      <c r="C1211">
        <f t="shared" si="198"/>
        <v>1.1650895803144934E-2</v>
      </c>
      <c r="D1211">
        <v>3760.5500489999999</v>
      </c>
      <c r="E1211">
        <f t="shared" si="199"/>
        <v>4.5680049750449481E-3</v>
      </c>
      <c r="F1211">
        <v>1497.599976</v>
      </c>
      <c r="G1211">
        <f t="shared" si="200"/>
        <v>2.4455313874151008E-2</v>
      </c>
      <c r="H1211">
        <v>719.34997559999999</v>
      </c>
      <c r="I1211">
        <f t="shared" si="201"/>
        <v>1.4741078911437056E-2</v>
      </c>
      <c r="J1211">
        <v>1737.3000489999999</v>
      </c>
      <c r="K1211">
        <f t="shared" si="202"/>
        <v>1.1646188452417716E-2</v>
      </c>
      <c r="L1211">
        <v>230.1499939</v>
      </c>
      <c r="M1211">
        <f t="shared" si="203"/>
        <v>-4.7567831351351675E-3</v>
      </c>
      <c r="N1211">
        <v>886.45001219999995</v>
      </c>
      <c r="O1211">
        <f t="shared" si="204"/>
        <v>-8.5560492213037076E-3</v>
      </c>
      <c r="P1211">
        <v>163.9499969</v>
      </c>
      <c r="Q1211">
        <f t="shared" si="205"/>
        <v>-1.7969452265380714E-2</v>
      </c>
      <c r="R1211">
        <v>501.25</v>
      </c>
      <c r="S1211">
        <f t="shared" si="206"/>
        <v>1.7250126839168045E-2</v>
      </c>
      <c r="T1211">
        <v>4002.1000979999999</v>
      </c>
      <c r="U1211">
        <f t="shared" si="207"/>
        <v>-3.2129270236612717E-3</v>
      </c>
      <c r="W1211">
        <f t="shared" si="208"/>
        <v>4.9816397209882851E-3</v>
      </c>
      <c r="X1211">
        <v>4.5637923183138966E-3</v>
      </c>
    </row>
    <row r="1212" spans="1:24" x14ac:dyDescent="0.35">
      <c r="A1212" s="1">
        <v>44602</v>
      </c>
      <c r="B1212">
        <v>2197.7084960000002</v>
      </c>
      <c r="C1212">
        <f t="shared" si="198"/>
        <v>-1.0278464163611112E-3</v>
      </c>
      <c r="D1212">
        <v>3770.3500979999999</v>
      </c>
      <c r="E1212">
        <f t="shared" si="199"/>
        <v>2.6060147777067222E-3</v>
      </c>
      <c r="F1212">
        <v>1525.099976</v>
      </c>
      <c r="G1212">
        <f t="shared" si="200"/>
        <v>1.8362713969487965E-2</v>
      </c>
      <c r="H1212">
        <v>724.04998780000005</v>
      </c>
      <c r="I1212">
        <f t="shared" si="201"/>
        <v>6.5336934168653826E-3</v>
      </c>
      <c r="J1212">
        <v>1769.599976</v>
      </c>
      <c r="K1212">
        <f t="shared" si="202"/>
        <v>1.8592025608122231E-2</v>
      </c>
      <c r="L1212">
        <v>232.25</v>
      </c>
      <c r="M1212">
        <f t="shared" si="203"/>
        <v>9.1245107784467816E-3</v>
      </c>
      <c r="N1212">
        <v>894.29998780000005</v>
      </c>
      <c r="O1212">
        <f t="shared" si="204"/>
        <v>8.8555197608017888E-3</v>
      </c>
      <c r="P1212">
        <v>169.1000061</v>
      </c>
      <c r="Q1212">
        <f t="shared" si="205"/>
        <v>3.1412072567108318E-2</v>
      </c>
      <c r="R1212">
        <v>507.4500122</v>
      </c>
      <c r="S1212">
        <f t="shared" si="206"/>
        <v>1.2369101645885339E-2</v>
      </c>
      <c r="T1212">
        <v>4162.7001950000003</v>
      </c>
      <c r="U1212">
        <f t="shared" si="207"/>
        <v>4.0128955565168933E-2</v>
      </c>
      <c r="W1212">
        <f t="shared" si="208"/>
        <v>1.4695676167323236E-2</v>
      </c>
      <c r="X1212">
        <v>4.5701893544796927E-3</v>
      </c>
    </row>
    <row r="1213" spans="1:24" x14ac:dyDescent="0.35">
      <c r="A1213" s="1">
        <v>44603</v>
      </c>
      <c r="B1213">
        <v>2193.4165039999998</v>
      </c>
      <c r="C1213">
        <f t="shared" si="198"/>
        <v>-1.9529396222529583E-3</v>
      </c>
      <c r="D1213">
        <v>3694.9499510000001</v>
      </c>
      <c r="E1213">
        <f t="shared" si="199"/>
        <v>-1.9998181877061261E-2</v>
      </c>
      <c r="F1213">
        <v>1518.849976</v>
      </c>
      <c r="G1213">
        <f t="shared" si="200"/>
        <v>-4.098091992888464E-3</v>
      </c>
      <c r="H1213">
        <v>715.15002440000001</v>
      </c>
      <c r="I1213">
        <f t="shared" si="201"/>
        <v>-1.2291918444805594E-2</v>
      </c>
      <c r="J1213">
        <v>1721.349976</v>
      </c>
      <c r="K1213">
        <f t="shared" si="202"/>
        <v>-2.72660491943858E-2</v>
      </c>
      <c r="L1213">
        <v>232.4499969</v>
      </c>
      <c r="M1213">
        <f t="shared" si="203"/>
        <v>8.6112766415502584E-4</v>
      </c>
      <c r="N1213">
        <v>880.09997559999999</v>
      </c>
      <c r="O1213">
        <f t="shared" si="204"/>
        <v>-1.5878354460154287E-2</v>
      </c>
      <c r="P1213">
        <v>168.1499939</v>
      </c>
      <c r="Q1213">
        <f t="shared" si="205"/>
        <v>-5.6180494720869945E-3</v>
      </c>
      <c r="R1213">
        <v>498.85000609999997</v>
      </c>
      <c r="S1213">
        <f t="shared" si="206"/>
        <v>-1.6947494124033069E-2</v>
      </c>
      <c r="T1213">
        <v>4142.25</v>
      </c>
      <c r="U1213">
        <f t="shared" si="207"/>
        <v>-4.912723482840331E-3</v>
      </c>
      <c r="W1213">
        <f t="shared" si="208"/>
        <v>-1.0810267500635372E-2</v>
      </c>
      <c r="X1213">
        <v>4.5767035598437648E-3</v>
      </c>
    </row>
    <row r="1214" spans="1:24" x14ac:dyDescent="0.35">
      <c r="A1214" s="1">
        <v>44606</v>
      </c>
      <c r="B1214">
        <v>2158.4809570000002</v>
      </c>
      <c r="C1214">
        <f t="shared" si="198"/>
        <v>-1.5927456976953414E-2</v>
      </c>
      <c r="D1214">
        <v>3733.75</v>
      </c>
      <c r="E1214">
        <f t="shared" si="199"/>
        <v>1.0500832085560186E-2</v>
      </c>
      <c r="F1214">
        <v>1473.6999510000001</v>
      </c>
      <c r="G1214">
        <f t="shared" si="200"/>
        <v>-2.9726454694956606E-2</v>
      </c>
      <c r="H1214">
        <v>689.70001219999995</v>
      </c>
      <c r="I1214">
        <f t="shared" si="201"/>
        <v>-3.5586955648015617E-2</v>
      </c>
      <c r="J1214">
        <v>1682.1999510000001</v>
      </c>
      <c r="K1214">
        <f t="shared" si="202"/>
        <v>-2.2743791527493507E-2</v>
      </c>
      <c r="L1214">
        <v>219.4499969</v>
      </c>
      <c r="M1214">
        <f t="shared" si="203"/>
        <v>-5.5926006338441026E-2</v>
      </c>
      <c r="N1214">
        <v>864.84997559999999</v>
      </c>
      <c r="O1214">
        <f t="shared" si="204"/>
        <v>-1.7327576892163243E-2</v>
      </c>
      <c r="P1214">
        <v>166.1999969</v>
      </c>
      <c r="Q1214">
        <f t="shared" si="205"/>
        <v>-1.1596771161107911E-2</v>
      </c>
      <c r="R1214">
        <v>471.4500122</v>
      </c>
      <c r="S1214">
        <f t="shared" si="206"/>
        <v>-5.4926317660518031E-2</v>
      </c>
      <c r="T1214">
        <v>3979.75</v>
      </c>
      <c r="U1214">
        <f t="shared" si="207"/>
        <v>-3.9229887138632402E-2</v>
      </c>
      <c r="W1214">
        <f t="shared" si="208"/>
        <v>-2.7249038595272161E-2</v>
      </c>
      <c r="X1214">
        <v>4.6100700827482856E-3</v>
      </c>
    </row>
    <row r="1215" spans="1:24" x14ac:dyDescent="0.35">
      <c r="A1215" s="1">
        <v>44607</v>
      </c>
      <c r="B1215">
        <v>2231.7670899999998</v>
      </c>
      <c r="C1215">
        <f t="shared" si="198"/>
        <v>3.3952642835384239E-2</v>
      </c>
      <c r="D1215">
        <v>3817.8000489999999</v>
      </c>
      <c r="E1215">
        <f t="shared" si="199"/>
        <v>2.2510893605624416E-2</v>
      </c>
      <c r="F1215">
        <v>1517.8000489999999</v>
      </c>
      <c r="G1215">
        <f t="shared" si="200"/>
        <v>2.992474687270974E-2</v>
      </c>
      <c r="H1215">
        <v>711.54998780000005</v>
      </c>
      <c r="I1215">
        <f t="shared" si="201"/>
        <v>3.1680404833259734E-2</v>
      </c>
      <c r="J1215">
        <v>1738.25</v>
      </c>
      <c r="K1215">
        <f t="shared" si="202"/>
        <v>3.3319492707558629E-2</v>
      </c>
      <c r="L1215">
        <v>223</v>
      </c>
      <c r="M1215">
        <f t="shared" si="203"/>
        <v>1.6176820005231907E-2</v>
      </c>
      <c r="N1215">
        <v>876.79998780000005</v>
      </c>
      <c r="O1215">
        <f t="shared" si="204"/>
        <v>1.3817439483315708E-2</v>
      </c>
      <c r="P1215">
        <v>164.1499939</v>
      </c>
      <c r="Q1215">
        <f t="shared" si="205"/>
        <v>-1.2334554983376211E-2</v>
      </c>
      <c r="R1215">
        <v>504</v>
      </c>
      <c r="S1215">
        <f t="shared" si="206"/>
        <v>6.9042288594090673E-2</v>
      </c>
      <c r="T1215">
        <v>4081.75</v>
      </c>
      <c r="U1215">
        <f t="shared" si="207"/>
        <v>2.5629750612475632E-2</v>
      </c>
      <c r="W1215">
        <f t="shared" si="208"/>
        <v>2.6371992456627448E-2</v>
      </c>
      <c r="X1215">
        <v>4.6112507824622173E-3</v>
      </c>
    </row>
    <row r="1216" spans="1:24" x14ac:dyDescent="0.35">
      <c r="A1216" s="1">
        <v>44608</v>
      </c>
      <c r="B1216">
        <v>2227.1520999999998</v>
      </c>
      <c r="C1216">
        <f t="shared" si="198"/>
        <v>-2.067863631773581E-3</v>
      </c>
      <c r="D1216">
        <v>3813.1000979999999</v>
      </c>
      <c r="E1216">
        <f t="shared" si="199"/>
        <v>-1.2310626380842571E-3</v>
      </c>
      <c r="F1216">
        <v>1515.75</v>
      </c>
      <c r="G1216">
        <f t="shared" si="200"/>
        <v>-1.3506713228469414E-3</v>
      </c>
      <c r="H1216">
        <v>721.79998780000005</v>
      </c>
      <c r="I1216">
        <f t="shared" si="201"/>
        <v>1.4405172055011128E-2</v>
      </c>
      <c r="J1216">
        <v>1733.3000489999999</v>
      </c>
      <c r="K1216">
        <f t="shared" si="202"/>
        <v>-2.8476634546239499E-3</v>
      </c>
      <c r="L1216">
        <v>222.75</v>
      </c>
      <c r="M1216">
        <f t="shared" si="203"/>
        <v>-1.1210762331838042E-3</v>
      </c>
      <c r="N1216">
        <v>868.84997559999999</v>
      </c>
      <c r="O1216">
        <f t="shared" si="204"/>
        <v>-9.0670760841906617E-3</v>
      </c>
      <c r="P1216">
        <v>168.5500031</v>
      </c>
      <c r="Q1216">
        <f t="shared" si="205"/>
        <v>2.680480879384306E-2</v>
      </c>
      <c r="R1216">
        <v>498.4500122</v>
      </c>
      <c r="S1216">
        <f t="shared" si="206"/>
        <v>-1.1011880555555575E-2</v>
      </c>
      <c r="T1216">
        <v>4051.1499020000001</v>
      </c>
      <c r="U1216">
        <f t="shared" si="207"/>
        <v>-7.496808476756267E-3</v>
      </c>
      <c r="W1216">
        <f t="shared" si="208"/>
        <v>5.0158784518391521E-4</v>
      </c>
      <c r="X1216">
        <v>4.6466711480631752E-3</v>
      </c>
    </row>
    <row r="1217" spans="1:24" x14ac:dyDescent="0.35">
      <c r="A1217" s="1">
        <v>44609</v>
      </c>
      <c r="B1217">
        <v>2255.3496089999999</v>
      </c>
      <c r="C1217">
        <f t="shared" si="198"/>
        <v>1.2660791779780078E-2</v>
      </c>
      <c r="D1217">
        <v>3784.1999510000001</v>
      </c>
      <c r="E1217">
        <f t="shared" si="199"/>
        <v>-7.5791734434557112E-3</v>
      </c>
      <c r="F1217">
        <v>1506.5</v>
      </c>
      <c r="G1217">
        <f t="shared" si="200"/>
        <v>-6.1025894771564726E-3</v>
      </c>
      <c r="H1217">
        <v>717</v>
      </c>
      <c r="I1217">
        <f t="shared" si="201"/>
        <v>-6.6500247729708306E-3</v>
      </c>
      <c r="J1217">
        <v>1724.8000489999999</v>
      </c>
      <c r="K1217">
        <f t="shared" si="202"/>
        <v>-4.9039403217602251E-3</v>
      </c>
      <c r="L1217">
        <v>222.6499939</v>
      </c>
      <c r="M1217">
        <f t="shared" si="203"/>
        <v>-4.4896116722781265E-4</v>
      </c>
      <c r="N1217">
        <v>862.54998780000005</v>
      </c>
      <c r="O1217">
        <f t="shared" si="204"/>
        <v>-7.2509500799022852E-3</v>
      </c>
      <c r="P1217">
        <v>171.75</v>
      </c>
      <c r="Q1217">
        <f t="shared" si="205"/>
        <v>1.8985445512578636E-2</v>
      </c>
      <c r="R1217">
        <v>499.9500122</v>
      </c>
      <c r="S1217">
        <f t="shared" si="206"/>
        <v>3.0093288459949186E-3</v>
      </c>
      <c r="T1217">
        <v>4115.3999020000001</v>
      </c>
      <c r="U1217">
        <f t="shared" si="207"/>
        <v>1.5859694544573699E-2</v>
      </c>
      <c r="W1217">
        <f t="shared" si="208"/>
        <v>1.7579621420453996E-3</v>
      </c>
      <c r="X1217">
        <v>4.6469300837856942E-3</v>
      </c>
    </row>
    <row r="1218" spans="1:24" x14ac:dyDescent="0.35">
      <c r="A1218" s="1">
        <v>44610</v>
      </c>
      <c r="B1218">
        <v>2237.7204590000001</v>
      </c>
      <c r="C1218">
        <f t="shared" si="198"/>
        <v>-7.8165930149589613E-3</v>
      </c>
      <c r="D1218">
        <v>3793.8999020000001</v>
      </c>
      <c r="E1218">
        <f t="shared" si="199"/>
        <v>2.5632765513452505E-3</v>
      </c>
      <c r="F1218">
        <v>1512.349976</v>
      </c>
      <c r="G1218">
        <f t="shared" si="200"/>
        <v>3.8831569863921889E-3</v>
      </c>
      <c r="H1218">
        <v>712.54998780000005</v>
      </c>
      <c r="I1218">
        <f t="shared" si="201"/>
        <v>-6.2064326359831945E-3</v>
      </c>
      <c r="J1218">
        <v>1706.9499510000001</v>
      </c>
      <c r="K1218">
        <f t="shared" si="202"/>
        <v>-1.0349082498199658E-2</v>
      </c>
      <c r="L1218">
        <v>221.8999939</v>
      </c>
      <c r="M1218">
        <f t="shared" si="203"/>
        <v>-3.3685156997437238E-3</v>
      </c>
      <c r="N1218">
        <v>862.90002440000001</v>
      </c>
      <c r="O1218">
        <f t="shared" si="204"/>
        <v>4.0581601640599096E-4</v>
      </c>
      <c r="P1218">
        <v>167.8999939</v>
      </c>
      <c r="Q1218">
        <f t="shared" si="205"/>
        <v>-2.2416338282387205E-2</v>
      </c>
      <c r="R1218">
        <v>493.14999390000003</v>
      </c>
      <c r="S1218">
        <f t="shared" si="206"/>
        <v>-1.3601396407766697E-2</v>
      </c>
      <c r="T1218">
        <v>4073.1000979999999</v>
      </c>
      <c r="U1218">
        <f t="shared" si="207"/>
        <v>-1.0278418867494143E-2</v>
      </c>
      <c r="W1218">
        <f t="shared" si="208"/>
        <v>-6.7184527852390151E-3</v>
      </c>
      <c r="X1218">
        <v>4.676682158160716E-3</v>
      </c>
    </row>
    <row r="1219" spans="1:24" x14ac:dyDescent="0.35">
      <c r="A1219" s="1">
        <v>44613</v>
      </c>
      <c r="B1219">
        <v>2215.1069339999999</v>
      </c>
      <c r="C1219">
        <f t="shared" si="198"/>
        <v>-1.0105607654901538E-2</v>
      </c>
      <c r="D1219">
        <v>3719.3999020000001</v>
      </c>
      <c r="E1219">
        <f t="shared" si="199"/>
        <v>-1.9636785873218821E-2</v>
      </c>
      <c r="F1219">
        <v>1522.099976</v>
      </c>
      <c r="G1219">
        <f t="shared" si="200"/>
        <v>6.4469204580461792E-3</v>
      </c>
      <c r="H1219">
        <v>709.95001219999995</v>
      </c>
      <c r="I1219">
        <f t="shared" si="201"/>
        <v>-3.6488325654562281E-3</v>
      </c>
      <c r="J1219">
        <v>1730.6999510000001</v>
      </c>
      <c r="K1219">
        <f t="shared" si="202"/>
        <v>1.3913706131855941E-2</v>
      </c>
      <c r="L1219">
        <v>218</v>
      </c>
      <c r="M1219">
        <f t="shared" si="203"/>
        <v>-1.7575457445742626E-2</v>
      </c>
      <c r="N1219">
        <v>843.84997559999999</v>
      </c>
      <c r="O1219">
        <f t="shared" si="204"/>
        <v>-2.2076773973028985E-2</v>
      </c>
      <c r="P1219">
        <v>163.3999939</v>
      </c>
      <c r="Q1219">
        <f t="shared" si="205"/>
        <v>-2.6801668633056441E-2</v>
      </c>
      <c r="R1219">
        <v>494.4500122</v>
      </c>
      <c r="S1219">
        <f t="shared" si="206"/>
        <v>2.6361519133741851E-3</v>
      </c>
      <c r="T1219">
        <v>4096.6000979999999</v>
      </c>
      <c r="U1219">
        <f t="shared" si="207"/>
        <v>5.7695611290129456E-3</v>
      </c>
      <c r="W1219">
        <f t="shared" si="208"/>
        <v>-7.1078786513115392E-3</v>
      </c>
      <c r="X1219">
        <v>4.6976876835386422E-3</v>
      </c>
    </row>
    <row r="1220" spans="1:24" x14ac:dyDescent="0.35">
      <c r="A1220" s="1">
        <v>44614</v>
      </c>
      <c r="B1220">
        <v>2205.046143</v>
      </c>
      <c r="C1220">
        <f t="shared" ref="C1220:C1283" si="209">B1220/B1219 - 1</f>
        <v>-4.5418985628076225E-3</v>
      </c>
      <c r="D1220">
        <v>3586.3999020000001</v>
      </c>
      <c r="E1220">
        <f t="shared" ref="E1220:E1283" si="210">D1220/D1219 - 1</f>
        <v>-3.5758456607068001E-2</v>
      </c>
      <c r="F1220">
        <v>1510.6999510000001</v>
      </c>
      <c r="G1220">
        <f t="shared" ref="G1220:G1283" si="211">F1220/F1219 - 1</f>
        <v>-7.4896689966178487E-3</v>
      </c>
      <c r="H1220">
        <v>699.25</v>
      </c>
      <c r="I1220">
        <f t="shared" ref="I1220:I1283" si="212">H1220/H1219 - 1</f>
        <v>-1.5071500832632756E-2</v>
      </c>
      <c r="J1220">
        <v>1734.349976</v>
      </c>
      <c r="K1220">
        <f t="shared" ref="K1220:K1283" si="213">J1220/J1219 -1</f>
        <v>2.1089877525510836E-3</v>
      </c>
      <c r="L1220">
        <v>214.8500061</v>
      </c>
      <c r="M1220">
        <f t="shared" ref="M1220:M1283" si="214">L1220/L1219 -1</f>
        <v>-1.4449513302752237E-2</v>
      </c>
      <c r="N1220">
        <v>845.79998780000005</v>
      </c>
      <c r="O1220">
        <f t="shared" ref="O1220:O1283" si="215">N1220/N1219-1</f>
        <v>2.3108517584700117E-3</v>
      </c>
      <c r="P1220">
        <v>164.9499969</v>
      </c>
      <c r="Q1220">
        <f t="shared" ref="Q1220:Q1283" si="216">P1220/P1219 -1</f>
        <v>9.4859428265865464E-3</v>
      </c>
      <c r="R1220">
        <v>478.25</v>
      </c>
      <c r="S1220">
        <f t="shared" ref="S1220:S1283" si="217">R1220/R1219 - 1</f>
        <v>-3.2763700678092533E-2</v>
      </c>
      <c r="T1220">
        <v>4157.1000979999999</v>
      </c>
      <c r="U1220">
        <f t="shared" ref="U1220:U1283" si="218">T1220/T1219 - 1</f>
        <v>1.4768344127496613E-2</v>
      </c>
      <c r="W1220">
        <f t="shared" ref="W1220:W1283" si="219">0.1*C1220+0.1*E1220+0.1*G1220+0.1*I1220+0.1*K1220+0.1*M1220+0.1*O1220+0.1*Q1220+0.1*S1220+0.1*U1220</f>
        <v>-8.1400612514866758E-3</v>
      </c>
      <c r="X1220">
        <v>4.6991329365912334E-3</v>
      </c>
    </row>
    <row r="1221" spans="1:24" x14ac:dyDescent="0.35">
      <c r="A1221" s="1">
        <v>44615</v>
      </c>
      <c r="B1221">
        <v>2191.2473140000002</v>
      </c>
      <c r="C1221">
        <f t="shared" si="209"/>
        <v>-6.2578413806916311E-3</v>
      </c>
      <c r="D1221">
        <v>3563.8000489999999</v>
      </c>
      <c r="E1221">
        <f t="shared" si="210"/>
        <v>-6.3015429448893823E-3</v>
      </c>
      <c r="F1221">
        <v>1500.900024</v>
      </c>
      <c r="G1221">
        <f t="shared" si="211"/>
        <v>-6.4870108677193006E-3</v>
      </c>
      <c r="H1221">
        <v>704.40002440000001</v>
      </c>
      <c r="I1221">
        <f t="shared" si="212"/>
        <v>7.3650688594923963E-3</v>
      </c>
      <c r="J1221">
        <v>1742.849976</v>
      </c>
      <c r="K1221">
        <f t="shared" si="213"/>
        <v>4.9009716133556758E-3</v>
      </c>
      <c r="L1221">
        <v>215.9499969</v>
      </c>
      <c r="M1221">
        <f t="shared" si="214"/>
        <v>5.1198080929446554E-3</v>
      </c>
      <c r="N1221">
        <v>840.25</v>
      </c>
      <c r="O1221">
        <f t="shared" si="215"/>
        <v>-6.5618206195959816E-3</v>
      </c>
      <c r="P1221">
        <v>160.75</v>
      </c>
      <c r="Q1221">
        <f t="shared" si="216"/>
        <v>-2.5462242976253102E-2</v>
      </c>
      <c r="R1221">
        <v>477</v>
      </c>
      <c r="S1221">
        <f t="shared" si="217"/>
        <v>-2.613695765812829E-3</v>
      </c>
      <c r="T1221">
        <v>4193.4501950000003</v>
      </c>
      <c r="U1221">
        <f t="shared" si="218"/>
        <v>8.7440995268526223E-3</v>
      </c>
      <c r="W1221">
        <f t="shared" si="219"/>
        <v>-2.7554206462316877E-3</v>
      </c>
      <c r="X1221">
        <v>4.70495527947371E-3</v>
      </c>
    </row>
    <row r="1222" spans="1:24" x14ac:dyDescent="0.35">
      <c r="A1222" s="1">
        <v>44616</v>
      </c>
      <c r="B1222">
        <v>2082.0563959999999</v>
      </c>
      <c r="C1222">
        <f t="shared" si="209"/>
        <v>-4.983048572489901E-2</v>
      </c>
      <c r="D1222">
        <v>3401.6499020000001</v>
      </c>
      <c r="E1222">
        <f t="shared" si="210"/>
        <v>-4.5499226884375576E-2</v>
      </c>
      <c r="F1222">
        <v>1419.400024</v>
      </c>
      <c r="G1222">
        <f t="shared" si="211"/>
        <v>-5.4300752013313303E-2</v>
      </c>
      <c r="H1222">
        <v>670.90002440000001</v>
      </c>
      <c r="I1222">
        <f t="shared" si="212"/>
        <v>-4.7558203917631769E-2</v>
      </c>
      <c r="J1222">
        <v>1678.150024</v>
      </c>
      <c r="K1222">
        <f t="shared" si="213"/>
        <v>-3.7123075933645278E-2</v>
      </c>
      <c r="L1222">
        <v>208.5</v>
      </c>
      <c r="M1222">
        <f t="shared" si="214"/>
        <v>-3.4498712697133671E-2</v>
      </c>
      <c r="N1222">
        <v>818.25</v>
      </c>
      <c r="O1222">
        <f t="shared" si="215"/>
        <v>-2.6182683725081812E-2</v>
      </c>
      <c r="P1222">
        <v>156.6499939</v>
      </c>
      <c r="Q1222">
        <f t="shared" si="216"/>
        <v>-2.5505481181959611E-2</v>
      </c>
      <c r="R1222">
        <v>427.9500122</v>
      </c>
      <c r="S1222">
        <f t="shared" si="217"/>
        <v>-0.10283016310272541</v>
      </c>
      <c r="T1222">
        <v>4014.6499020000001</v>
      </c>
      <c r="U1222">
        <f t="shared" si="218"/>
        <v>-4.263799131636048E-2</v>
      </c>
      <c r="W1222">
        <f t="shared" si="219"/>
        <v>-4.6596677649712592E-2</v>
      </c>
      <c r="X1222">
        <v>4.7100983349044785E-3</v>
      </c>
    </row>
    <row r="1223" spans="1:24" x14ac:dyDescent="0.35">
      <c r="A1223" s="1">
        <v>44617</v>
      </c>
      <c r="B1223">
        <v>2108.0852049999999</v>
      </c>
      <c r="C1223">
        <f t="shared" si="209"/>
        <v>1.2501490857791397E-2</v>
      </c>
      <c r="D1223">
        <v>3520.75</v>
      </c>
      <c r="E1223">
        <f t="shared" si="210"/>
        <v>3.501245026126143E-2</v>
      </c>
      <c r="F1223">
        <v>1456.099976</v>
      </c>
      <c r="G1223">
        <f t="shared" si="211"/>
        <v>2.5855961236759706E-2</v>
      </c>
      <c r="H1223">
        <v>688.65002440000001</v>
      </c>
      <c r="I1223">
        <f t="shared" si="212"/>
        <v>2.6456997100088309E-2</v>
      </c>
      <c r="J1223">
        <v>1694.599976</v>
      </c>
      <c r="K1223">
        <f t="shared" si="213"/>
        <v>9.8024323002958713E-3</v>
      </c>
      <c r="L1223">
        <v>213.9499969</v>
      </c>
      <c r="M1223">
        <f t="shared" si="214"/>
        <v>2.6139073860911299E-2</v>
      </c>
      <c r="N1223">
        <v>831.54998780000005</v>
      </c>
      <c r="O1223">
        <f t="shared" si="215"/>
        <v>1.6254186128933812E-2</v>
      </c>
      <c r="P1223">
        <v>159.5</v>
      </c>
      <c r="Q1223">
        <f t="shared" si="216"/>
        <v>1.819346448120096E-2</v>
      </c>
      <c r="R1223">
        <v>459.75</v>
      </c>
      <c r="S1223">
        <f t="shared" si="217"/>
        <v>7.4307715605668623E-2</v>
      </c>
      <c r="T1223">
        <v>4190.75</v>
      </c>
      <c r="U1223">
        <f t="shared" si="218"/>
        <v>4.386437231108764E-2</v>
      </c>
      <c r="W1223">
        <f t="shared" si="219"/>
        <v>2.8838814414399908E-2</v>
      </c>
      <c r="X1223">
        <v>4.7152035879437174E-3</v>
      </c>
    </row>
    <row r="1224" spans="1:24" x14ac:dyDescent="0.35">
      <c r="A1224" s="1">
        <v>44620</v>
      </c>
      <c r="B1224">
        <v>2177.8637699999999</v>
      </c>
      <c r="C1224">
        <f t="shared" si="209"/>
        <v>3.310044813867008E-2</v>
      </c>
      <c r="D1224">
        <v>3554.1999510000001</v>
      </c>
      <c r="E1224">
        <f t="shared" si="210"/>
        <v>9.5008026698857329E-3</v>
      </c>
      <c r="F1224">
        <v>1426.25</v>
      </c>
      <c r="G1224">
        <f t="shared" si="211"/>
        <v>-2.0499949517202687E-2</v>
      </c>
      <c r="H1224">
        <v>686.5</v>
      </c>
      <c r="I1224">
        <f t="shared" si="212"/>
        <v>-3.1220857094621524E-3</v>
      </c>
      <c r="J1224">
        <v>1715.599976</v>
      </c>
      <c r="K1224">
        <f t="shared" si="213"/>
        <v>1.2392305144231841E-2</v>
      </c>
      <c r="L1224">
        <v>215.8500061</v>
      </c>
      <c r="M1224">
        <f t="shared" si="214"/>
        <v>8.8806227040427732E-3</v>
      </c>
      <c r="N1224">
        <v>843.90002440000001</v>
      </c>
      <c r="O1224">
        <f t="shared" si="215"/>
        <v>1.4851827047311916E-2</v>
      </c>
      <c r="P1224">
        <v>160.6499939</v>
      </c>
      <c r="Q1224">
        <f t="shared" si="216"/>
        <v>7.2099931034481646E-3</v>
      </c>
      <c r="R1224">
        <v>454.0499878</v>
      </c>
      <c r="S1224">
        <f t="shared" si="217"/>
        <v>-1.2398068950516539E-2</v>
      </c>
      <c r="T1224">
        <v>4340.3500979999999</v>
      </c>
      <c r="U1224">
        <f t="shared" si="218"/>
        <v>3.5697690866789866E-2</v>
      </c>
      <c r="W1224">
        <f t="shared" si="219"/>
        <v>8.5613585497198996E-3</v>
      </c>
      <c r="X1224">
        <v>4.7193024226601888E-3</v>
      </c>
    </row>
    <row r="1225" spans="1:24" x14ac:dyDescent="0.35">
      <c r="A1225" s="1">
        <v>44622</v>
      </c>
      <c r="B1225">
        <v>2213.8608399999998</v>
      </c>
      <c r="C1225">
        <f t="shared" si="209"/>
        <v>1.6528614184164514E-2</v>
      </c>
      <c r="D1225">
        <v>3546.1499020000001</v>
      </c>
      <c r="E1225">
        <f t="shared" si="210"/>
        <v>-2.2649398207703619E-3</v>
      </c>
      <c r="F1225">
        <v>1374.25</v>
      </c>
      <c r="G1225">
        <f t="shared" si="211"/>
        <v>-3.6459246275197144E-2</v>
      </c>
      <c r="H1225">
        <v>674.25</v>
      </c>
      <c r="I1225">
        <f t="shared" si="212"/>
        <v>-1.7844136926438492E-2</v>
      </c>
      <c r="J1225">
        <v>1702.8000489999999</v>
      </c>
      <c r="K1225">
        <f t="shared" si="213"/>
        <v>-7.4609041612623272E-3</v>
      </c>
      <c r="L1225">
        <v>215.3000031</v>
      </c>
      <c r="M1225">
        <f t="shared" si="214"/>
        <v>-2.5480796129567773E-3</v>
      </c>
      <c r="N1225">
        <v>820.90002440000001</v>
      </c>
      <c r="O1225">
        <f t="shared" si="215"/>
        <v>-2.7254413242081221E-2</v>
      </c>
      <c r="P1225">
        <v>162.9499969</v>
      </c>
      <c r="Q1225">
        <f t="shared" si="216"/>
        <v>1.431685706400776E-2</v>
      </c>
      <c r="R1225">
        <v>447.60000609999997</v>
      </c>
      <c r="S1225">
        <f t="shared" si="217"/>
        <v>-1.4205444055294447E-2</v>
      </c>
      <c r="T1225">
        <v>4295.1499020000001</v>
      </c>
      <c r="U1225">
        <f t="shared" si="218"/>
        <v>-1.0413951635106056E-2</v>
      </c>
      <c r="W1225">
        <f t="shared" si="219"/>
        <v>-8.7605644480934549E-3</v>
      </c>
      <c r="X1225">
        <v>4.7397562317663452E-3</v>
      </c>
    </row>
    <row r="1226" spans="1:24" x14ac:dyDescent="0.35">
      <c r="A1226" s="1">
        <v>44623</v>
      </c>
      <c r="B1226">
        <v>2195.1701659999999</v>
      </c>
      <c r="C1226">
        <f t="shared" si="209"/>
        <v>-8.4425694977287025E-3</v>
      </c>
      <c r="D1226">
        <v>3544.3999020000001</v>
      </c>
      <c r="E1226">
        <f t="shared" si="210"/>
        <v>-4.9349295668887905E-4</v>
      </c>
      <c r="F1226">
        <v>1371</v>
      </c>
      <c r="G1226">
        <f t="shared" si="211"/>
        <v>-2.3649263234492013E-3</v>
      </c>
      <c r="H1226">
        <v>672.04998780000005</v>
      </c>
      <c r="I1226">
        <f t="shared" si="212"/>
        <v>-3.2629027808676048E-3</v>
      </c>
      <c r="J1226">
        <v>1720.849976</v>
      </c>
      <c r="K1226">
        <f t="shared" si="213"/>
        <v>1.0600144750172014E-2</v>
      </c>
      <c r="L1226">
        <v>219.3999939</v>
      </c>
      <c r="M1226">
        <f t="shared" si="214"/>
        <v>1.9043152535839436E-2</v>
      </c>
      <c r="N1226">
        <v>820.90002440000001</v>
      </c>
      <c r="O1226">
        <f t="shared" si="215"/>
        <v>0</v>
      </c>
      <c r="P1226">
        <v>170.3000031</v>
      </c>
      <c r="Q1226">
        <f t="shared" si="216"/>
        <v>4.5105899600050847E-2</v>
      </c>
      <c r="R1226">
        <v>437.10000609999997</v>
      </c>
      <c r="S1226">
        <f t="shared" si="217"/>
        <v>-2.3458444720517169E-2</v>
      </c>
      <c r="T1226">
        <v>4276.5</v>
      </c>
      <c r="U1226">
        <f t="shared" si="218"/>
        <v>-4.3420840775116876E-3</v>
      </c>
      <c r="W1226">
        <f t="shared" si="219"/>
        <v>3.2384776529299055E-3</v>
      </c>
      <c r="X1226">
        <v>4.7929804979638174E-3</v>
      </c>
    </row>
    <row r="1227" spans="1:24" x14ac:dyDescent="0.35">
      <c r="A1227" s="1">
        <v>44624</v>
      </c>
      <c r="B1227">
        <v>2146.4819339999999</v>
      </c>
      <c r="C1227">
        <f t="shared" si="209"/>
        <v>-2.2179707411347893E-2</v>
      </c>
      <c r="D1227">
        <v>3524.3500979999999</v>
      </c>
      <c r="E1227">
        <f t="shared" si="210"/>
        <v>-5.6567556016144938E-3</v>
      </c>
      <c r="F1227">
        <v>1366.5</v>
      </c>
      <c r="G1227">
        <f t="shared" si="211"/>
        <v>-3.2822757111596879E-3</v>
      </c>
      <c r="H1227">
        <v>653.70001219999995</v>
      </c>
      <c r="I1227">
        <f t="shared" si="212"/>
        <v>-2.7304480221880478E-2</v>
      </c>
      <c r="J1227">
        <v>1723.3000489999999</v>
      </c>
      <c r="K1227">
        <f t="shared" si="213"/>
        <v>1.4237574653050977E-3</v>
      </c>
      <c r="L1227">
        <v>225.5</v>
      </c>
      <c r="M1227">
        <f t="shared" si="214"/>
        <v>2.7803127938008654E-2</v>
      </c>
      <c r="N1227">
        <v>829.65002440000001</v>
      </c>
      <c r="O1227">
        <f t="shared" si="215"/>
        <v>1.0659032452088768E-2</v>
      </c>
      <c r="P1227">
        <v>165.25</v>
      </c>
      <c r="Q1227">
        <f t="shared" si="216"/>
        <v>-2.9653570217697767E-2</v>
      </c>
      <c r="R1227">
        <v>417.25</v>
      </c>
      <c r="S1227">
        <f t="shared" si="217"/>
        <v>-4.5412962303776894E-2</v>
      </c>
      <c r="T1227">
        <v>4110.2001950000003</v>
      </c>
      <c r="U1227">
        <f t="shared" si="218"/>
        <v>-3.8886894656845472E-2</v>
      </c>
      <c r="W1227">
        <f t="shared" si="219"/>
        <v>-1.3249072826892017E-2</v>
      </c>
      <c r="X1227">
        <v>4.8092081363172775E-3</v>
      </c>
    </row>
    <row r="1228" spans="1:24" x14ac:dyDescent="0.35">
      <c r="A1228" s="1">
        <v>44627</v>
      </c>
      <c r="B1228">
        <v>2067.1040039999998</v>
      </c>
      <c r="C1228">
        <f t="shared" si="209"/>
        <v>-3.698047896078871E-2</v>
      </c>
      <c r="D1228">
        <v>3484.8999020000001</v>
      </c>
      <c r="E1228">
        <f t="shared" si="210"/>
        <v>-1.1193608723034321E-2</v>
      </c>
      <c r="F1228">
        <v>1324.8000489999999</v>
      </c>
      <c r="G1228">
        <f t="shared" si="211"/>
        <v>-3.0515880717160715E-2</v>
      </c>
      <c r="H1228">
        <v>675.40002440000001</v>
      </c>
      <c r="I1228">
        <f t="shared" si="212"/>
        <v>3.3195673542929294E-2</v>
      </c>
      <c r="J1228">
        <v>1739.849976</v>
      </c>
      <c r="K1228">
        <f t="shared" si="213"/>
        <v>9.6036247486928072E-3</v>
      </c>
      <c r="L1228">
        <v>224.9499969</v>
      </c>
      <c r="M1228">
        <f t="shared" si="214"/>
        <v>-2.4390381374722603E-3</v>
      </c>
      <c r="N1228">
        <v>822.65002440000001</v>
      </c>
      <c r="O1228">
        <f t="shared" si="215"/>
        <v>-8.437292586186973E-3</v>
      </c>
      <c r="P1228">
        <v>186.9499969</v>
      </c>
      <c r="Q1228">
        <f t="shared" si="216"/>
        <v>0.13131616883509833</v>
      </c>
      <c r="R1228">
        <v>394</v>
      </c>
      <c r="S1228">
        <f t="shared" si="217"/>
        <v>-5.5721989215098855E-2</v>
      </c>
      <c r="T1228">
        <v>3991.6499020000001</v>
      </c>
      <c r="U1228">
        <f t="shared" si="218"/>
        <v>-2.8842948609708818E-2</v>
      </c>
      <c r="W1228">
        <f t="shared" si="219"/>
        <v>-1.5769822730247324E-6</v>
      </c>
      <c r="X1228">
        <v>4.8122295539337785E-3</v>
      </c>
    </row>
    <row r="1229" spans="1:24" x14ac:dyDescent="0.35">
      <c r="A1229" s="1">
        <v>44628</v>
      </c>
      <c r="B1229">
        <v>2063.3657229999999</v>
      </c>
      <c r="C1229">
        <f t="shared" si="209"/>
        <v>-1.8084629475663139E-3</v>
      </c>
      <c r="D1229">
        <v>3599.9499510000001</v>
      </c>
      <c r="E1229">
        <f t="shared" si="210"/>
        <v>3.3013874784171726E-2</v>
      </c>
      <c r="F1229">
        <v>1327.8000489999999</v>
      </c>
      <c r="G1229">
        <f t="shared" si="211"/>
        <v>2.2644926698669465E-3</v>
      </c>
      <c r="H1229">
        <v>683</v>
      </c>
      <c r="I1229">
        <f t="shared" si="212"/>
        <v>1.125255452389351E-2</v>
      </c>
      <c r="J1229">
        <v>1778.1999510000001</v>
      </c>
      <c r="K1229">
        <f t="shared" si="213"/>
        <v>2.2042116003684775E-2</v>
      </c>
      <c r="L1229">
        <v>226.8999939</v>
      </c>
      <c r="M1229">
        <f t="shared" si="214"/>
        <v>8.6685798038346196E-3</v>
      </c>
      <c r="N1229">
        <v>855</v>
      </c>
      <c r="O1229">
        <f t="shared" si="215"/>
        <v>3.9324104589426589E-2</v>
      </c>
      <c r="P1229">
        <v>179.1000061</v>
      </c>
      <c r="Q1229">
        <f t="shared" si="216"/>
        <v>-4.1989788340028533E-2</v>
      </c>
      <c r="R1229">
        <v>391.75</v>
      </c>
      <c r="S1229">
        <f t="shared" si="217"/>
        <v>-5.7106598984771884E-3</v>
      </c>
      <c r="T1229">
        <v>4124</v>
      </c>
      <c r="U1229">
        <f t="shared" si="218"/>
        <v>3.315674000710489E-2</v>
      </c>
      <c r="W1229">
        <f t="shared" si="219"/>
        <v>1.0021355119591104E-2</v>
      </c>
      <c r="X1229">
        <v>4.8172050621690388E-3</v>
      </c>
    </row>
    <row r="1230" spans="1:24" x14ac:dyDescent="0.35">
      <c r="A1230" s="1">
        <v>44629</v>
      </c>
      <c r="B1230">
        <v>2172.8334960000002</v>
      </c>
      <c r="C1230">
        <f t="shared" si="209"/>
        <v>5.305301516826666E-2</v>
      </c>
      <c r="D1230">
        <v>3632.6000979999999</v>
      </c>
      <c r="E1230">
        <f t="shared" si="210"/>
        <v>9.0696113680497348E-3</v>
      </c>
      <c r="F1230">
        <v>1371.150024</v>
      </c>
      <c r="G1230">
        <f t="shared" si="211"/>
        <v>3.2647969122043596E-2</v>
      </c>
      <c r="H1230">
        <v>691.5</v>
      </c>
      <c r="I1230">
        <f t="shared" si="212"/>
        <v>1.2445095168374776E-2</v>
      </c>
      <c r="J1230">
        <v>1813.349976</v>
      </c>
      <c r="K1230">
        <f t="shared" si="213"/>
        <v>1.9767194898544949E-2</v>
      </c>
      <c r="L1230">
        <v>229.25</v>
      </c>
      <c r="M1230">
        <f t="shared" si="214"/>
        <v>1.0357012618676942E-2</v>
      </c>
      <c r="N1230">
        <v>868.25</v>
      </c>
      <c r="O1230">
        <f t="shared" si="215"/>
        <v>1.5497076023391898E-2</v>
      </c>
      <c r="P1230">
        <v>175.3999939</v>
      </c>
      <c r="Q1230">
        <f t="shared" si="216"/>
        <v>-2.0658917219322226E-2</v>
      </c>
      <c r="R1230">
        <v>405.89999390000003</v>
      </c>
      <c r="S1230">
        <f t="shared" si="217"/>
        <v>3.6119958902361304E-2</v>
      </c>
      <c r="T1230">
        <v>4096.7001950000003</v>
      </c>
      <c r="U1230">
        <f t="shared" si="218"/>
        <v>-6.6197393307467767E-3</v>
      </c>
      <c r="W1230">
        <f t="shared" si="219"/>
        <v>1.6167827671964088E-2</v>
      </c>
      <c r="X1230">
        <v>4.8174149157590223E-3</v>
      </c>
    </row>
    <row r="1231" spans="1:24" x14ac:dyDescent="0.35">
      <c r="A1231" s="1">
        <v>44630</v>
      </c>
      <c r="B1231">
        <v>2208.0458979999999</v>
      </c>
      <c r="C1231">
        <f t="shared" si="209"/>
        <v>1.6205752564484532E-2</v>
      </c>
      <c r="D1231">
        <v>3620.9499510000001</v>
      </c>
      <c r="E1231">
        <f t="shared" si="210"/>
        <v>-3.2071096971048041E-3</v>
      </c>
      <c r="F1231">
        <v>1392.6999510000001</v>
      </c>
      <c r="G1231">
        <f t="shared" si="211"/>
        <v>1.5716680613207634E-2</v>
      </c>
      <c r="H1231">
        <v>697.75</v>
      </c>
      <c r="I1231">
        <f t="shared" si="212"/>
        <v>9.038322487346262E-3</v>
      </c>
      <c r="J1231">
        <v>1825.900024</v>
      </c>
      <c r="K1231">
        <f t="shared" si="213"/>
        <v>6.9209188331553761E-3</v>
      </c>
      <c r="L1231">
        <v>232</v>
      </c>
      <c r="M1231">
        <f t="shared" si="214"/>
        <v>1.1995637949836491E-2</v>
      </c>
      <c r="N1231">
        <v>869.54998780000005</v>
      </c>
      <c r="O1231">
        <f t="shared" si="215"/>
        <v>1.497250561474317E-3</v>
      </c>
      <c r="P1231">
        <v>174.3500061</v>
      </c>
      <c r="Q1231">
        <f t="shared" si="216"/>
        <v>-5.9862476426232325E-3</v>
      </c>
      <c r="R1231">
        <v>419.60000609999997</v>
      </c>
      <c r="S1231">
        <f t="shared" si="217"/>
        <v>3.3752186267278272E-2</v>
      </c>
      <c r="T1231">
        <v>4168.6000979999999</v>
      </c>
      <c r="U1231">
        <f t="shared" si="218"/>
        <v>1.7550687035324808E-2</v>
      </c>
      <c r="W1231">
        <f t="shared" si="219"/>
        <v>1.0348407897237967E-2</v>
      </c>
      <c r="X1231">
        <v>4.8214984245128602E-3</v>
      </c>
    </row>
    <row r="1232" spans="1:24" x14ac:dyDescent="0.35">
      <c r="A1232" s="1">
        <v>44631</v>
      </c>
      <c r="B1232">
        <v>2214.4145509999998</v>
      </c>
      <c r="C1232">
        <f t="shared" si="209"/>
        <v>2.8842937575566108E-3</v>
      </c>
      <c r="D1232">
        <v>3599.1499020000001</v>
      </c>
      <c r="E1232">
        <f t="shared" si="210"/>
        <v>-6.0205330907651122E-3</v>
      </c>
      <c r="F1232">
        <v>1396.8000489999999</v>
      </c>
      <c r="G1232">
        <f t="shared" si="211"/>
        <v>2.9439923488587816E-3</v>
      </c>
      <c r="H1232">
        <v>694.84997559999999</v>
      </c>
      <c r="I1232">
        <f t="shared" si="212"/>
        <v>-4.1562513794338729E-3</v>
      </c>
      <c r="J1232">
        <v>1822</v>
      </c>
      <c r="K1232">
        <f t="shared" si="213"/>
        <v>-2.1359460806930075E-3</v>
      </c>
      <c r="L1232">
        <v>236.3500061</v>
      </c>
      <c r="M1232">
        <f t="shared" si="214"/>
        <v>1.8750026293103517E-2</v>
      </c>
      <c r="N1232">
        <v>902</v>
      </c>
      <c r="O1232">
        <f t="shared" si="215"/>
        <v>3.7318167621507303E-2</v>
      </c>
      <c r="P1232">
        <v>175.6999969</v>
      </c>
      <c r="Q1232">
        <f t="shared" si="216"/>
        <v>7.7429925596084193E-3</v>
      </c>
      <c r="R1232">
        <v>418.14999390000003</v>
      </c>
      <c r="S1232">
        <f t="shared" si="217"/>
        <v>-3.4557010937087407E-3</v>
      </c>
      <c r="T1232">
        <v>4198.9501950000003</v>
      </c>
      <c r="U1232">
        <f t="shared" si="218"/>
        <v>7.2806448895306186E-3</v>
      </c>
      <c r="W1232">
        <f t="shared" si="219"/>
        <v>6.1151685825564517E-3</v>
      </c>
      <c r="X1232">
        <v>4.8223586792195631E-3</v>
      </c>
    </row>
    <row r="1233" spans="1:24" x14ac:dyDescent="0.35">
      <c r="A1233" s="1">
        <v>44634</v>
      </c>
      <c r="B1233">
        <v>2232.5976559999999</v>
      </c>
      <c r="C1233">
        <f t="shared" si="209"/>
        <v>8.2112470728612497E-3</v>
      </c>
      <c r="D1233">
        <v>3643</v>
      </c>
      <c r="E1233">
        <f t="shared" si="210"/>
        <v>1.2183459759659732E-2</v>
      </c>
      <c r="F1233">
        <v>1442.5500489999999</v>
      </c>
      <c r="G1233">
        <f t="shared" si="211"/>
        <v>3.275343527712038E-2</v>
      </c>
      <c r="H1233">
        <v>700.40002440000001</v>
      </c>
      <c r="I1233">
        <f t="shared" si="212"/>
        <v>7.9874059075955017E-3</v>
      </c>
      <c r="J1233">
        <v>1890.6999510000001</v>
      </c>
      <c r="K1233">
        <f t="shared" si="213"/>
        <v>3.7705790889132951E-2</v>
      </c>
      <c r="L1233">
        <v>239</v>
      </c>
      <c r="M1233">
        <f t="shared" si="214"/>
        <v>1.1212159219825768E-2</v>
      </c>
      <c r="N1233">
        <v>892.25</v>
      </c>
      <c r="O1233">
        <f t="shared" si="215"/>
        <v>-1.0809312638580981E-2</v>
      </c>
      <c r="P1233">
        <v>171.8000031</v>
      </c>
      <c r="Q1233">
        <f t="shared" si="216"/>
        <v>-2.2196891683610498E-2</v>
      </c>
      <c r="R1233">
        <v>411.7000122</v>
      </c>
      <c r="S1233">
        <f t="shared" si="217"/>
        <v>-1.5425043152200835E-2</v>
      </c>
      <c r="T1233">
        <v>4168.25</v>
      </c>
      <c r="U1233">
        <f t="shared" si="218"/>
        <v>-7.311397748074544E-3</v>
      </c>
      <c r="W1233">
        <f t="shared" si="219"/>
        <v>5.4310852903728711E-3</v>
      </c>
      <c r="X1233">
        <v>4.8306176679144049E-3</v>
      </c>
    </row>
    <row r="1234" spans="1:24" x14ac:dyDescent="0.35">
      <c r="A1234" s="1">
        <v>44635</v>
      </c>
      <c r="B1234">
        <v>2181.4636230000001</v>
      </c>
      <c r="C1234">
        <f t="shared" si="209"/>
        <v>-2.290338022284466E-2</v>
      </c>
      <c r="D1234">
        <v>3593.8999020000001</v>
      </c>
      <c r="E1234">
        <f t="shared" si="210"/>
        <v>-1.3477929728245908E-2</v>
      </c>
      <c r="F1234">
        <v>1424</v>
      </c>
      <c r="G1234">
        <f t="shared" si="211"/>
        <v>-1.2859206523100686E-2</v>
      </c>
      <c r="H1234">
        <v>703.09997559999999</v>
      </c>
      <c r="I1234">
        <f t="shared" si="212"/>
        <v>3.8548702255014611E-3</v>
      </c>
      <c r="J1234">
        <v>1839.3000489999999</v>
      </c>
      <c r="K1234">
        <f t="shared" si="213"/>
        <v>-2.7185647290472792E-2</v>
      </c>
      <c r="L1234">
        <v>237.8500061</v>
      </c>
      <c r="M1234">
        <f t="shared" si="214"/>
        <v>-4.811689958158949E-3</v>
      </c>
      <c r="N1234">
        <v>891.65002440000001</v>
      </c>
      <c r="O1234">
        <f t="shared" si="215"/>
        <v>-6.7242992434857207E-4</v>
      </c>
      <c r="P1234">
        <v>163.75</v>
      </c>
      <c r="Q1234">
        <f t="shared" si="216"/>
        <v>-4.6856827443212068E-2</v>
      </c>
      <c r="R1234">
        <v>413.64999390000003</v>
      </c>
      <c r="S1234">
        <f t="shared" si="217"/>
        <v>4.7364139961518781E-3</v>
      </c>
      <c r="T1234">
        <v>4231.0498049999997</v>
      </c>
      <c r="U1234">
        <f t="shared" si="218"/>
        <v>1.506622803334734E-2</v>
      </c>
      <c r="W1234">
        <f t="shared" si="219"/>
        <v>-1.0510959883538295E-2</v>
      </c>
      <c r="X1234">
        <v>4.839053094558665E-3</v>
      </c>
    </row>
    <row r="1235" spans="1:24" x14ac:dyDescent="0.35">
      <c r="A1235" s="1">
        <v>44636</v>
      </c>
      <c r="B1235">
        <v>2218.29126</v>
      </c>
      <c r="C1235">
        <f t="shared" si="209"/>
        <v>1.6882077065925927E-2</v>
      </c>
      <c r="D1235">
        <v>3655.8999020000001</v>
      </c>
      <c r="E1235">
        <f t="shared" si="210"/>
        <v>1.7251454322781079E-2</v>
      </c>
      <c r="F1235">
        <v>1448.150024</v>
      </c>
      <c r="G1235">
        <f t="shared" si="211"/>
        <v>1.6959286516853966E-2</v>
      </c>
      <c r="H1235">
        <v>712</v>
      </c>
      <c r="I1235">
        <f t="shared" si="212"/>
        <v>1.2658262990842939E-2</v>
      </c>
      <c r="J1235">
        <v>1889.400024</v>
      </c>
      <c r="K1235">
        <f t="shared" si="213"/>
        <v>2.723860907155351E-2</v>
      </c>
      <c r="L1235">
        <v>242.6000061</v>
      </c>
      <c r="M1235">
        <f t="shared" si="214"/>
        <v>1.9970569174603936E-2</v>
      </c>
      <c r="N1235">
        <v>889.20001219999995</v>
      </c>
      <c r="O1235">
        <f t="shared" si="215"/>
        <v>-2.7477285178663102E-3</v>
      </c>
      <c r="P1235">
        <v>167.3000031</v>
      </c>
      <c r="Q1235">
        <f t="shared" si="216"/>
        <v>2.1679408244274834E-2</v>
      </c>
      <c r="R1235">
        <v>424.89999390000003</v>
      </c>
      <c r="S1235">
        <f t="shared" si="217"/>
        <v>2.7196905997585175E-2</v>
      </c>
      <c r="T1235">
        <v>4169.5498049999997</v>
      </c>
      <c r="U1235">
        <f t="shared" si="218"/>
        <v>-1.4535399684334371E-2</v>
      </c>
      <c r="W1235">
        <f t="shared" si="219"/>
        <v>1.4255344518222069E-2</v>
      </c>
      <c r="X1235">
        <v>4.8459337770049623E-3</v>
      </c>
    </row>
    <row r="1236" spans="1:24" x14ac:dyDescent="0.35">
      <c r="A1236" s="1">
        <v>44637</v>
      </c>
      <c r="B1236">
        <v>2290.6083979999999</v>
      </c>
      <c r="C1236">
        <f t="shared" si="209"/>
        <v>3.2600379987973271E-2</v>
      </c>
      <c r="D1236">
        <v>3672.75</v>
      </c>
      <c r="E1236">
        <f t="shared" si="210"/>
        <v>4.6090151403712643E-3</v>
      </c>
      <c r="F1236">
        <v>1480.0500489999999</v>
      </c>
      <c r="G1236">
        <f t="shared" si="211"/>
        <v>2.2028121721731075E-2</v>
      </c>
      <c r="H1236">
        <v>722.90002440000001</v>
      </c>
      <c r="I1236">
        <f t="shared" si="212"/>
        <v>1.5309023033707847E-2</v>
      </c>
      <c r="J1236">
        <v>1854.599976</v>
      </c>
      <c r="K1236">
        <f t="shared" si="213"/>
        <v>-1.8418570740951767E-2</v>
      </c>
      <c r="L1236">
        <v>244.8999939</v>
      </c>
      <c r="M1236">
        <f t="shared" si="214"/>
        <v>9.4805760188312327E-3</v>
      </c>
      <c r="N1236">
        <v>911.59997559999999</v>
      </c>
      <c r="O1236">
        <f t="shared" si="215"/>
        <v>2.5191141579698817E-2</v>
      </c>
      <c r="P1236">
        <v>170.3000031</v>
      </c>
      <c r="Q1236">
        <f t="shared" si="216"/>
        <v>1.793185860377311E-2</v>
      </c>
      <c r="R1236">
        <v>433.7999878</v>
      </c>
      <c r="S1236">
        <f t="shared" si="217"/>
        <v>2.0946090910263893E-2</v>
      </c>
      <c r="T1236">
        <v>4192.75</v>
      </c>
      <c r="U1236">
        <f t="shared" si="218"/>
        <v>5.5641966363322304E-3</v>
      </c>
      <c r="W1236">
        <f t="shared" si="219"/>
        <v>1.3524183289173097E-2</v>
      </c>
      <c r="X1236">
        <v>4.8652654030672763E-3</v>
      </c>
    </row>
    <row r="1237" spans="1:24" x14ac:dyDescent="0.35">
      <c r="A1237" s="1">
        <v>44641</v>
      </c>
      <c r="B1237">
        <v>2277.4094239999999</v>
      </c>
      <c r="C1237">
        <f t="shared" si="209"/>
        <v>-5.7622132231438528E-3</v>
      </c>
      <c r="D1237">
        <v>3626.6999510000001</v>
      </c>
      <c r="E1237">
        <f t="shared" si="210"/>
        <v>-1.2538302089714737E-2</v>
      </c>
      <c r="F1237">
        <v>1486.5</v>
      </c>
      <c r="G1237">
        <f t="shared" si="211"/>
        <v>4.3579276284324564E-3</v>
      </c>
      <c r="H1237">
        <v>708.20001219999995</v>
      </c>
      <c r="I1237">
        <f t="shared" si="212"/>
        <v>-2.0334778951212384E-2</v>
      </c>
      <c r="J1237">
        <v>1853.0500489999999</v>
      </c>
      <c r="K1237">
        <f t="shared" si="213"/>
        <v>-8.3572038178436614E-4</v>
      </c>
      <c r="L1237">
        <v>244.5</v>
      </c>
      <c r="M1237">
        <f t="shared" si="214"/>
        <v>-1.6332948548921644E-3</v>
      </c>
      <c r="N1237">
        <v>913.79998780000005</v>
      </c>
      <c r="O1237">
        <f t="shared" si="215"/>
        <v>2.413352631511545E-3</v>
      </c>
      <c r="P1237">
        <v>172.5500031</v>
      </c>
      <c r="Q1237">
        <f t="shared" si="216"/>
        <v>1.3211978620333964E-2</v>
      </c>
      <c r="R1237">
        <v>427.9500122</v>
      </c>
      <c r="S1237">
        <f t="shared" si="217"/>
        <v>-1.348542131056274E-2</v>
      </c>
      <c r="T1237">
        <v>4095.1999510000001</v>
      </c>
      <c r="U1237">
        <f t="shared" si="218"/>
        <v>-2.3266364319360799E-2</v>
      </c>
      <c r="W1237">
        <f t="shared" si="219"/>
        <v>-5.7872836250393075E-3</v>
      </c>
      <c r="X1237">
        <v>4.8725679227525258E-3</v>
      </c>
    </row>
    <row r="1238" spans="1:24" x14ac:dyDescent="0.35">
      <c r="A1238" s="1">
        <v>44642</v>
      </c>
      <c r="B1238">
        <v>2336.250732</v>
      </c>
      <c r="C1238">
        <f t="shared" si="209"/>
        <v>2.5836947621237227E-2</v>
      </c>
      <c r="D1238">
        <v>3700.9499510000001</v>
      </c>
      <c r="E1238">
        <f t="shared" si="210"/>
        <v>2.0473157692443511E-2</v>
      </c>
      <c r="F1238">
        <v>1494.150024</v>
      </c>
      <c r="G1238">
        <f t="shared" si="211"/>
        <v>5.1463329969727578E-3</v>
      </c>
      <c r="H1238">
        <v>719.25</v>
      </c>
      <c r="I1238">
        <f t="shared" si="212"/>
        <v>1.5602919527879733E-2</v>
      </c>
      <c r="J1238">
        <v>1887.400024</v>
      </c>
      <c r="K1238">
        <f t="shared" si="213"/>
        <v>1.8536992575314937E-2</v>
      </c>
      <c r="L1238">
        <v>249.75</v>
      </c>
      <c r="M1238">
        <f t="shared" si="214"/>
        <v>2.1472392638036908E-2</v>
      </c>
      <c r="N1238">
        <v>914.09997559999999</v>
      </c>
      <c r="O1238">
        <f t="shared" si="215"/>
        <v>3.2828606260126847E-4</v>
      </c>
      <c r="P1238">
        <v>175.4499969</v>
      </c>
      <c r="Q1238">
        <f t="shared" si="216"/>
        <v>1.6806686455515862E-2</v>
      </c>
      <c r="R1238">
        <v>440.35000609999997</v>
      </c>
      <c r="S1238">
        <f t="shared" si="217"/>
        <v>2.897533250730433E-2</v>
      </c>
      <c r="T1238">
        <v>4054</v>
      </c>
      <c r="U1238">
        <f t="shared" si="218"/>
        <v>-1.0060546858020825E-2</v>
      </c>
      <c r="W1238">
        <f t="shared" si="219"/>
        <v>1.4311850121928574E-2</v>
      </c>
      <c r="X1238">
        <v>4.8908464293263123E-3</v>
      </c>
    </row>
    <row r="1239" spans="1:24" x14ac:dyDescent="0.35">
      <c r="A1239" s="1">
        <v>44643</v>
      </c>
      <c r="B1239">
        <v>2343.680664</v>
      </c>
      <c r="C1239">
        <f t="shared" si="209"/>
        <v>3.1802802234499605E-3</v>
      </c>
      <c r="D1239">
        <v>3712.3999020000001</v>
      </c>
      <c r="E1239">
        <f t="shared" si="210"/>
        <v>3.093787041596352E-3</v>
      </c>
      <c r="F1239">
        <v>1479.25</v>
      </c>
      <c r="G1239">
        <f t="shared" si="211"/>
        <v>-9.9722409133394807E-3</v>
      </c>
      <c r="H1239">
        <v>704.95001219999995</v>
      </c>
      <c r="I1239">
        <f t="shared" si="212"/>
        <v>-1.9881804379562107E-2</v>
      </c>
      <c r="J1239">
        <v>1872.400024</v>
      </c>
      <c r="K1239">
        <f t="shared" si="213"/>
        <v>-7.947440822963503E-3</v>
      </c>
      <c r="L1239">
        <v>252</v>
      </c>
      <c r="M1239">
        <f t="shared" si="214"/>
        <v>9.009009009008917E-3</v>
      </c>
      <c r="N1239">
        <v>900.79998780000005</v>
      </c>
      <c r="O1239">
        <f t="shared" si="215"/>
        <v>-1.4549817476223081E-2</v>
      </c>
      <c r="P1239">
        <v>175.6000061</v>
      </c>
      <c r="Q1239">
        <f t="shared" si="216"/>
        <v>8.5499688031065446E-4</v>
      </c>
      <c r="R1239">
        <v>435.7999878</v>
      </c>
      <c r="S1239">
        <f t="shared" si="217"/>
        <v>-1.0332731320473076E-2</v>
      </c>
      <c r="T1239">
        <v>4091.3500979999999</v>
      </c>
      <c r="U1239">
        <f t="shared" si="218"/>
        <v>9.2131470152934103E-3</v>
      </c>
      <c r="W1239">
        <f t="shared" si="219"/>
        <v>-3.7332814742901954E-3</v>
      </c>
      <c r="X1239">
        <v>4.8909151141414932E-3</v>
      </c>
    </row>
    <row r="1240" spans="1:24" x14ac:dyDescent="0.35">
      <c r="A1240" s="1">
        <v>44644</v>
      </c>
      <c r="B1240">
        <v>2380.093018</v>
      </c>
      <c r="C1240">
        <f t="shared" si="209"/>
        <v>1.5536397325501827E-2</v>
      </c>
      <c r="D1240">
        <v>3749.8500979999999</v>
      </c>
      <c r="E1240">
        <f t="shared" si="210"/>
        <v>1.0087866875501117E-2</v>
      </c>
      <c r="F1240">
        <v>1442.650024</v>
      </c>
      <c r="G1240">
        <f t="shared" si="211"/>
        <v>-2.474225181679901E-2</v>
      </c>
      <c r="H1240">
        <v>706.34997559999999</v>
      </c>
      <c r="I1240">
        <f t="shared" si="212"/>
        <v>1.9859044978678408E-3</v>
      </c>
      <c r="J1240">
        <v>1886.6999510000001</v>
      </c>
      <c r="K1240">
        <f t="shared" si="213"/>
        <v>7.6372179110804073E-3</v>
      </c>
      <c r="L1240">
        <v>254.8500061</v>
      </c>
      <c r="M1240">
        <f t="shared" si="214"/>
        <v>1.1309548015872917E-2</v>
      </c>
      <c r="N1240">
        <v>908.84997559999999</v>
      </c>
      <c r="O1240">
        <f t="shared" si="215"/>
        <v>8.9364874656139293E-3</v>
      </c>
      <c r="P1240">
        <v>177.4499969</v>
      </c>
      <c r="Q1240">
        <f t="shared" si="216"/>
        <v>1.0535254759310719E-2</v>
      </c>
      <c r="R1240">
        <v>433.2000122</v>
      </c>
      <c r="S1240">
        <f t="shared" si="217"/>
        <v>-5.9659836456745774E-3</v>
      </c>
      <c r="T1240">
        <v>4042.8500979999999</v>
      </c>
      <c r="U1240">
        <f t="shared" si="218"/>
        <v>-1.1854277643878142E-2</v>
      </c>
      <c r="W1240">
        <f t="shared" si="219"/>
        <v>2.3466163744397034E-3</v>
      </c>
      <c r="X1240">
        <v>4.9069891013530098E-3</v>
      </c>
    </row>
    <row r="1241" spans="1:24" x14ac:dyDescent="0.35">
      <c r="A1241" s="1">
        <v>44645</v>
      </c>
      <c r="B1241">
        <v>2395.96875</v>
      </c>
      <c r="C1241">
        <f t="shared" si="209"/>
        <v>6.6702149369524122E-3</v>
      </c>
      <c r="D1241">
        <v>3707.4499510000001</v>
      </c>
      <c r="E1241">
        <f t="shared" si="210"/>
        <v>-1.1307157857487149E-2</v>
      </c>
      <c r="F1241">
        <v>1430.900024</v>
      </c>
      <c r="G1241">
        <f t="shared" si="211"/>
        <v>-8.1447335143842725E-3</v>
      </c>
      <c r="H1241">
        <v>709.34997559999999</v>
      </c>
      <c r="I1241">
        <f t="shared" si="212"/>
        <v>4.2471863858304371E-3</v>
      </c>
      <c r="J1241">
        <v>1876.5500489999999</v>
      </c>
      <c r="K1241">
        <f t="shared" si="213"/>
        <v>-5.3797118055896043E-3</v>
      </c>
      <c r="L1241">
        <v>253.3500061</v>
      </c>
      <c r="M1241">
        <f t="shared" si="214"/>
        <v>-5.8858150445223467E-3</v>
      </c>
      <c r="N1241">
        <v>902.34997559999999</v>
      </c>
      <c r="O1241">
        <f t="shared" si="215"/>
        <v>-7.1518954442495453E-3</v>
      </c>
      <c r="P1241">
        <v>175.8000031</v>
      </c>
      <c r="Q1241">
        <f t="shared" si="216"/>
        <v>-9.2983591367986618E-3</v>
      </c>
      <c r="R1241">
        <v>432.10000609999997</v>
      </c>
      <c r="S1241">
        <f t="shared" si="217"/>
        <v>-2.539256853695937E-3</v>
      </c>
      <c r="T1241">
        <v>4001.3000489999999</v>
      </c>
      <c r="U1241">
        <f t="shared" si="218"/>
        <v>-1.0277415188001848E-2</v>
      </c>
      <c r="W1241">
        <f t="shared" si="219"/>
        <v>-4.9066943521946516E-3</v>
      </c>
      <c r="X1241">
        <v>4.9141501219623004E-3</v>
      </c>
    </row>
    <row r="1242" spans="1:24" x14ac:dyDescent="0.35">
      <c r="A1242" s="1">
        <v>44648</v>
      </c>
      <c r="B1242">
        <v>2420.0590820000002</v>
      </c>
      <c r="C1242">
        <f t="shared" si="209"/>
        <v>1.0054526796311691E-2</v>
      </c>
      <c r="D1242">
        <v>3707.6999510000001</v>
      </c>
      <c r="E1242">
        <f t="shared" si="210"/>
        <v>6.7431793632888315E-5</v>
      </c>
      <c r="F1242">
        <v>1432.8000489999999</v>
      </c>
      <c r="G1242">
        <f t="shared" si="211"/>
        <v>1.3278530771763108E-3</v>
      </c>
      <c r="H1242">
        <v>733.04998780000005</v>
      </c>
      <c r="I1242">
        <f t="shared" si="212"/>
        <v>3.341088745362053E-2</v>
      </c>
      <c r="J1242">
        <v>1873.900024</v>
      </c>
      <c r="K1242">
        <f t="shared" si="213"/>
        <v>-1.4121792282663082E-3</v>
      </c>
      <c r="L1242">
        <v>257.0499878</v>
      </c>
      <c r="M1242">
        <f t="shared" si="214"/>
        <v>1.4604229764808352E-2</v>
      </c>
      <c r="N1242">
        <v>905.90002440000001</v>
      </c>
      <c r="O1242">
        <f t="shared" si="215"/>
        <v>3.9342260719179567E-3</v>
      </c>
      <c r="P1242">
        <v>176.3500061</v>
      </c>
      <c r="Q1242">
        <f t="shared" si="216"/>
        <v>3.1285721860150328E-3</v>
      </c>
      <c r="R1242">
        <v>432.7000122</v>
      </c>
      <c r="S1242">
        <f t="shared" si="217"/>
        <v>1.3885815587357797E-3</v>
      </c>
      <c r="T1242">
        <v>4010.0500489999999</v>
      </c>
      <c r="U1242">
        <f t="shared" si="218"/>
        <v>2.1867892667002398E-3</v>
      </c>
      <c r="W1242">
        <f t="shared" si="219"/>
        <v>6.869091874065248E-3</v>
      </c>
      <c r="X1242">
        <v>4.9144424347600801E-3</v>
      </c>
    </row>
    <row r="1243" spans="1:24" x14ac:dyDescent="0.35">
      <c r="A1243" s="1">
        <v>44649</v>
      </c>
      <c r="B1243">
        <v>2420.6127929999998</v>
      </c>
      <c r="C1243">
        <f t="shared" si="209"/>
        <v>2.2880061239738403E-4</v>
      </c>
      <c r="D1243">
        <v>3705.3500979999999</v>
      </c>
      <c r="E1243">
        <f t="shared" si="210"/>
        <v>-6.3377647356988032E-4</v>
      </c>
      <c r="F1243">
        <v>1451.8000489999999</v>
      </c>
      <c r="G1243">
        <f t="shared" si="211"/>
        <v>1.3260747731870026E-2</v>
      </c>
      <c r="H1243">
        <v>754.95001219999995</v>
      </c>
      <c r="I1243">
        <f t="shared" si="212"/>
        <v>2.9875212829244324E-2</v>
      </c>
      <c r="J1243">
        <v>1886</v>
      </c>
      <c r="K1243">
        <f t="shared" si="213"/>
        <v>6.4571086210734041E-3</v>
      </c>
      <c r="L1243">
        <v>254.6000061</v>
      </c>
      <c r="M1243">
        <f t="shared" si="214"/>
        <v>-9.5311488670687394E-3</v>
      </c>
      <c r="N1243">
        <v>919.34997559999999</v>
      </c>
      <c r="O1243">
        <f t="shared" si="215"/>
        <v>1.4847059098942239E-2</v>
      </c>
      <c r="P1243">
        <v>171</v>
      </c>
      <c r="Q1243">
        <f t="shared" si="216"/>
        <v>-3.0337430762357065E-2</v>
      </c>
      <c r="R1243">
        <v>433.7000122</v>
      </c>
      <c r="S1243">
        <f t="shared" si="217"/>
        <v>2.3110699602610918E-3</v>
      </c>
      <c r="T1243">
        <v>4006.1000979999999</v>
      </c>
      <c r="U1243">
        <f t="shared" si="218"/>
        <v>-9.8501289303987161E-4</v>
      </c>
      <c r="W1243">
        <f t="shared" si="219"/>
        <v>2.5492629857752913E-3</v>
      </c>
      <c r="X1243">
        <v>4.9603628460556442E-3</v>
      </c>
    </row>
    <row r="1244" spans="1:24" x14ac:dyDescent="0.35">
      <c r="A1244" s="1">
        <v>44650</v>
      </c>
      <c r="B1244">
        <v>2467.1320799999999</v>
      </c>
      <c r="C1244">
        <f t="shared" si="209"/>
        <v>1.9217979486238379E-2</v>
      </c>
      <c r="D1244">
        <v>3731.5500489999999</v>
      </c>
      <c r="E1244">
        <f t="shared" si="210"/>
        <v>7.0708435929285329E-3</v>
      </c>
      <c r="F1244">
        <v>1476.9499510000001</v>
      </c>
      <c r="G1244">
        <f t="shared" si="211"/>
        <v>1.7323254684640244E-2</v>
      </c>
      <c r="H1244">
        <v>749.5</v>
      </c>
      <c r="I1244">
        <f t="shared" si="212"/>
        <v>-7.2190371705778134E-3</v>
      </c>
      <c r="J1244">
        <v>1903.9499510000001</v>
      </c>
      <c r="K1244">
        <f t="shared" si="213"/>
        <v>9.5174713679746503E-3</v>
      </c>
      <c r="L1244">
        <v>249.1999969</v>
      </c>
      <c r="M1244">
        <f t="shared" si="214"/>
        <v>-2.1209776396780677E-2</v>
      </c>
      <c r="N1244">
        <v>920.59997559999999</v>
      </c>
      <c r="O1244">
        <f t="shared" si="215"/>
        <v>1.3596563149786967E-3</v>
      </c>
      <c r="P1244">
        <v>162</v>
      </c>
      <c r="Q1244">
        <f t="shared" si="216"/>
        <v>-5.2631578947368474E-2</v>
      </c>
      <c r="R1244">
        <v>435.64999390000003</v>
      </c>
      <c r="S1244">
        <f t="shared" si="217"/>
        <v>4.4961532053191533E-3</v>
      </c>
      <c r="T1244">
        <v>3973.3999020000001</v>
      </c>
      <c r="U1244">
        <f t="shared" si="218"/>
        <v>-8.1626008337447598E-3</v>
      </c>
      <c r="W1244">
        <f t="shared" si="219"/>
        <v>-3.0237634696392082E-3</v>
      </c>
      <c r="X1244">
        <v>4.9816397209882851E-3</v>
      </c>
    </row>
    <row r="1245" spans="1:24" x14ac:dyDescent="0.35">
      <c r="A1245" s="1">
        <v>44651</v>
      </c>
      <c r="B1245">
        <v>2431.8732909999999</v>
      </c>
      <c r="C1245">
        <f t="shared" si="209"/>
        <v>-1.4291407130501033E-2</v>
      </c>
      <c r="D1245">
        <v>3739.9499510000001</v>
      </c>
      <c r="E1245">
        <f t="shared" si="210"/>
        <v>2.2510489983247339E-3</v>
      </c>
      <c r="F1245">
        <v>1470.349976</v>
      </c>
      <c r="G1245">
        <f t="shared" si="211"/>
        <v>-4.4686517613757859E-3</v>
      </c>
      <c r="H1245">
        <v>754.95001219999995</v>
      </c>
      <c r="I1245">
        <f t="shared" si="212"/>
        <v>7.2715306204136354E-3</v>
      </c>
      <c r="J1245">
        <v>1906.849976</v>
      </c>
      <c r="K1245">
        <f t="shared" si="213"/>
        <v>1.5231624121614384E-3</v>
      </c>
      <c r="L1245">
        <v>250.6499939</v>
      </c>
      <c r="M1245">
        <f t="shared" si="214"/>
        <v>5.8186076165236411E-3</v>
      </c>
      <c r="N1245">
        <v>914.75</v>
      </c>
      <c r="O1245">
        <f t="shared" si="215"/>
        <v>-6.3545250435046441E-3</v>
      </c>
      <c r="P1245">
        <v>163.8999939</v>
      </c>
      <c r="Q1245">
        <f t="shared" si="216"/>
        <v>1.1728357407407408E-2</v>
      </c>
      <c r="R1245">
        <v>433.75</v>
      </c>
      <c r="S1245">
        <f t="shared" si="217"/>
        <v>-4.3612852670810165E-3</v>
      </c>
      <c r="T1245">
        <v>4003.3500979999999</v>
      </c>
      <c r="U1245">
        <f t="shared" si="218"/>
        <v>7.5376747215714079E-3</v>
      </c>
      <c r="W1245">
        <f t="shared" si="219"/>
        <v>6.6545125739397881E-4</v>
      </c>
      <c r="X1245">
        <v>4.9817901017512826E-3</v>
      </c>
    </row>
    <row r="1246" spans="1:24" x14ac:dyDescent="0.35">
      <c r="A1246" s="1">
        <v>44652</v>
      </c>
      <c r="B1246">
        <v>2451.3486330000001</v>
      </c>
      <c r="C1246">
        <f t="shared" si="209"/>
        <v>8.0083703670235096E-3</v>
      </c>
      <c r="D1246">
        <v>3758.75</v>
      </c>
      <c r="E1246">
        <f t="shared" si="210"/>
        <v>5.0268183388317844E-3</v>
      </c>
      <c r="F1246">
        <v>1506</v>
      </c>
      <c r="G1246">
        <f t="shared" si="211"/>
        <v>2.4245944558712429E-2</v>
      </c>
      <c r="H1246">
        <v>758.5</v>
      </c>
      <c r="I1246">
        <f t="shared" si="212"/>
        <v>4.7022819294419982E-3</v>
      </c>
      <c r="J1246">
        <v>1903.5500489999999</v>
      </c>
      <c r="K1246">
        <f t="shared" si="213"/>
        <v>-1.7305645654003277E-3</v>
      </c>
      <c r="L1246">
        <v>253.3000031</v>
      </c>
      <c r="M1246">
        <f t="shared" si="214"/>
        <v>1.0572548432046913E-2</v>
      </c>
      <c r="N1246">
        <v>908.70001219999995</v>
      </c>
      <c r="O1246">
        <f t="shared" si="215"/>
        <v>-6.6138155780268715E-3</v>
      </c>
      <c r="P1246">
        <v>167.9499969</v>
      </c>
      <c r="Q1246">
        <f t="shared" si="216"/>
        <v>2.471020836322313E-2</v>
      </c>
      <c r="R1246">
        <v>441.14999390000003</v>
      </c>
      <c r="S1246">
        <f t="shared" si="217"/>
        <v>1.7060504668587884E-2</v>
      </c>
      <c r="T1246">
        <v>4082.1999510000001</v>
      </c>
      <c r="U1246">
        <f t="shared" si="218"/>
        <v>1.9695967394755654E-2</v>
      </c>
      <c r="W1246">
        <f t="shared" si="219"/>
        <v>1.0567826390919612E-2</v>
      </c>
      <c r="X1246">
        <v>4.9876540788763024E-3</v>
      </c>
    </row>
    <row r="1247" spans="1:24" x14ac:dyDescent="0.35">
      <c r="A1247" s="1">
        <v>44655</v>
      </c>
      <c r="B1247">
        <v>2458.5942380000001</v>
      </c>
      <c r="C1247">
        <f t="shared" si="209"/>
        <v>2.9557627595111491E-3</v>
      </c>
      <c r="D1247">
        <v>3770.3500979999999</v>
      </c>
      <c r="E1247">
        <f t="shared" si="210"/>
        <v>3.0861584303292222E-3</v>
      </c>
      <c r="F1247">
        <v>1656.8000489999999</v>
      </c>
      <c r="G1247">
        <f t="shared" si="211"/>
        <v>0.10013283466135459</v>
      </c>
      <c r="H1247">
        <v>767.79998780000005</v>
      </c>
      <c r="I1247">
        <f t="shared" si="212"/>
        <v>1.226102544495733E-2</v>
      </c>
      <c r="J1247">
        <v>1882.9499510000001</v>
      </c>
      <c r="K1247">
        <f t="shared" si="213"/>
        <v>-1.0821936628785722E-2</v>
      </c>
      <c r="L1247">
        <v>255.4499969</v>
      </c>
      <c r="M1247">
        <f t="shared" si="214"/>
        <v>8.4879343611821145E-3</v>
      </c>
      <c r="N1247">
        <v>926.04998780000005</v>
      </c>
      <c r="O1247">
        <f t="shared" si="215"/>
        <v>1.9093182972447664E-2</v>
      </c>
      <c r="P1247">
        <v>168.0500031</v>
      </c>
      <c r="Q1247">
        <f t="shared" si="216"/>
        <v>5.9545222891266292E-4</v>
      </c>
      <c r="R1247">
        <v>446.75</v>
      </c>
      <c r="S1247">
        <f t="shared" si="217"/>
        <v>1.2694108982056029E-2</v>
      </c>
      <c r="T1247">
        <v>4106.6499020000001</v>
      </c>
      <c r="U1247">
        <f t="shared" si="218"/>
        <v>5.989405539532866E-3</v>
      </c>
      <c r="W1247">
        <f t="shared" si="219"/>
        <v>1.5447392875149792E-2</v>
      </c>
      <c r="X1247">
        <v>5.0344261903623741E-3</v>
      </c>
    </row>
    <row r="1248" spans="1:24" x14ac:dyDescent="0.35">
      <c r="A1248" s="1">
        <v>44656</v>
      </c>
      <c r="B1248">
        <v>2423.8432619999999</v>
      </c>
      <c r="C1248">
        <f t="shared" si="209"/>
        <v>-1.4134490133788535E-2</v>
      </c>
      <c r="D1248">
        <v>3814.8000489999999</v>
      </c>
      <c r="E1248">
        <f t="shared" si="210"/>
        <v>1.1789343123223217E-2</v>
      </c>
      <c r="F1248">
        <v>1608.25</v>
      </c>
      <c r="G1248">
        <f t="shared" si="211"/>
        <v>-2.9303505289792531E-2</v>
      </c>
      <c r="H1248">
        <v>766.59997559999999</v>
      </c>
      <c r="I1248">
        <f t="shared" si="212"/>
        <v>-1.5629229214219054E-3</v>
      </c>
      <c r="J1248">
        <v>1861.099976</v>
      </c>
      <c r="K1248">
        <f t="shared" si="213"/>
        <v>-1.1604118839375399E-2</v>
      </c>
      <c r="L1248">
        <v>259.4500122</v>
      </c>
      <c r="M1248">
        <f t="shared" si="214"/>
        <v>1.5658701697169652E-2</v>
      </c>
      <c r="N1248">
        <v>929.09997559999999</v>
      </c>
      <c r="O1248">
        <f t="shared" si="215"/>
        <v>3.2935455322944396E-3</v>
      </c>
      <c r="P1248">
        <v>171.8500061</v>
      </c>
      <c r="Q1248">
        <f t="shared" si="216"/>
        <v>2.2612335197273126E-2</v>
      </c>
      <c r="R1248">
        <v>458.0499878</v>
      </c>
      <c r="S1248">
        <f t="shared" si="217"/>
        <v>2.529376116396187E-2</v>
      </c>
      <c r="T1248">
        <v>4109.7001950000003</v>
      </c>
      <c r="U1248">
        <f t="shared" si="218"/>
        <v>7.4276918480786769E-4</v>
      </c>
      <c r="W1248">
        <f t="shared" si="219"/>
        <v>2.2785418714351803E-3</v>
      </c>
      <c r="X1248">
        <v>5.0390782830285526E-3</v>
      </c>
    </row>
    <row r="1249" spans="1:24" x14ac:dyDescent="0.35">
      <c r="A1249" s="1">
        <v>44657</v>
      </c>
      <c r="B1249">
        <v>2417.3823240000002</v>
      </c>
      <c r="C1249">
        <f t="shared" si="209"/>
        <v>-2.6655758238544047E-3</v>
      </c>
      <c r="D1249">
        <v>3755.3500979999999</v>
      </c>
      <c r="E1249">
        <f t="shared" si="210"/>
        <v>-1.5584028058189814E-2</v>
      </c>
      <c r="F1249">
        <v>1550.849976</v>
      </c>
      <c r="G1249">
        <f t="shared" si="211"/>
        <v>-3.5690983367013818E-2</v>
      </c>
      <c r="H1249">
        <v>775.65002440000001</v>
      </c>
      <c r="I1249">
        <f t="shared" si="212"/>
        <v>1.1805438413843961E-2</v>
      </c>
      <c r="J1249">
        <v>1828.849976</v>
      </c>
      <c r="K1249">
        <f t="shared" si="213"/>
        <v>-1.7328461885918633E-2</v>
      </c>
      <c r="L1249">
        <v>259.60000609999997</v>
      </c>
      <c r="M1249">
        <f t="shared" si="214"/>
        <v>5.7812253978362094E-4</v>
      </c>
      <c r="N1249">
        <v>928.09997559999999</v>
      </c>
      <c r="O1249">
        <f t="shared" si="215"/>
        <v>-1.0763104361877218E-3</v>
      </c>
      <c r="P1249">
        <v>172.8000031</v>
      </c>
      <c r="Q1249">
        <f t="shared" si="216"/>
        <v>5.5280591578634741E-3</v>
      </c>
      <c r="R1249">
        <v>456.14999390000003</v>
      </c>
      <c r="S1249">
        <f t="shared" si="217"/>
        <v>-4.1480055684000039E-3</v>
      </c>
      <c r="T1249">
        <v>4101.8999020000001</v>
      </c>
      <c r="U1249">
        <f t="shared" si="218"/>
        <v>-1.8980199600667769E-3</v>
      </c>
      <c r="W1249">
        <f t="shared" si="219"/>
        <v>-6.0479764988140118E-3</v>
      </c>
      <c r="X1249">
        <v>5.0549610743277464E-3</v>
      </c>
    </row>
    <row r="1250" spans="1:24" x14ac:dyDescent="0.35">
      <c r="A1250" s="1">
        <v>44658</v>
      </c>
      <c r="B1250">
        <v>2374.7397460000002</v>
      </c>
      <c r="C1250">
        <f t="shared" si="209"/>
        <v>-1.7639980890337581E-2</v>
      </c>
      <c r="D1250">
        <v>3684.1499020000001</v>
      </c>
      <c r="E1250">
        <f t="shared" si="210"/>
        <v>-1.8959669309638882E-2</v>
      </c>
      <c r="F1250">
        <v>1516.75</v>
      </c>
      <c r="G1250">
        <f t="shared" si="211"/>
        <v>-2.1987926961156923E-2</v>
      </c>
      <c r="H1250">
        <v>762.40002440000001</v>
      </c>
      <c r="I1250">
        <f t="shared" si="212"/>
        <v>-1.70824464425815E-2</v>
      </c>
      <c r="J1250">
        <v>1811</v>
      </c>
      <c r="K1250">
        <f t="shared" si="213"/>
        <v>-9.760218844763191E-3</v>
      </c>
      <c r="L1250">
        <v>256.64999390000003</v>
      </c>
      <c r="M1250">
        <f t="shared" si="214"/>
        <v>-1.1363683091993426E-2</v>
      </c>
      <c r="N1250">
        <v>930.95001219999995</v>
      </c>
      <c r="O1250">
        <f t="shared" si="215"/>
        <v>3.0708293017220889E-3</v>
      </c>
      <c r="P1250">
        <v>168.8500061</v>
      </c>
      <c r="Q1250">
        <f t="shared" si="216"/>
        <v>-2.2858778525102874E-2</v>
      </c>
      <c r="R1250">
        <v>449.5</v>
      </c>
      <c r="S1250">
        <f t="shared" si="217"/>
        <v>-1.4578524583862773E-2</v>
      </c>
      <c r="T1250">
        <v>4159.7001950000003</v>
      </c>
      <c r="U1250">
        <f t="shared" si="218"/>
        <v>1.4091102752609386E-2</v>
      </c>
      <c r="W1250">
        <f t="shared" si="219"/>
        <v>-1.1706929659510566E-2</v>
      </c>
      <c r="X1250">
        <v>5.0561606870923818E-3</v>
      </c>
    </row>
    <row r="1251" spans="1:24" x14ac:dyDescent="0.35">
      <c r="A1251" s="1">
        <v>44659</v>
      </c>
      <c r="B1251">
        <v>2414.2441410000001</v>
      </c>
      <c r="C1251">
        <f t="shared" si="209"/>
        <v>1.6635252375145848E-2</v>
      </c>
      <c r="D1251">
        <v>3685.6499020000001</v>
      </c>
      <c r="E1251">
        <f t="shared" si="210"/>
        <v>4.0714955685872134E-4</v>
      </c>
      <c r="F1251">
        <v>1514.650024</v>
      </c>
      <c r="G1251">
        <f t="shared" si="211"/>
        <v>-1.384523487720446E-3</v>
      </c>
      <c r="H1251">
        <v>762.09997559999999</v>
      </c>
      <c r="I1251">
        <f t="shared" si="212"/>
        <v>-3.9355822455033884E-4</v>
      </c>
      <c r="J1251">
        <v>1814.599976</v>
      </c>
      <c r="K1251">
        <f t="shared" si="213"/>
        <v>1.987838763114258E-3</v>
      </c>
      <c r="L1251">
        <v>267.7999878</v>
      </c>
      <c r="M1251">
        <f t="shared" si="214"/>
        <v>4.3444356769961168E-2</v>
      </c>
      <c r="N1251">
        <v>924.59997559999999</v>
      </c>
      <c r="O1251">
        <f t="shared" si="215"/>
        <v>-6.8210285372828361E-3</v>
      </c>
      <c r="P1251">
        <v>170.8999939</v>
      </c>
      <c r="Q1251">
        <f t="shared" si="216"/>
        <v>1.2140880816941868E-2</v>
      </c>
      <c r="R1251">
        <v>452.0499878</v>
      </c>
      <c r="S1251">
        <f t="shared" si="217"/>
        <v>5.67294282536146E-3</v>
      </c>
      <c r="T1251">
        <v>4146.25</v>
      </c>
      <c r="U1251">
        <f t="shared" si="218"/>
        <v>-3.2334529820604585E-3</v>
      </c>
      <c r="W1251">
        <f t="shared" si="219"/>
        <v>6.8455857875769242E-3</v>
      </c>
      <c r="X1251">
        <v>5.0650712502568578E-3</v>
      </c>
    </row>
    <row r="1252" spans="1:24" x14ac:dyDescent="0.35">
      <c r="A1252" s="1">
        <v>44662</v>
      </c>
      <c r="B1252">
        <v>2409.2138669999999</v>
      </c>
      <c r="C1252">
        <f t="shared" si="209"/>
        <v>-2.0835813224410193E-3</v>
      </c>
      <c r="D1252">
        <v>3696.3999020000001</v>
      </c>
      <c r="E1252">
        <f t="shared" si="210"/>
        <v>2.9167176172013587E-3</v>
      </c>
      <c r="F1252">
        <v>1496.150024</v>
      </c>
      <c r="G1252">
        <f t="shared" si="211"/>
        <v>-1.2214042654648205E-2</v>
      </c>
      <c r="H1252">
        <v>758.04998780000005</v>
      </c>
      <c r="I1252">
        <f t="shared" si="212"/>
        <v>-5.3142473817970881E-3</v>
      </c>
      <c r="J1252">
        <v>1766.5500489999999</v>
      </c>
      <c r="K1252">
        <f t="shared" si="213"/>
        <v>-2.6479625060901069E-2</v>
      </c>
      <c r="L1252">
        <v>267.5</v>
      </c>
      <c r="M1252">
        <f t="shared" si="214"/>
        <v>-1.120193478963194E-3</v>
      </c>
      <c r="N1252">
        <v>925.40002440000001</v>
      </c>
      <c r="O1252">
        <f t="shared" si="215"/>
        <v>8.6529182469519128E-4</v>
      </c>
      <c r="P1252">
        <v>171.1999969</v>
      </c>
      <c r="Q1252">
        <f t="shared" si="216"/>
        <v>1.7554301387252558E-3</v>
      </c>
      <c r="R1252">
        <v>452.0499878</v>
      </c>
      <c r="S1252">
        <f t="shared" si="217"/>
        <v>0</v>
      </c>
      <c r="T1252">
        <v>4171.6000979999999</v>
      </c>
      <c r="U1252">
        <f t="shared" si="218"/>
        <v>6.1139820319564553E-3</v>
      </c>
      <c r="W1252">
        <f t="shared" si="219"/>
        <v>-3.5560268286172311E-3</v>
      </c>
      <c r="X1252">
        <v>5.0703522398045766E-3</v>
      </c>
    </row>
    <row r="1253" spans="1:24" x14ac:dyDescent="0.35">
      <c r="A1253" s="1">
        <v>44663</v>
      </c>
      <c r="B1253">
        <v>2363.8483890000002</v>
      </c>
      <c r="C1253">
        <f t="shared" si="209"/>
        <v>-1.8829992065623302E-2</v>
      </c>
      <c r="D1253">
        <v>3691.1000979999999</v>
      </c>
      <c r="E1253">
        <f t="shared" si="210"/>
        <v>-1.4337745212936737E-3</v>
      </c>
      <c r="F1253">
        <v>1493.5</v>
      </c>
      <c r="G1253">
        <f t="shared" si="211"/>
        <v>-1.7712287922271308E-3</v>
      </c>
      <c r="H1253">
        <v>741.65002440000001</v>
      </c>
      <c r="I1253">
        <f t="shared" si="212"/>
        <v>-2.1634408896431423E-2</v>
      </c>
      <c r="J1253">
        <v>1742.4499510000001</v>
      </c>
      <c r="K1253">
        <f t="shared" si="213"/>
        <v>-1.3642465444804297E-2</v>
      </c>
      <c r="L1253">
        <v>264.7999878</v>
      </c>
      <c r="M1253">
        <f t="shared" si="214"/>
        <v>-1.0093503551401928E-2</v>
      </c>
      <c r="N1253">
        <v>921.29998780000005</v>
      </c>
      <c r="O1253">
        <f t="shared" si="215"/>
        <v>-4.4305559670352324E-3</v>
      </c>
      <c r="P1253">
        <v>168.8999939</v>
      </c>
      <c r="Q1253">
        <f t="shared" si="216"/>
        <v>-1.343459720588347E-2</v>
      </c>
      <c r="R1253">
        <v>438.2999878</v>
      </c>
      <c r="S1253">
        <f t="shared" si="217"/>
        <v>-3.0416990091997054E-2</v>
      </c>
      <c r="T1253">
        <v>4088.6999510000001</v>
      </c>
      <c r="U1253">
        <f t="shared" si="218"/>
        <v>-1.9872505765771931E-2</v>
      </c>
      <c r="W1253">
        <f t="shared" si="219"/>
        <v>-1.3556002230246946E-2</v>
      </c>
      <c r="X1253">
        <v>5.0781738334945373E-3</v>
      </c>
    </row>
    <row r="1254" spans="1:24" x14ac:dyDescent="0.35">
      <c r="A1254" s="1">
        <v>44664</v>
      </c>
      <c r="B1254">
        <v>2355.1721189999998</v>
      </c>
      <c r="C1254">
        <f t="shared" si="209"/>
        <v>-3.6704003693193155E-3</v>
      </c>
      <c r="D1254">
        <v>3661.9499510000001</v>
      </c>
      <c r="E1254">
        <f t="shared" si="210"/>
        <v>-7.8974143821769482E-3</v>
      </c>
      <c r="F1254">
        <v>1464.9499510000001</v>
      </c>
      <c r="G1254">
        <f t="shared" si="211"/>
        <v>-1.9116202879142952E-2</v>
      </c>
      <c r="H1254">
        <v>740.65002440000001</v>
      </c>
      <c r="I1254">
        <f t="shared" si="212"/>
        <v>-1.3483448622670924E-3</v>
      </c>
      <c r="J1254">
        <v>1748.5500489999999</v>
      </c>
      <c r="K1254">
        <f t="shared" si="213"/>
        <v>3.5008741550934808E-3</v>
      </c>
      <c r="L1254">
        <v>269.5499878</v>
      </c>
      <c r="M1254">
        <f t="shared" si="214"/>
        <v>1.7938067291708437E-2</v>
      </c>
      <c r="N1254">
        <v>936.75</v>
      </c>
      <c r="O1254">
        <f t="shared" si="215"/>
        <v>1.6769795294248935E-2</v>
      </c>
      <c r="P1254">
        <v>174.25</v>
      </c>
      <c r="Q1254">
        <f t="shared" si="216"/>
        <v>3.1675584921379896E-2</v>
      </c>
      <c r="R1254">
        <v>431.0499878</v>
      </c>
      <c r="S1254">
        <f t="shared" si="217"/>
        <v>-1.6541182299343871E-2</v>
      </c>
      <c r="T1254">
        <v>4090.8999020000001</v>
      </c>
      <c r="U1254">
        <f t="shared" si="218"/>
        <v>5.380563568775365E-4</v>
      </c>
      <c r="W1254">
        <f t="shared" si="219"/>
        <v>2.1848833227058107E-3</v>
      </c>
      <c r="X1254">
        <v>5.1116238373089887E-3</v>
      </c>
    </row>
    <row r="1255" spans="1:24" x14ac:dyDescent="0.35">
      <c r="A1255" s="1">
        <v>44669</v>
      </c>
      <c r="B1255">
        <v>2347.9726559999999</v>
      </c>
      <c r="C1255">
        <f t="shared" si="209"/>
        <v>-3.0568733987292873E-3</v>
      </c>
      <c r="D1255">
        <v>3528.0500489999999</v>
      </c>
      <c r="E1255">
        <f t="shared" si="210"/>
        <v>-3.65651917125287E-2</v>
      </c>
      <c r="F1255">
        <v>1395.4499510000001</v>
      </c>
      <c r="G1255">
        <f t="shared" si="211"/>
        <v>-4.7441893801599244E-2</v>
      </c>
      <c r="H1255">
        <v>729.5</v>
      </c>
      <c r="I1255">
        <f t="shared" si="212"/>
        <v>-1.5054376605243003E-2</v>
      </c>
      <c r="J1255">
        <v>1621.400024</v>
      </c>
      <c r="K1255">
        <f t="shared" si="213"/>
        <v>-7.2717406672298202E-2</v>
      </c>
      <c r="L1255">
        <v>270.10000609999997</v>
      </c>
      <c r="M1255">
        <f t="shared" si="214"/>
        <v>2.0405057499319756E-3</v>
      </c>
      <c r="N1255">
        <v>927.5</v>
      </c>
      <c r="O1255">
        <f t="shared" si="215"/>
        <v>-9.8745663197224998E-3</v>
      </c>
      <c r="P1255">
        <v>175.8000031</v>
      </c>
      <c r="Q1255">
        <f t="shared" si="216"/>
        <v>8.8952832137731974E-3</v>
      </c>
      <c r="R1255">
        <v>433.7999878</v>
      </c>
      <c r="S1255">
        <f t="shared" si="217"/>
        <v>6.3797705088346479E-3</v>
      </c>
      <c r="T1255">
        <v>4056</v>
      </c>
      <c r="U1255">
        <f t="shared" si="218"/>
        <v>-8.5311063179369651E-3</v>
      </c>
      <c r="W1255">
        <f t="shared" si="219"/>
        <v>-1.7592585535551809E-2</v>
      </c>
      <c r="X1255">
        <v>5.1403444080631577E-3</v>
      </c>
    </row>
    <row r="1256" spans="1:24" x14ac:dyDescent="0.35">
      <c r="A1256" s="1">
        <v>44670</v>
      </c>
      <c r="B1256">
        <v>2437.4575199999999</v>
      </c>
      <c r="C1256">
        <f t="shared" si="209"/>
        <v>3.8111544345003745E-2</v>
      </c>
      <c r="D1256">
        <v>3471.8999020000001</v>
      </c>
      <c r="E1256">
        <f t="shared" si="210"/>
        <v>-1.5915348767774784E-2</v>
      </c>
      <c r="F1256">
        <v>1342.1999510000001</v>
      </c>
      <c r="G1256">
        <f t="shared" si="211"/>
        <v>-3.815973475927259E-2</v>
      </c>
      <c r="H1256">
        <v>723.5</v>
      </c>
      <c r="I1256">
        <f t="shared" si="212"/>
        <v>-8.2248115147360856E-3</v>
      </c>
      <c r="J1256">
        <v>1562</v>
      </c>
      <c r="K1256">
        <f t="shared" si="213"/>
        <v>-3.6635021044011062E-2</v>
      </c>
      <c r="L1256">
        <v>261.5499878</v>
      </c>
      <c r="M1256">
        <f t="shared" si="214"/>
        <v>-3.165500965162682E-2</v>
      </c>
      <c r="N1256">
        <v>922</v>
      </c>
      <c r="O1256">
        <f t="shared" si="215"/>
        <v>-5.9299191374663218E-3</v>
      </c>
      <c r="P1256">
        <v>177.1499939</v>
      </c>
      <c r="Q1256">
        <f t="shared" si="216"/>
        <v>7.6791284197650356E-3</v>
      </c>
      <c r="R1256">
        <v>424.9500122</v>
      </c>
      <c r="S1256">
        <f t="shared" si="217"/>
        <v>-2.0401050827323242E-2</v>
      </c>
      <c r="T1256">
        <v>4008.8999020000001</v>
      </c>
      <c r="U1256">
        <f t="shared" si="218"/>
        <v>-1.1612450197238666E-2</v>
      </c>
      <c r="W1256">
        <f t="shared" si="219"/>
        <v>-1.227426731346808E-2</v>
      </c>
      <c r="X1256">
        <v>5.1528160285933986E-3</v>
      </c>
    </row>
    <row r="1257" spans="1:24" x14ac:dyDescent="0.35">
      <c r="A1257" s="1">
        <v>44671</v>
      </c>
      <c r="B1257">
        <v>2509.1284179999998</v>
      </c>
      <c r="C1257">
        <f t="shared" si="209"/>
        <v>2.9403957776461986E-2</v>
      </c>
      <c r="D1257">
        <v>3556.8000489999999</v>
      </c>
      <c r="E1257">
        <f t="shared" si="210"/>
        <v>2.4453512312118342E-2</v>
      </c>
      <c r="F1257">
        <v>1354.3000489999999</v>
      </c>
      <c r="G1257">
        <f t="shared" si="211"/>
        <v>9.0151232616160204E-3</v>
      </c>
      <c r="H1257">
        <v>739.34997559999999</v>
      </c>
      <c r="I1257">
        <f t="shared" si="212"/>
        <v>2.1907360884588778E-2</v>
      </c>
      <c r="J1257">
        <v>1587.6999510000001</v>
      </c>
      <c r="K1257">
        <f t="shared" si="213"/>
        <v>1.6453233674776024E-2</v>
      </c>
      <c r="L1257">
        <v>259.5499878</v>
      </c>
      <c r="M1257">
        <f t="shared" si="214"/>
        <v>-7.6467218248518209E-3</v>
      </c>
      <c r="N1257">
        <v>923.5</v>
      </c>
      <c r="O1257">
        <f t="shared" si="215"/>
        <v>1.6268980477223138E-3</v>
      </c>
      <c r="P1257">
        <v>175.5</v>
      </c>
      <c r="Q1257">
        <f t="shared" si="216"/>
        <v>-9.3141064454758116E-3</v>
      </c>
      <c r="R1257">
        <v>440.5499878</v>
      </c>
      <c r="S1257">
        <f t="shared" si="217"/>
        <v>3.6710142727700346E-2</v>
      </c>
      <c r="T1257">
        <v>4054.8000489999999</v>
      </c>
      <c r="U1257">
        <f t="shared" si="218"/>
        <v>1.1449561755608073E-2</v>
      </c>
      <c r="W1257">
        <f t="shared" si="219"/>
        <v>1.3405896217026429E-2</v>
      </c>
      <c r="X1257">
        <v>5.1600040459914964E-3</v>
      </c>
    </row>
    <row r="1258" spans="1:24" x14ac:dyDescent="0.35">
      <c r="A1258" s="1">
        <v>44672</v>
      </c>
      <c r="B1258">
        <v>2567.8774410000001</v>
      </c>
      <c r="C1258">
        <f t="shared" si="209"/>
        <v>2.3414115666040125E-2</v>
      </c>
      <c r="D1258">
        <v>3628.6499020000001</v>
      </c>
      <c r="E1258">
        <f t="shared" si="210"/>
        <v>2.020070063263768E-2</v>
      </c>
      <c r="F1258">
        <v>1374.349976</v>
      </c>
      <c r="G1258">
        <f t="shared" si="211"/>
        <v>1.4804641714961653E-2</v>
      </c>
      <c r="H1258">
        <v>735.75</v>
      </c>
      <c r="I1258">
        <f t="shared" si="212"/>
        <v>-4.8691089724842707E-3</v>
      </c>
      <c r="J1258">
        <v>1618.8000489999999</v>
      </c>
      <c r="K1258">
        <f t="shared" si="213"/>
        <v>1.9588145720110139E-2</v>
      </c>
      <c r="L1258">
        <v>260.39999390000003</v>
      </c>
      <c r="M1258">
        <f t="shared" si="214"/>
        <v>3.2749225195687348E-3</v>
      </c>
      <c r="N1258">
        <v>944.09997559999999</v>
      </c>
      <c r="O1258">
        <f t="shared" si="215"/>
        <v>2.2306416459122902E-2</v>
      </c>
      <c r="P1258">
        <v>174.1499939</v>
      </c>
      <c r="Q1258">
        <f t="shared" si="216"/>
        <v>-7.6923424501424975E-3</v>
      </c>
      <c r="R1258">
        <v>448.0499878</v>
      </c>
      <c r="S1258">
        <f t="shared" si="217"/>
        <v>1.7024174798989655E-2</v>
      </c>
      <c r="T1258">
        <v>4030.25</v>
      </c>
      <c r="U1258">
        <f t="shared" si="218"/>
        <v>-6.0545646402599962E-3</v>
      </c>
      <c r="W1258">
        <f t="shared" si="219"/>
        <v>1.0199710144854414E-2</v>
      </c>
      <c r="X1258">
        <v>5.1717792591742468E-3</v>
      </c>
    </row>
    <row r="1259" spans="1:24" x14ac:dyDescent="0.35">
      <c r="A1259" s="1">
        <v>44673</v>
      </c>
      <c r="B1259">
        <v>2546.3715820000002</v>
      </c>
      <c r="C1259">
        <f t="shared" si="209"/>
        <v>-8.3749553840174462E-3</v>
      </c>
      <c r="D1259">
        <v>3612.5500489999999</v>
      </c>
      <c r="E1259">
        <f t="shared" si="210"/>
        <v>-4.4368714080480487E-3</v>
      </c>
      <c r="F1259">
        <v>1355.599976</v>
      </c>
      <c r="G1259">
        <f t="shared" si="211"/>
        <v>-1.3642813204371218E-2</v>
      </c>
      <c r="H1259">
        <v>738.75</v>
      </c>
      <c r="I1259">
        <f t="shared" si="212"/>
        <v>4.0774719673801751E-3</v>
      </c>
      <c r="J1259">
        <v>1585.4499510000001</v>
      </c>
      <c r="K1259">
        <f t="shared" si="213"/>
        <v>-2.0601740172050076E-2</v>
      </c>
      <c r="L1259">
        <v>261.10000609999997</v>
      </c>
      <c r="M1259">
        <f t="shared" si="214"/>
        <v>2.6882189569819026E-3</v>
      </c>
      <c r="N1259">
        <v>924.79998780000005</v>
      </c>
      <c r="O1259">
        <f t="shared" si="215"/>
        <v>-2.0442737314694148E-2</v>
      </c>
      <c r="P1259">
        <v>174</v>
      </c>
      <c r="Q1259">
        <f t="shared" si="216"/>
        <v>-8.6129144561508664E-4</v>
      </c>
      <c r="R1259">
        <v>438.85000609999997</v>
      </c>
      <c r="S1259">
        <f t="shared" si="217"/>
        <v>-2.0533382324533611E-2</v>
      </c>
      <c r="T1259">
        <v>4028.8500979999999</v>
      </c>
      <c r="U1259">
        <f t="shared" si="218"/>
        <v>-3.4734867564045757E-4</v>
      </c>
      <c r="W1259">
        <f t="shared" si="219"/>
        <v>-8.2475449004608039E-3</v>
      </c>
      <c r="X1259">
        <v>5.1786770545419244E-3</v>
      </c>
    </row>
    <row r="1260" spans="1:24" x14ac:dyDescent="0.35">
      <c r="A1260" s="1">
        <v>44676</v>
      </c>
      <c r="B1260">
        <v>2487.4841310000002</v>
      </c>
      <c r="C1260">
        <f t="shared" si="209"/>
        <v>-2.3126024267733913E-2</v>
      </c>
      <c r="D1260">
        <v>3548.1999510000001</v>
      </c>
      <c r="E1260">
        <f t="shared" si="210"/>
        <v>-1.7812929129608301E-2</v>
      </c>
      <c r="F1260">
        <v>1365.75</v>
      </c>
      <c r="G1260">
        <f t="shared" si="211"/>
        <v>7.4874772644581977E-3</v>
      </c>
      <c r="H1260">
        <v>739.34997559999999</v>
      </c>
      <c r="I1260">
        <f t="shared" si="212"/>
        <v>8.1214971235188393E-4</v>
      </c>
      <c r="J1260">
        <v>1561.099976</v>
      </c>
      <c r="K1260">
        <f t="shared" si="213"/>
        <v>-1.535840029806157E-2</v>
      </c>
      <c r="L1260">
        <v>255.25</v>
      </c>
      <c r="M1260">
        <f t="shared" si="214"/>
        <v>-2.2405231571536066E-2</v>
      </c>
      <c r="N1260">
        <v>900</v>
      </c>
      <c r="O1260">
        <f t="shared" si="215"/>
        <v>-2.6816596158263928E-2</v>
      </c>
      <c r="P1260">
        <v>169.6499939</v>
      </c>
      <c r="Q1260">
        <f t="shared" si="216"/>
        <v>-2.5000035057471282E-2</v>
      </c>
      <c r="R1260">
        <v>425.14999390000003</v>
      </c>
      <c r="S1260">
        <f t="shared" si="217"/>
        <v>-3.121798338742221E-2</v>
      </c>
      <c r="T1260">
        <v>3989.1999510000001</v>
      </c>
      <c r="U1260">
        <f t="shared" si="218"/>
        <v>-9.8415542985039739E-3</v>
      </c>
      <c r="W1260">
        <f t="shared" si="219"/>
        <v>-1.6327912719179119E-2</v>
      </c>
      <c r="X1260">
        <v>5.1973868437857236E-3</v>
      </c>
    </row>
    <row r="1261" spans="1:24" x14ac:dyDescent="0.35">
      <c r="A1261" s="1">
        <v>44677</v>
      </c>
      <c r="B1261">
        <v>2561.9240719999998</v>
      </c>
      <c r="C1261">
        <f t="shared" si="209"/>
        <v>2.9925795333646477E-2</v>
      </c>
      <c r="D1261">
        <v>3546.3000489999999</v>
      </c>
      <c r="E1261">
        <f t="shared" si="210"/>
        <v>-5.3545516775754809E-4</v>
      </c>
      <c r="F1261">
        <v>1372.0500489999999</v>
      </c>
      <c r="G1261">
        <f t="shared" si="211"/>
        <v>4.6128859600951255E-3</v>
      </c>
      <c r="H1261">
        <v>756.29998780000005</v>
      </c>
      <c r="I1261">
        <f t="shared" si="212"/>
        <v>2.2925559964000364E-2</v>
      </c>
      <c r="J1261">
        <v>1581</v>
      </c>
      <c r="K1261">
        <f t="shared" si="213"/>
        <v>1.274743725958527E-2</v>
      </c>
      <c r="L1261">
        <v>258.9500122</v>
      </c>
      <c r="M1261">
        <f t="shared" si="214"/>
        <v>1.449564035259554E-2</v>
      </c>
      <c r="N1261">
        <v>918.04998780000005</v>
      </c>
      <c r="O1261">
        <f t="shared" si="215"/>
        <v>2.0055542000000148E-2</v>
      </c>
      <c r="P1261">
        <v>166.9499969</v>
      </c>
      <c r="Q1261">
        <f t="shared" si="216"/>
        <v>-1.5915102252178737E-2</v>
      </c>
      <c r="R1261">
        <v>434.89999390000003</v>
      </c>
      <c r="S1261">
        <f t="shared" si="217"/>
        <v>2.2933082770532298E-2</v>
      </c>
      <c r="T1261">
        <v>4044.25</v>
      </c>
      <c r="U1261">
        <f t="shared" si="218"/>
        <v>1.3799771802915028E-2</v>
      </c>
      <c r="W1261">
        <f t="shared" si="219"/>
        <v>1.2504515802343397E-2</v>
      </c>
      <c r="X1261">
        <v>5.2011474704708235E-3</v>
      </c>
    </row>
    <row r="1262" spans="1:24" x14ac:dyDescent="0.35">
      <c r="A1262" s="1">
        <v>44678</v>
      </c>
      <c r="B1262">
        <v>2564.41626</v>
      </c>
      <c r="C1262">
        <f t="shared" si="209"/>
        <v>9.7277980531829122E-4</v>
      </c>
      <c r="D1262">
        <v>3561.1999510000001</v>
      </c>
      <c r="E1262">
        <f t="shared" si="210"/>
        <v>4.2015344990906645E-3</v>
      </c>
      <c r="F1262">
        <v>1372.5500489999999</v>
      </c>
      <c r="G1262">
        <f t="shared" si="211"/>
        <v>3.6441819331911596E-4</v>
      </c>
      <c r="H1262">
        <v>752.5</v>
      </c>
      <c r="I1262">
        <f t="shared" si="212"/>
        <v>-5.0244451425337511E-3</v>
      </c>
      <c r="J1262">
        <v>1552.8000489999999</v>
      </c>
      <c r="K1262">
        <f t="shared" si="213"/>
        <v>-1.7836781151170156E-2</v>
      </c>
      <c r="L1262">
        <v>257.5</v>
      </c>
      <c r="M1262">
        <f t="shared" si="214"/>
        <v>-5.5995834396025401E-3</v>
      </c>
      <c r="N1262">
        <v>906.09997559999999</v>
      </c>
      <c r="O1262">
        <f t="shared" si="215"/>
        <v>-1.3016733684226622E-2</v>
      </c>
      <c r="P1262">
        <v>164.8500061</v>
      </c>
      <c r="Q1262">
        <f t="shared" si="216"/>
        <v>-1.2578561479446138E-2</v>
      </c>
      <c r="R1262">
        <v>430.25</v>
      </c>
      <c r="S1262">
        <f t="shared" si="217"/>
        <v>-1.0692099253211795E-2</v>
      </c>
      <c r="T1262">
        <v>3977.6999510000001</v>
      </c>
      <c r="U1262">
        <f t="shared" si="218"/>
        <v>-1.6455473573592116E-2</v>
      </c>
      <c r="W1262">
        <f t="shared" si="219"/>
        <v>-7.5664945226055049E-3</v>
      </c>
      <c r="X1262">
        <v>5.2395778778313367E-3</v>
      </c>
    </row>
    <row r="1263" spans="1:24" x14ac:dyDescent="0.35">
      <c r="A1263" s="1">
        <v>44679</v>
      </c>
      <c r="B1263">
        <v>2602.720703</v>
      </c>
      <c r="C1263">
        <f t="shared" si="209"/>
        <v>1.4936905368085673E-2</v>
      </c>
      <c r="D1263">
        <v>3584.3000489999999</v>
      </c>
      <c r="E1263">
        <f t="shared" si="210"/>
        <v>6.4866051661922608E-3</v>
      </c>
      <c r="F1263">
        <v>1371.349976</v>
      </c>
      <c r="G1263">
        <f t="shared" si="211"/>
        <v>-8.7433824425875439E-4</v>
      </c>
      <c r="H1263">
        <v>747.34997559999999</v>
      </c>
      <c r="I1263">
        <f t="shared" si="212"/>
        <v>-6.8438862458471972E-3</v>
      </c>
      <c r="J1263">
        <v>1582.599976</v>
      </c>
      <c r="K1263">
        <f t="shared" si="213"/>
        <v>1.9191090970914759E-2</v>
      </c>
      <c r="L1263">
        <v>261.10000609999997</v>
      </c>
      <c r="M1263">
        <f t="shared" si="214"/>
        <v>1.3980606213592095E-2</v>
      </c>
      <c r="N1263">
        <v>921</v>
      </c>
      <c r="O1263">
        <f t="shared" si="215"/>
        <v>1.6444128464006891E-2</v>
      </c>
      <c r="P1263">
        <v>164.8000031</v>
      </c>
      <c r="Q1263">
        <f t="shared" si="216"/>
        <v>-3.0332422292822514E-4</v>
      </c>
      <c r="R1263">
        <v>436.0499878</v>
      </c>
      <c r="S1263">
        <f t="shared" si="217"/>
        <v>1.3480506217315558E-2</v>
      </c>
      <c r="T1263">
        <v>4024.5500489999999</v>
      </c>
      <c r="U1263">
        <f t="shared" si="218"/>
        <v>1.177818804262043E-2</v>
      </c>
      <c r="W1263">
        <f t="shared" si="219"/>
        <v>8.8276481729693494E-3</v>
      </c>
      <c r="X1263">
        <v>5.2410364206093461E-3</v>
      </c>
    </row>
    <row r="1264" spans="1:24" x14ac:dyDescent="0.35">
      <c r="A1264" s="1">
        <v>44680</v>
      </c>
      <c r="B1264">
        <v>2575.3999020000001</v>
      </c>
      <c r="C1264">
        <f t="shared" si="209"/>
        <v>-1.0497016052667063E-2</v>
      </c>
      <c r="D1264">
        <v>3546.6999510000001</v>
      </c>
      <c r="E1264">
        <f t="shared" si="210"/>
        <v>-1.0490220541243489E-2</v>
      </c>
      <c r="F1264">
        <v>1384.599976</v>
      </c>
      <c r="G1264">
        <f t="shared" si="211"/>
        <v>9.6620120551924593E-3</v>
      </c>
      <c r="H1264">
        <v>739</v>
      </c>
      <c r="I1264">
        <f t="shared" si="212"/>
        <v>-1.1172778313528808E-2</v>
      </c>
      <c r="J1264">
        <v>1567.5500489999999</v>
      </c>
      <c r="K1264">
        <f t="shared" si="213"/>
        <v>-9.5096216531220801E-3</v>
      </c>
      <c r="L1264">
        <v>259.5499878</v>
      </c>
      <c r="M1264">
        <f t="shared" si="214"/>
        <v>-5.9364927758995822E-3</v>
      </c>
      <c r="N1264">
        <v>928.65002440000001</v>
      </c>
      <c r="O1264">
        <f t="shared" si="215"/>
        <v>8.3062154180237879E-3</v>
      </c>
      <c r="P1264">
        <v>160.4499969</v>
      </c>
      <c r="Q1264">
        <f t="shared" si="216"/>
        <v>-2.6395668192799926E-2</v>
      </c>
      <c r="R1264">
        <v>437.60000609999997</v>
      </c>
      <c r="S1264">
        <f t="shared" si="217"/>
        <v>3.554680296679491E-3</v>
      </c>
      <c r="T1264">
        <v>3944.25</v>
      </c>
      <c r="U1264">
        <f t="shared" si="218"/>
        <v>-1.9952553210253243E-2</v>
      </c>
      <c r="W1264">
        <f t="shared" si="219"/>
        <v>-7.2431442969618457E-3</v>
      </c>
      <c r="X1264">
        <v>5.2514295036558247E-3</v>
      </c>
    </row>
    <row r="1265" spans="1:24" x14ac:dyDescent="0.35">
      <c r="A1265" s="1">
        <v>44683</v>
      </c>
      <c r="B1265">
        <v>2566.3544919999999</v>
      </c>
      <c r="C1265">
        <f t="shared" si="209"/>
        <v>-3.5122351262713014E-3</v>
      </c>
      <c r="D1265">
        <v>3542.3999020000001</v>
      </c>
      <c r="E1265">
        <f t="shared" si="210"/>
        <v>-1.21240845276116E-3</v>
      </c>
      <c r="F1265">
        <v>1403.6999510000001</v>
      </c>
      <c r="G1265">
        <f t="shared" si="211"/>
        <v>1.3794579901104997E-2</v>
      </c>
      <c r="H1265">
        <v>741.34997559999999</v>
      </c>
      <c r="I1265">
        <f t="shared" si="212"/>
        <v>3.1799399188092714E-3</v>
      </c>
      <c r="J1265">
        <v>1541</v>
      </c>
      <c r="K1265">
        <f t="shared" si="213"/>
        <v>-1.6937289509152964E-2</v>
      </c>
      <c r="L1265">
        <v>263.14999390000003</v>
      </c>
      <c r="M1265">
        <f t="shared" si="214"/>
        <v>1.3870184046296474E-2</v>
      </c>
      <c r="N1265">
        <v>923.40002440000001</v>
      </c>
      <c r="O1265">
        <f t="shared" si="215"/>
        <v>-5.6533676434155078E-3</v>
      </c>
      <c r="P1265">
        <v>156.3500061</v>
      </c>
      <c r="Q1265">
        <f t="shared" si="216"/>
        <v>-2.555307497173287E-2</v>
      </c>
      <c r="R1265">
        <v>432.85000609999997</v>
      </c>
      <c r="S1265">
        <f t="shared" si="217"/>
        <v>-1.0854661640280039E-2</v>
      </c>
      <c r="T1265">
        <v>3983.3500979999999</v>
      </c>
      <c r="U1265">
        <f t="shared" si="218"/>
        <v>9.9131895797679448E-3</v>
      </c>
      <c r="W1265">
        <f t="shared" si="219"/>
        <v>-2.2965143897635152E-3</v>
      </c>
      <c r="X1265">
        <v>5.2675177961623246E-3</v>
      </c>
    </row>
    <row r="1266" spans="1:24" x14ac:dyDescent="0.35">
      <c r="A1266" s="1">
        <v>44685</v>
      </c>
      <c r="B1266">
        <v>2486.2380370000001</v>
      </c>
      <c r="C1266">
        <f t="shared" si="209"/>
        <v>-3.1218000182649641E-2</v>
      </c>
      <c r="D1266">
        <v>3479.75</v>
      </c>
      <c r="E1266">
        <f t="shared" si="210"/>
        <v>-1.768572259857748E-2</v>
      </c>
      <c r="F1266">
        <v>1356</v>
      </c>
      <c r="G1266">
        <f t="shared" si="211"/>
        <v>-3.3981586282751164E-2</v>
      </c>
      <c r="H1266">
        <v>722.40002440000001</v>
      </c>
      <c r="I1266">
        <f t="shared" si="212"/>
        <v>-2.5561410701690712E-2</v>
      </c>
      <c r="J1266">
        <v>1535.5500489999999</v>
      </c>
      <c r="K1266">
        <f t="shared" si="213"/>
        <v>-3.5366327060351033E-3</v>
      </c>
      <c r="L1266">
        <v>259.75</v>
      </c>
      <c r="M1266">
        <f t="shared" si="214"/>
        <v>-1.2920364730436118E-2</v>
      </c>
      <c r="N1266">
        <v>900.90002440000001</v>
      </c>
      <c r="O1266">
        <f t="shared" si="215"/>
        <v>-2.4366471091031072E-2</v>
      </c>
      <c r="P1266">
        <v>162.25</v>
      </c>
      <c r="Q1266">
        <f t="shared" si="216"/>
        <v>3.7735808569309581E-2</v>
      </c>
      <c r="R1266">
        <v>423.5</v>
      </c>
      <c r="S1266">
        <f t="shared" si="217"/>
        <v>-2.1601030306650504E-2</v>
      </c>
      <c r="T1266">
        <v>3867.1499020000001</v>
      </c>
      <c r="U1266">
        <f t="shared" si="218"/>
        <v>-2.9171474548105314E-2</v>
      </c>
      <c r="W1266">
        <f t="shared" si="219"/>
        <v>-1.6230688457861756E-2</v>
      </c>
      <c r="X1266">
        <v>5.2762264516462935E-3</v>
      </c>
    </row>
    <row r="1267" spans="1:24" x14ac:dyDescent="0.35">
      <c r="A1267" s="1">
        <v>44686</v>
      </c>
      <c r="B1267">
        <v>2437.5498050000001</v>
      </c>
      <c r="C1267">
        <f t="shared" si="209"/>
        <v>-1.9583093523397821E-2</v>
      </c>
      <c r="D1267">
        <v>3513.3999020000001</v>
      </c>
      <c r="E1267">
        <f t="shared" si="210"/>
        <v>9.6702067677276737E-3</v>
      </c>
      <c r="F1267">
        <v>1352.9499510000001</v>
      </c>
      <c r="G1267">
        <f t="shared" si="211"/>
        <v>-2.2492986725662911E-3</v>
      </c>
      <c r="H1267">
        <v>718.95001219999995</v>
      </c>
      <c r="I1267">
        <f t="shared" si="212"/>
        <v>-4.775764235148694E-3</v>
      </c>
      <c r="J1267">
        <v>1585.150024</v>
      </c>
      <c r="K1267">
        <f t="shared" si="213"/>
        <v>3.230111257676116E-2</v>
      </c>
      <c r="L1267">
        <v>262.0499878</v>
      </c>
      <c r="M1267">
        <f t="shared" si="214"/>
        <v>8.8546209817130794E-3</v>
      </c>
      <c r="N1267">
        <v>878.15002440000001</v>
      </c>
      <c r="O1267">
        <f t="shared" si="215"/>
        <v>-2.5252524568585177E-2</v>
      </c>
      <c r="P1267">
        <v>164.8500061</v>
      </c>
      <c r="Q1267">
        <f t="shared" si="216"/>
        <v>1.6024690909090866E-2</v>
      </c>
      <c r="R1267">
        <v>426.2999878</v>
      </c>
      <c r="S1267">
        <f t="shared" si="217"/>
        <v>6.6115414403777883E-3</v>
      </c>
      <c r="T1267">
        <v>3943.8000489999999</v>
      </c>
      <c r="U1267">
        <f t="shared" si="218"/>
        <v>1.9820836777068918E-2</v>
      </c>
      <c r="W1267">
        <f t="shared" si="219"/>
        <v>4.1422328453041505E-3</v>
      </c>
      <c r="X1267">
        <v>5.3251940799064808E-3</v>
      </c>
    </row>
    <row r="1268" spans="1:24" x14ac:dyDescent="0.35">
      <c r="A1268" s="1">
        <v>44687</v>
      </c>
      <c r="B1268">
        <v>2418.8591310000002</v>
      </c>
      <c r="C1268">
        <f t="shared" si="209"/>
        <v>-7.6678121454835102E-3</v>
      </c>
      <c r="D1268">
        <v>3432.6000979999999</v>
      </c>
      <c r="E1268">
        <f t="shared" si="210"/>
        <v>-2.2997610933502055E-2</v>
      </c>
      <c r="F1268">
        <v>1317.599976</v>
      </c>
      <c r="G1268">
        <f t="shared" si="211"/>
        <v>-2.6128072937119384E-2</v>
      </c>
      <c r="H1268">
        <v>710.25</v>
      </c>
      <c r="I1268">
        <f t="shared" si="212"/>
        <v>-1.2100997360550481E-2</v>
      </c>
      <c r="J1268">
        <v>1542.849976</v>
      </c>
      <c r="K1268">
        <f t="shared" si="213"/>
        <v>-2.6685201627325683E-2</v>
      </c>
      <c r="L1268">
        <v>266.64999390000003</v>
      </c>
      <c r="M1268">
        <f t="shared" si="214"/>
        <v>1.7553926022354283E-2</v>
      </c>
      <c r="N1268">
        <v>883.29998780000005</v>
      </c>
      <c r="O1268">
        <f t="shared" si="215"/>
        <v>5.8645598780444619E-3</v>
      </c>
      <c r="P1268">
        <v>166.9499969</v>
      </c>
      <c r="Q1268">
        <f t="shared" si="216"/>
        <v>1.2738797223496023E-2</v>
      </c>
      <c r="R1268">
        <v>408.5499878</v>
      </c>
      <c r="S1268">
        <f t="shared" si="217"/>
        <v>-4.1637345784601543E-2</v>
      </c>
      <c r="T1268">
        <v>3666.1999510000001</v>
      </c>
      <c r="U1268">
        <f t="shared" si="218"/>
        <v>-7.0388988932232777E-2</v>
      </c>
      <c r="W1268">
        <f t="shared" si="219"/>
        <v>-1.7144874659692069E-2</v>
      </c>
      <c r="X1268">
        <v>5.3395813761476073E-3</v>
      </c>
    </row>
    <row r="1269" spans="1:24" x14ac:dyDescent="0.35">
      <c r="A1269" s="1">
        <v>44690</v>
      </c>
      <c r="B1269">
        <v>2324.3901369999999</v>
      </c>
      <c r="C1269">
        <f t="shared" si="209"/>
        <v>-3.9055186302207279E-2</v>
      </c>
      <c r="D1269">
        <v>3445.1000979999999</v>
      </c>
      <c r="E1269">
        <f t="shared" si="210"/>
        <v>3.6415544028223223E-3</v>
      </c>
      <c r="F1269">
        <v>1319.849976</v>
      </c>
      <c r="G1269">
        <f t="shared" si="211"/>
        <v>1.7076503043287339E-3</v>
      </c>
      <c r="H1269">
        <v>711.5</v>
      </c>
      <c r="I1269">
        <f t="shared" si="212"/>
        <v>1.7599436818021008E-3</v>
      </c>
      <c r="J1269">
        <v>1570.349976</v>
      </c>
      <c r="K1269">
        <f t="shared" si="213"/>
        <v>1.7824156870583474E-2</v>
      </c>
      <c r="L1269">
        <v>262.9500122</v>
      </c>
      <c r="M1269">
        <f t="shared" si="214"/>
        <v>-1.3875798929842142E-2</v>
      </c>
      <c r="N1269">
        <v>885.40002440000001</v>
      </c>
      <c r="O1269">
        <f t="shared" si="215"/>
        <v>2.3774896739559015E-3</v>
      </c>
      <c r="P1269">
        <v>164.75</v>
      </c>
      <c r="Q1269">
        <f t="shared" si="216"/>
        <v>-1.3177579759511837E-2</v>
      </c>
      <c r="R1269">
        <v>403.9500122</v>
      </c>
      <c r="S1269">
        <f t="shared" si="217"/>
        <v>-1.1259272395944486E-2</v>
      </c>
      <c r="T1269">
        <v>3520.3000489999999</v>
      </c>
      <c r="U1269">
        <f t="shared" si="218"/>
        <v>-3.9795947834270207E-2</v>
      </c>
      <c r="W1269">
        <f t="shared" si="219"/>
        <v>-8.9852990288283412E-3</v>
      </c>
      <c r="X1269">
        <v>5.35668735595023E-3</v>
      </c>
    </row>
    <row r="1270" spans="1:24" x14ac:dyDescent="0.35">
      <c r="A1270" s="1">
        <v>44691</v>
      </c>
      <c r="B1270">
        <v>2284.1010740000002</v>
      </c>
      <c r="C1270">
        <f t="shared" si="209"/>
        <v>-1.7333175854892913E-2</v>
      </c>
      <c r="D1270">
        <v>3438.75</v>
      </c>
      <c r="E1270">
        <f t="shared" si="210"/>
        <v>-1.8432259787418692E-3</v>
      </c>
      <c r="F1270">
        <v>1341.0500489999999</v>
      </c>
      <c r="G1270">
        <f t="shared" si="211"/>
        <v>1.6062486938288156E-2</v>
      </c>
      <c r="H1270">
        <v>719.65002440000001</v>
      </c>
      <c r="I1270">
        <f t="shared" si="212"/>
        <v>1.1454707519325424E-2</v>
      </c>
      <c r="J1270">
        <v>1553</v>
      </c>
      <c r="K1270">
        <f t="shared" si="213"/>
        <v>-1.1048477259950618E-2</v>
      </c>
      <c r="L1270">
        <v>259.75</v>
      </c>
      <c r="M1270">
        <f t="shared" si="214"/>
        <v>-1.2169659827077961E-2</v>
      </c>
      <c r="N1270">
        <v>861.84997559999999</v>
      </c>
      <c r="O1270">
        <f t="shared" si="215"/>
        <v>-2.6598202113173541E-2</v>
      </c>
      <c r="P1270">
        <v>154.4499969</v>
      </c>
      <c r="Q1270">
        <f t="shared" si="216"/>
        <v>-6.2518986949924082E-2</v>
      </c>
      <c r="R1270">
        <v>391.75</v>
      </c>
      <c r="S1270">
        <f t="shared" si="217"/>
        <v>-3.0201786932883334E-2</v>
      </c>
      <c r="T1270">
        <v>3414.9499510000001</v>
      </c>
      <c r="U1270">
        <f t="shared" si="218"/>
        <v>-2.9926454146977144E-2</v>
      </c>
      <c r="W1270">
        <f t="shared" si="219"/>
        <v>-1.641227746060079E-2</v>
      </c>
      <c r="X1270">
        <v>5.400763306114365E-3</v>
      </c>
    </row>
    <row r="1271" spans="1:24" x14ac:dyDescent="0.35">
      <c r="A1271" s="1">
        <v>44692</v>
      </c>
      <c r="B1271">
        <v>2260.703125</v>
      </c>
      <c r="C1271">
        <f t="shared" si="209"/>
        <v>-1.0243832580939527E-2</v>
      </c>
      <c r="D1271">
        <v>3412</v>
      </c>
      <c r="E1271">
        <f t="shared" si="210"/>
        <v>-7.7789894583787378E-3</v>
      </c>
      <c r="F1271">
        <v>1348.599976</v>
      </c>
      <c r="G1271">
        <f t="shared" si="211"/>
        <v>5.6298622155301903E-3</v>
      </c>
      <c r="H1271">
        <v>722.84997559999999</v>
      </c>
      <c r="I1271">
        <f t="shared" si="212"/>
        <v>4.4465380275195976E-3</v>
      </c>
      <c r="J1271">
        <v>1526.75</v>
      </c>
      <c r="K1271">
        <f t="shared" si="213"/>
        <v>-1.6902768834513804E-2</v>
      </c>
      <c r="L1271">
        <v>255.6499939</v>
      </c>
      <c r="M1271">
        <f t="shared" si="214"/>
        <v>-1.5784431568816149E-2</v>
      </c>
      <c r="N1271">
        <v>854.79998780000005</v>
      </c>
      <c r="O1271">
        <f t="shared" si="215"/>
        <v>-8.1800638157376593E-3</v>
      </c>
      <c r="P1271">
        <v>158.6000061</v>
      </c>
      <c r="Q1271">
        <f t="shared" si="216"/>
        <v>2.6869597172520132E-2</v>
      </c>
      <c r="R1271">
        <v>388.14999390000003</v>
      </c>
      <c r="S1271">
        <f t="shared" si="217"/>
        <v>-9.1895497128270387E-3</v>
      </c>
      <c r="T1271">
        <v>3339.6999510000001</v>
      </c>
      <c r="U1271">
        <f t="shared" si="218"/>
        <v>-2.203546203597051E-2</v>
      </c>
      <c r="W1271">
        <f t="shared" si="219"/>
        <v>-5.3169100591613505E-3</v>
      </c>
      <c r="X1271">
        <v>5.4156261811168739E-3</v>
      </c>
    </row>
    <row r="1272" spans="1:24" x14ac:dyDescent="0.35">
      <c r="A1272" s="1">
        <v>44693</v>
      </c>
      <c r="B1272">
        <v>2214.6455080000001</v>
      </c>
      <c r="C1272">
        <f t="shared" si="209"/>
        <v>-2.0373138113833456E-2</v>
      </c>
      <c r="D1272">
        <v>3408.6499020000001</v>
      </c>
      <c r="E1272">
        <f t="shared" si="210"/>
        <v>-9.8185756154745008E-4</v>
      </c>
      <c r="F1272">
        <v>1303.0500489999999</v>
      </c>
      <c r="G1272">
        <f t="shared" si="211"/>
        <v>-3.3775713933425155E-2</v>
      </c>
      <c r="H1272">
        <v>705.40002440000001</v>
      </c>
      <c r="I1272">
        <f t="shared" si="212"/>
        <v>-2.4140488052884934E-2</v>
      </c>
      <c r="J1272">
        <v>1508.8000489999999</v>
      </c>
      <c r="K1272">
        <f t="shared" si="213"/>
        <v>-1.1756968069428608E-2</v>
      </c>
      <c r="L1272">
        <v>252.8999939</v>
      </c>
      <c r="M1272">
        <f t="shared" si="214"/>
        <v>-1.0756894447944698E-2</v>
      </c>
      <c r="N1272">
        <v>850</v>
      </c>
      <c r="O1272">
        <f t="shared" si="215"/>
        <v>-5.6153344273597305E-3</v>
      </c>
      <c r="P1272">
        <v>156.5</v>
      </c>
      <c r="Q1272">
        <f t="shared" si="216"/>
        <v>-1.3240895455425838E-2</v>
      </c>
      <c r="R1272">
        <v>372.2999878</v>
      </c>
      <c r="S1272">
        <f t="shared" si="217"/>
        <v>-4.0834745199258005E-2</v>
      </c>
      <c r="T1272">
        <v>3270.4499510000001</v>
      </c>
      <c r="U1272">
        <f t="shared" si="218"/>
        <v>-2.0735395699025161E-2</v>
      </c>
      <c r="W1272">
        <f t="shared" si="219"/>
        <v>-1.8221143096013304E-2</v>
      </c>
      <c r="X1272">
        <v>5.4310852903728711E-3</v>
      </c>
    </row>
    <row r="1273" spans="1:24" x14ac:dyDescent="0.35">
      <c r="A1273" s="1">
        <v>44694</v>
      </c>
      <c r="B1273">
        <v>2239.7509770000001</v>
      </c>
      <c r="C1273">
        <f t="shared" si="209"/>
        <v>1.1336111765657853E-2</v>
      </c>
      <c r="D1273">
        <v>3414.8999020000001</v>
      </c>
      <c r="E1273">
        <f t="shared" si="210"/>
        <v>1.8335705278307302E-3</v>
      </c>
      <c r="F1273">
        <v>1291.349976</v>
      </c>
      <c r="G1273">
        <f t="shared" si="211"/>
        <v>-8.9789897241314698E-3</v>
      </c>
      <c r="H1273">
        <v>689.90002440000001</v>
      </c>
      <c r="I1273">
        <f t="shared" si="212"/>
        <v>-2.1973347694712708E-2</v>
      </c>
      <c r="J1273">
        <v>1504.400024</v>
      </c>
      <c r="K1273">
        <f t="shared" si="213"/>
        <v>-2.9162412891728939E-3</v>
      </c>
      <c r="L1273">
        <v>258.60000609999997</v>
      </c>
      <c r="M1273">
        <f t="shared" si="214"/>
        <v>2.2538601571709949E-2</v>
      </c>
      <c r="N1273">
        <v>882.5</v>
      </c>
      <c r="O1273">
        <f t="shared" si="215"/>
        <v>3.8235294117647145E-2</v>
      </c>
      <c r="P1273">
        <v>153.5500031</v>
      </c>
      <c r="Q1273">
        <f t="shared" si="216"/>
        <v>-1.8849820447284338E-2</v>
      </c>
      <c r="R1273">
        <v>404.2999878</v>
      </c>
      <c r="S1273">
        <f t="shared" si="217"/>
        <v>8.5952191911406794E-2</v>
      </c>
      <c r="T1273">
        <v>3230.6000979999999</v>
      </c>
      <c r="U1273">
        <f t="shared" si="218"/>
        <v>-1.2184822760493708E-2</v>
      </c>
      <c r="W1273">
        <f t="shared" si="219"/>
        <v>9.499254797845736E-3</v>
      </c>
      <c r="X1273">
        <v>5.4526820279664715E-3</v>
      </c>
    </row>
    <row r="1274" spans="1:24" x14ac:dyDescent="0.35">
      <c r="A1274" s="1">
        <v>44697</v>
      </c>
      <c r="B1274">
        <v>2240.304932</v>
      </c>
      <c r="C1274">
        <f t="shared" si="209"/>
        <v>2.4732883507505576E-4</v>
      </c>
      <c r="D1274">
        <v>3376.8000489999999</v>
      </c>
      <c r="E1274">
        <f t="shared" si="210"/>
        <v>-1.1156945765141257E-2</v>
      </c>
      <c r="F1274">
        <v>1305.099976</v>
      </c>
      <c r="G1274">
        <f t="shared" si="211"/>
        <v>1.0647771909665593E-2</v>
      </c>
      <c r="H1274">
        <v>693.20001219999995</v>
      </c>
      <c r="I1274">
        <f t="shared" si="212"/>
        <v>4.7832840749206795E-3</v>
      </c>
      <c r="J1274">
        <v>1489.099976</v>
      </c>
      <c r="K1274">
        <f t="shared" si="213"/>
        <v>-1.0170199252801937E-2</v>
      </c>
      <c r="L1274">
        <v>254.1000061</v>
      </c>
      <c r="M1274">
        <f t="shared" si="214"/>
        <v>-1.7401391700895164E-2</v>
      </c>
      <c r="N1274">
        <v>885.59997559999999</v>
      </c>
      <c r="O1274">
        <f t="shared" si="215"/>
        <v>3.5127202266289625E-3</v>
      </c>
      <c r="P1274">
        <v>153.5</v>
      </c>
      <c r="Q1274">
        <f t="shared" si="216"/>
        <v>-3.2564701394000029E-4</v>
      </c>
      <c r="R1274">
        <v>405.35000609999997</v>
      </c>
      <c r="S1274">
        <f t="shared" si="217"/>
        <v>2.5971267170044054E-3</v>
      </c>
      <c r="T1274">
        <v>3561.1000979999999</v>
      </c>
      <c r="U1274">
        <f t="shared" si="218"/>
        <v>0.10230297467167349</v>
      </c>
      <c r="W1274">
        <f t="shared" si="219"/>
        <v>8.5037022702189845E-3</v>
      </c>
      <c r="X1274">
        <v>5.4546952828840693E-3</v>
      </c>
    </row>
    <row r="1275" spans="1:24" x14ac:dyDescent="0.35">
      <c r="A1275" s="1">
        <v>44698</v>
      </c>
      <c r="B1275">
        <v>2334.4045409999999</v>
      </c>
      <c r="C1275">
        <f t="shared" si="209"/>
        <v>4.2003036129547588E-2</v>
      </c>
      <c r="D1275">
        <v>3451.6000979999999</v>
      </c>
      <c r="E1275">
        <f t="shared" si="210"/>
        <v>2.21511632061695E-2</v>
      </c>
      <c r="F1275">
        <v>1314</v>
      </c>
      <c r="G1275">
        <f t="shared" si="211"/>
        <v>6.8194193269988101E-3</v>
      </c>
      <c r="H1275">
        <v>707.04998780000005</v>
      </c>
      <c r="I1275">
        <f t="shared" si="212"/>
        <v>1.9979768257713415E-2</v>
      </c>
      <c r="J1275">
        <v>1518.4499510000001</v>
      </c>
      <c r="K1275">
        <f t="shared" si="213"/>
        <v>1.9709875410004019E-2</v>
      </c>
      <c r="L1275">
        <v>264.7000122</v>
      </c>
      <c r="M1275">
        <f t="shared" si="214"/>
        <v>4.1715882902531032E-2</v>
      </c>
      <c r="N1275">
        <v>891.75</v>
      </c>
      <c r="O1275">
        <f t="shared" si="215"/>
        <v>6.9444721877203186E-3</v>
      </c>
      <c r="P1275">
        <v>163.1499939</v>
      </c>
      <c r="Q1275">
        <f t="shared" si="216"/>
        <v>6.2866409771986875E-2</v>
      </c>
      <c r="R1275">
        <v>424.14999390000003</v>
      </c>
      <c r="S1275">
        <f t="shared" si="217"/>
        <v>4.6379641093090562E-2</v>
      </c>
      <c r="T1275">
        <v>3657</v>
      </c>
      <c r="U1275">
        <f t="shared" si="218"/>
        <v>2.6929852955793088E-2</v>
      </c>
      <c r="W1275">
        <f t="shared" si="219"/>
        <v>2.954995212415552E-2</v>
      </c>
      <c r="X1275">
        <v>5.4552567031978865E-3</v>
      </c>
    </row>
    <row r="1276" spans="1:24" x14ac:dyDescent="0.35">
      <c r="A1276" s="1">
        <v>44699</v>
      </c>
      <c r="B1276">
        <v>2342.89624</v>
      </c>
      <c r="C1276">
        <f t="shared" si="209"/>
        <v>3.6376295757043486E-3</v>
      </c>
      <c r="D1276">
        <v>3448.8000489999999</v>
      </c>
      <c r="E1276">
        <f t="shared" si="210"/>
        <v>-8.1123215914336022E-4</v>
      </c>
      <c r="F1276">
        <v>1313.900024</v>
      </c>
      <c r="G1276">
        <f t="shared" si="211"/>
        <v>-7.6085235920841932E-5</v>
      </c>
      <c r="H1276">
        <v>696.15002440000001</v>
      </c>
      <c r="I1276">
        <f t="shared" si="212"/>
        <v>-1.5416114260768832E-2</v>
      </c>
      <c r="J1276">
        <v>1509.1999510000001</v>
      </c>
      <c r="K1276">
        <f t="shared" si="213"/>
        <v>-6.0917384823307996E-3</v>
      </c>
      <c r="L1276">
        <v>266.7999878</v>
      </c>
      <c r="M1276">
        <f t="shared" si="214"/>
        <v>7.9334170880707156E-3</v>
      </c>
      <c r="N1276">
        <v>899.15002440000001</v>
      </c>
      <c r="O1276">
        <f t="shared" si="215"/>
        <v>8.2983172413793049E-3</v>
      </c>
      <c r="P1276">
        <v>163.1999969</v>
      </c>
      <c r="Q1276">
        <f t="shared" si="216"/>
        <v>3.0648484137030252E-4</v>
      </c>
      <c r="R1276">
        <v>415.14999390000003</v>
      </c>
      <c r="S1276">
        <f t="shared" si="217"/>
        <v>-2.1218908710209483E-2</v>
      </c>
      <c r="T1276">
        <v>3664.0500489999999</v>
      </c>
      <c r="U1276">
        <f t="shared" si="218"/>
        <v>1.9278230790265027E-3</v>
      </c>
      <c r="W1276">
        <f t="shared" si="219"/>
        <v>-2.151040702282214E-3</v>
      </c>
      <c r="X1276">
        <v>5.5091034306365191E-3</v>
      </c>
    </row>
    <row r="1277" spans="1:24" x14ac:dyDescent="0.35">
      <c r="A1277" s="1">
        <v>44700</v>
      </c>
      <c r="B1277">
        <v>2288.900635</v>
      </c>
      <c r="C1277">
        <f t="shared" si="209"/>
        <v>-2.3046519977342306E-2</v>
      </c>
      <c r="D1277">
        <v>3261.9499510000001</v>
      </c>
      <c r="E1277">
        <f t="shared" si="210"/>
        <v>-5.4178292549658891E-2</v>
      </c>
      <c r="F1277">
        <v>1287.0500489999999</v>
      </c>
      <c r="G1277">
        <f t="shared" si="211"/>
        <v>-2.043532575504392E-2</v>
      </c>
      <c r="H1277">
        <v>674.25</v>
      </c>
      <c r="I1277">
        <f t="shared" si="212"/>
        <v>-3.1458771288380372E-2</v>
      </c>
      <c r="J1277">
        <v>1427.150024</v>
      </c>
      <c r="K1277">
        <f t="shared" si="213"/>
        <v>-5.4366505210680316E-2</v>
      </c>
      <c r="L1277">
        <v>275.64999390000003</v>
      </c>
      <c r="M1277">
        <f t="shared" si="214"/>
        <v>3.3170938923108961E-2</v>
      </c>
      <c r="N1277">
        <v>884.59997559999999</v>
      </c>
      <c r="O1277">
        <f t="shared" si="215"/>
        <v>-1.6182003453438343E-2</v>
      </c>
      <c r="P1277">
        <v>160</v>
      </c>
      <c r="Q1277">
        <f t="shared" si="216"/>
        <v>-1.9607824514609407E-2</v>
      </c>
      <c r="R1277">
        <v>398.64999390000003</v>
      </c>
      <c r="S1277">
        <f t="shared" si="217"/>
        <v>-3.9744671184975267E-2</v>
      </c>
      <c r="T1277">
        <v>3614.8500979999999</v>
      </c>
      <c r="U1277">
        <f t="shared" si="218"/>
        <v>-1.3427750806359162E-2</v>
      </c>
      <c r="W1277">
        <f t="shared" si="219"/>
        <v>-2.3927672581737901E-2</v>
      </c>
      <c r="X1277">
        <v>5.5194387364759243E-3</v>
      </c>
    </row>
    <row r="1278" spans="1:24" x14ac:dyDescent="0.35">
      <c r="A1278" s="1">
        <v>44701</v>
      </c>
      <c r="B1278">
        <v>2422.3664549999999</v>
      </c>
      <c r="C1278">
        <f t="shared" si="209"/>
        <v>5.8310010473652474E-2</v>
      </c>
      <c r="D1278">
        <v>3293</v>
      </c>
      <c r="E1278">
        <f t="shared" si="210"/>
        <v>9.5188612536747375E-3</v>
      </c>
      <c r="F1278">
        <v>1320.9499510000001</v>
      </c>
      <c r="G1278">
        <f t="shared" si="211"/>
        <v>2.6339225911486075E-2</v>
      </c>
      <c r="H1278">
        <v>687.90002440000001</v>
      </c>
      <c r="I1278">
        <f t="shared" si="212"/>
        <v>2.0244752539859023E-2</v>
      </c>
      <c r="J1278">
        <v>1455.150024</v>
      </c>
      <c r="K1278">
        <f t="shared" si="213"/>
        <v>1.9619521093880543E-2</v>
      </c>
      <c r="L1278">
        <v>280</v>
      </c>
      <c r="M1278">
        <f t="shared" si="214"/>
        <v>1.5780904031429399E-2</v>
      </c>
      <c r="N1278">
        <v>915.65002440000001</v>
      </c>
      <c r="O1278">
        <f t="shared" si="215"/>
        <v>3.5100666579760631E-2</v>
      </c>
      <c r="P1278">
        <v>161.8999939</v>
      </c>
      <c r="Q1278">
        <f t="shared" si="216"/>
        <v>1.1874961875000034E-2</v>
      </c>
      <c r="R1278">
        <v>418</v>
      </c>
      <c r="S1278">
        <f t="shared" si="217"/>
        <v>4.8538834556846489E-2</v>
      </c>
      <c r="T1278">
        <v>3630.3999020000001</v>
      </c>
      <c r="U1278">
        <f t="shared" si="218"/>
        <v>4.3016455948210464E-3</v>
      </c>
      <c r="W1278">
        <f t="shared" si="219"/>
        <v>2.4962938391041047E-2</v>
      </c>
      <c r="X1278">
        <v>5.5315614686036194E-3</v>
      </c>
    </row>
    <row r="1279" spans="1:24" x14ac:dyDescent="0.35">
      <c r="A1279" s="1">
        <v>44704</v>
      </c>
      <c r="B1279">
        <v>2406.1679690000001</v>
      </c>
      <c r="C1279">
        <f t="shared" si="209"/>
        <v>-6.6870501639273439E-3</v>
      </c>
      <c r="D1279">
        <v>3321.75</v>
      </c>
      <c r="E1279">
        <f t="shared" si="210"/>
        <v>8.7306407531126951E-3</v>
      </c>
      <c r="F1279">
        <v>1304</v>
      </c>
      <c r="G1279">
        <f t="shared" si="211"/>
        <v>-1.28316375553581E-2</v>
      </c>
      <c r="H1279">
        <v>685.84997559999999</v>
      </c>
      <c r="I1279">
        <f t="shared" si="212"/>
        <v>-2.9801551494174072E-3</v>
      </c>
      <c r="J1279">
        <v>1468.400024</v>
      </c>
      <c r="K1279">
        <f t="shared" si="213"/>
        <v>9.1055903387731174E-3</v>
      </c>
      <c r="L1279">
        <v>274.5</v>
      </c>
      <c r="M1279">
        <f t="shared" si="214"/>
        <v>-1.9642857142857184E-2</v>
      </c>
      <c r="N1279">
        <v>922.04998780000005</v>
      </c>
      <c r="O1279">
        <f t="shared" si="215"/>
        <v>6.9895300927815818E-3</v>
      </c>
      <c r="P1279">
        <v>155.1000061</v>
      </c>
      <c r="Q1279">
        <f t="shared" si="216"/>
        <v>-4.200116155779543E-2</v>
      </c>
      <c r="R1279">
        <v>421.4500122</v>
      </c>
      <c r="S1279">
        <f t="shared" si="217"/>
        <v>8.2536177033492031E-3</v>
      </c>
      <c r="T1279">
        <v>3574.1000979999999</v>
      </c>
      <c r="U1279">
        <f t="shared" si="218"/>
        <v>-1.5507879440219363E-2</v>
      </c>
      <c r="W1279">
        <f t="shared" si="219"/>
        <v>-6.6571362121558243E-3</v>
      </c>
      <c r="X1279">
        <v>5.5406805705979561E-3</v>
      </c>
    </row>
    <row r="1280" spans="1:24" x14ac:dyDescent="0.35">
      <c r="A1280" s="1">
        <v>44705</v>
      </c>
      <c r="B1280">
        <v>2414.428711</v>
      </c>
      <c r="C1280">
        <f t="shared" si="209"/>
        <v>3.433152675302642E-3</v>
      </c>
      <c r="D1280">
        <v>3288</v>
      </c>
      <c r="E1280">
        <f t="shared" si="210"/>
        <v>-1.0160307067058061E-2</v>
      </c>
      <c r="F1280">
        <v>1318.9499510000001</v>
      </c>
      <c r="G1280">
        <f t="shared" si="211"/>
        <v>1.1464686349693221E-2</v>
      </c>
      <c r="H1280">
        <v>678.20001219999995</v>
      </c>
      <c r="I1280">
        <f t="shared" si="212"/>
        <v>-1.1153989461481939E-2</v>
      </c>
      <c r="J1280">
        <v>1441</v>
      </c>
      <c r="K1280">
        <f t="shared" si="213"/>
        <v>-1.865978177074723E-2</v>
      </c>
      <c r="L1280">
        <v>270.85000609999997</v>
      </c>
      <c r="M1280">
        <f t="shared" si="214"/>
        <v>-1.3296881238615721E-2</v>
      </c>
      <c r="N1280">
        <v>909.90002440000001</v>
      </c>
      <c r="O1280">
        <f t="shared" si="215"/>
        <v>-1.3177120070235748E-2</v>
      </c>
      <c r="P1280">
        <v>150.6499939</v>
      </c>
      <c r="Q1280">
        <f t="shared" si="216"/>
        <v>-2.8691244519557735E-2</v>
      </c>
      <c r="R1280">
        <v>425.75</v>
      </c>
      <c r="S1280">
        <f t="shared" si="217"/>
        <v>1.0202841797426254E-2</v>
      </c>
      <c r="T1280">
        <v>3656.75</v>
      </c>
      <c r="U1280">
        <f t="shared" si="218"/>
        <v>2.3124674668806744E-2</v>
      </c>
      <c r="W1280">
        <f t="shared" si="219"/>
        <v>-4.691396863646757E-3</v>
      </c>
      <c r="X1280">
        <v>5.5483851944964748E-3</v>
      </c>
    </row>
    <row r="1281" spans="1:24" x14ac:dyDescent="0.35">
      <c r="A1281" s="1">
        <v>44706</v>
      </c>
      <c r="B1281">
        <v>2410.8752439999998</v>
      </c>
      <c r="C1281">
        <f t="shared" si="209"/>
        <v>-1.4717630650309399E-3</v>
      </c>
      <c r="D1281">
        <v>3167.6499020000001</v>
      </c>
      <c r="E1281">
        <f t="shared" si="210"/>
        <v>-3.6602827858880693E-2</v>
      </c>
      <c r="F1281">
        <v>1328.8000489999999</v>
      </c>
      <c r="G1281">
        <f t="shared" si="211"/>
        <v>7.4681362947333074E-3</v>
      </c>
      <c r="H1281">
        <v>688.20001219999995</v>
      </c>
      <c r="I1281">
        <f t="shared" si="212"/>
        <v>1.4744912739770077E-2</v>
      </c>
      <c r="J1281">
        <v>1410.4499510000001</v>
      </c>
      <c r="K1281">
        <f t="shared" si="213"/>
        <v>-2.1200589174184548E-2</v>
      </c>
      <c r="L1281">
        <v>272.7000122</v>
      </c>
      <c r="M1281">
        <f t="shared" si="214"/>
        <v>6.8303712694657293E-3</v>
      </c>
      <c r="N1281">
        <v>911.20001219999995</v>
      </c>
      <c r="O1281">
        <f t="shared" si="215"/>
        <v>1.4287149853162706E-3</v>
      </c>
      <c r="P1281">
        <v>152.6000061</v>
      </c>
      <c r="Q1281">
        <f t="shared" si="216"/>
        <v>1.2943991231054497E-2</v>
      </c>
      <c r="R1281">
        <v>417</v>
      </c>
      <c r="S1281">
        <f t="shared" si="217"/>
        <v>-2.0551967116852587E-2</v>
      </c>
      <c r="T1281">
        <v>3586.4499510000001</v>
      </c>
      <c r="U1281">
        <f t="shared" si="218"/>
        <v>-1.922473480549669E-2</v>
      </c>
      <c r="W1281">
        <f t="shared" si="219"/>
        <v>-5.5635755500105574E-3</v>
      </c>
      <c r="X1281">
        <v>5.551836891589103E-3</v>
      </c>
    </row>
    <row r="1282" spans="1:24" x14ac:dyDescent="0.35">
      <c r="A1282" s="1">
        <v>44707</v>
      </c>
      <c r="B1282">
        <v>2387.892578</v>
      </c>
      <c r="C1282">
        <f t="shared" si="209"/>
        <v>-9.5329138482787013E-3</v>
      </c>
      <c r="D1282">
        <v>3226.9499510000001</v>
      </c>
      <c r="E1282">
        <f t="shared" si="210"/>
        <v>1.8720518628829286E-2</v>
      </c>
      <c r="F1282">
        <v>1366.6999510000001</v>
      </c>
      <c r="G1282">
        <f t="shared" si="211"/>
        <v>2.8521899911519322E-2</v>
      </c>
      <c r="H1282">
        <v>693.65002440000001</v>
      </c>
      <c r="I1282">
        <f t="shared" si="212"/>
        <v>7.9192271191304009E-3</v>
      </c>
      <c r="J1282">
        <v>1423.9499510000001</v>
      </c>
      <c r="K1282">
        <f t="shared" si="213"/>
        <v>9.5714137112263842E-3</v>
      </c>
      <c r="L1282">
        <v>266.7000122</v>
      </c>
      <c r="M1282">
        <f t="shared" si="214"/>
        <v>-2.200219923569191E-2</v>
      </c>
      <c r="N1282">
        <v>899.95001219999995</v>
      </c>
      <c r="O1282">
        <f t="shared" si="215"/>
        <v>-1.2346356287724403E-2</v>
      </c>
      <c r="P1282">
        <v>151.8999939</v>
      </c>
      <c r="Q1282">
        <f t="shared" si="216"/>
        <v>-4.5872357275089648E-3</v>
      </c>
      <c r="R1282">
        <v>420.64999390000003</v>
      </c>
      <c r="S1282">
        <f t="shared" si="217"/>
        <v>8.7529829736212594E-3</v>
      </c>
      <c r="T1282">
        <v>3577.4499510000001</v>
      </c>
      <c r="U1282">
        <f t="shared" si="218"/>
        <v>-2.5094453074664402E-3</v>
      </c>
      <c r="W1282">
        <f t="shared" si="219"/>
        <v>2.2507891937656233E-3</v>
      </c>
      <c r="X1282">
        <v>5.5558778338779978E-3</v>
      </c>
    </row>
    <row r="1283" spans="1:24" x14ac:dyDescent="0.35">
      <c r="A1283" s="1">
        <v>44708</v>
      </c>
      <c r="B1283">
        <v>2376.8164059999999</v>
      </c>
      <c r="C1283">
        <f t="shared" si="209"/>
        <v>-4.6384716389867853E-3</v>
      </c>
      <c r="D1283">
        <v>3261.3000489999999</v>
      </c>
      <c r="E1283">
        <f t="shared" si="210"/>
        <v>1.0644756975346059E-2</v>
      </c>
      <c r="F1283">
        <v>1392.0500489999999</v>
      </c>
      <c r="G1283">
        <f t="shared" si="211"/>
        <v>1.8548400460138614E-2</v>
      </c>
      <c r="H1283">
        <v>684.40002440000001</v>
      </c>
      <c r="I1283">
        <f t="shared" si="212"/>
        <v>-1.3335255063244844E-2</v>
      </c>
      <c r="J1283">
        <v>1461.349976</v>
      </c>
      <c r="K1283">
        <f t="shared" si="213"/>
        <v>2.6264985629400162E-2</v>
      </c>
      <c r="L1283">
        <v>269.2000122</v>
      </c>
      <c r="M1283">
        <f t="shared" si="214"/>
        <v>9.3738278426669375E-3</v>
      </c>
      <c r="N1283">
        <v>903.90002440000001</v>
      </c>
      <c r="O1283">
        <f t="shared" si="215"/>
        <v>4.3891462264042946E-3</v>
      </c>
      <c r="P1283">
        <v>143.8000031</v>
      </c>
      <c r="Q1283">
        <f t="shared" si="216"/>
        <v>-5.3324497203946275E-2</v>
      </c>
      <c r="R1283">
        <v>429.60000609999997</v>
      </c>
      <c r="S1283">
        <f t="shared" si="217"/>
        <v>2.1276625055954623E-2</v>
      </c>
      <c r="T1283">
        <v>3613.8500979999999</v>
      </c>
      <c r="U1283">
        <f t="shared" si="218"/>
        <v>1.0174886441059794E-2</v>
      </c>
      <c r="W1283">
        <f t="shared" si="219"/>
        <v>2.9374404724792575E-3</v>
      </c>
      <c r="X1283">
        <v>5.5929728202974149E-3</v>
      </c>
    </row>
    <row r="1284" spans="1:24" x14ac:dyDescent="0.35">
      <c r="A1284" s="1">
        <v>44711</v>
      </c>
      <c r="B1284">
        <v>2459.6096189999998</v>
      </c>
      <c r="C1284">
        <f t="shared" ref="C1284:C1347" si="220">B1284/B1283 - 1</f>
        <v>3.4833659339862377E-2</v>
      </c>
      <c r="D1284">
        <v>3375.25</v>
      </c>
      <c r="E1284">
        <f t="shared" ref="E1284:E1347" si="221">D1284/D1283 - 1</f>
        <v>3.4940039029815795E-2</v>
      </c>
      <c r="F1284">
        <v>1401.5500489999999</v>
      </c>
      <c r="G1284">
        <f t="shared" ref="G1284:G1347" si="222">F1284/F1283 - 1</f>
        <v>6.8244672717223676E-3</v>
      </c>
      <c r="H1284">
        <v>699.04998780000005</v>
      </c>
      <c r="I1284">
        <f t="shared" ref="I1284:I1347" si="223">H1284/H1283 - 1</f>
        <v>2.1405556513302892E-2</v>
      </c>
      <c r="J1284">
        <v>1526.8000489999999</v>
      </c>
      <c r="K1284">
        <f t="shared" ref="K1284:K1347" si="224">J1284/J1283 -1</f>
        <v>4.4787404848186663E-2</v>
      </c>
      <c r="L1284">
        <v>269.0499878</v>
      </c>
      <c r="M1284">
        <f t="shared" ref="M1284:M1347" si="225">L1284/L1283 -1</f>
        <v>-5.572971515638292E-4</v>
      </c>
      <c r="N1284">
        <v>888.29998780000005</v>
      </c>
      <c r="O1284">
        <f t="shared" ref="O1284:O1347" si="226">N1284/N1283-1</f>
        <v>-1.7258586324693459E-2</v>
      </c>
      <c r="P1284">
        <v>144.0500031</v>
      </c>
      <c r="Q1284">
        <f t="shared" ref="Q1284:Q1347" si="227">P1284/P1283 -1</f>
        <v>1.7385256927020531E-3</v>
      </c>
      <c r="R1284">
        <v>442.39999390000003</v>
      </c>
      <c r="S1284">
        <f t="shared" ref="S1284:S1347" si="228">R1284/R1283 - 1</f>
        <v>2.9795129465199688E-2</v>
      </c>
      <c r="T1284">
        <v>3796.3999020000001</v>
      </c>
      <c r="U1284">
        <f t="shared" ref="U1284:U1347" si="229">T1284/T1283 - 1</f>
        <v>5.0513939164501531E-2</v>
      </c>
      <c r="W1284">
        <f t="shared" ref="W1284:W1347" si="230">0.1*C1284+0.1*E1284+0.1*G1284+0.1*I1284+0.1*K1284+0.1*M1284+0.1*O1284+0.1*Q1284+0.1*S1284+0.1*U1284</f>
        <v>2.0702283784903609E-2</v>
      </c>
      <c r="X1284">
        <v>5.6070687149342279E-3</v>
      </c>
    </row>
    <row r="1285" spans="1:24" x14ac:dyDescent="0.35">
      <c r="A1285" s="1">
        <v>44712</v>
      </c>
      <c r="B1285">
        <v>2429.9350589999999</v>
      </c>
      <c r="C1285">
        <f t="shared" si="220"/>
        <v>-1.2064743840148329E-2</v>
      </c>
      <c r="D1285">
        <v>3364.3500979999999</v>
      </c>
      <c r="E1285">
        <f t="shared" si="221"/>
        <v>-3.2293613806384514E-3</v>
      </c>
      <c r="F1285">
        <v>1388.9499510000001</v>
      </c>
      <c r="G1285">
        <f t="shared" si="222"/>
        <v>-8.9901163422526631E-3</v>
      </c>
      <c r="H1285">
        <v>700.20001219999995</v>
      </c>
      <c r="I1285">
        <f t="shared" si="223"/>
        <v>1.6451246979047873E-3</v>
      </c>
      <c r="J1285">
        <v>1503.599976</v>
      </c>
      <c r="K1285">
        <f t="shared" si="224"/>
        <v>-1.5195226785062799E-2</v>
      </c>
      <c r="L1285">
        <v>270.64999390000003</v>
      </c>
      <c r="M1285">
        <f t="shared" si="225"/>
        <v>5.9468729699010403E-3</v>
      </c>
      <c r="N1285">
        <v>860.59997559999999</v>
      </c>
      <c r="O1285">
        <f t="shared" si="226"/>
        <v>-3.118317300510498E-2</v>
      </c>
      <c r="P1285">
        <v>151.25</v>
      </c>
      <c r="Q1285">
        <f t="shared" si="227"/>
        <v>4.9982622319013403E-2</v>
      </c>
      <c r="R1285">
        <v>443.5499878</v>
      </c>
      <c r="S1285">
        <f t="shared" si="228"/>
        <v>2.5994437519361036E-3</v>
      </c>
      <c r="T1285">
        <v>3972.8000489999999</v>
      </c>
      <c r="U1285">
        <f t="shared" si="229"/>
        <v>4.6465112093978744E-2</v>
      </c>
      <c r="W1285">
        <f t="shared" si="230"/>
        <v>3.5976554479526862E-3</v>
      </c>
      <c r="X1285">
        <v>5.6071257800405774E-3</v>
      </c>
    </row>
    <row r="1286" spans="1:24" x14ac:dyDescent="0.35">
      <c r="A1286" s="1">
        <v>44713</v>
      </c>
      <c r="B1286">
        <v>2430.7197270000001</v>
      </c>
      <c r="C1286">
        <f t="shared" si="220"/>
        <v>3.2291727183975105E-4</v>
      </c>
      <c r="D1286">
        <v>3355.1999510000001</v>
      </c>
      <c r="E1286">
        <f t="shared" si="221"/>
        <v>-2.7197368684784839E-3</v>
      </c>
      <c r="F1286">
        <v>1394.849976</v>
      </c>
      <c r="G1286">
        <f t="shared" si="222"/>
        <v>4.2478312452887135E-3</v>
      </c>
      <c r="H1286">
        <v>694.65002440000001</v>
      </c>
      <c r="I1286">
        <f t="shared" si="223"/>
        <v>-7.9262892077966995E-3</v>
      </c>
      <c r="J1286">
        <v>1478.5500489999999</v>
      </c>
      <c r="K1286">
        <f t="shared" si="224"/>
        <v>-1.6659967677466914E-2</v>
      </c>
      <c r="L1286">
        <v>271.85000609999997</v>
      </c>
      <c r="M1286">
        <f t="shared" si="225"/>
        <v>4.433815728971835E-3</v>
      </c>
      <c r="N1286">
        <v>839.25</v>
      </c>
      <c r="O1286">
        <f t="shared" si="226"/>
        <v>-2.4808245648758054E-2</v>
      </c>
      <c r="P1286">
        <v>149.75</v>
      </c>
      <c r="Q1286">
        <f t="shared" si="227"/>
        <v>-9.91735537190086E-3</v>
      </c>
      <c r="R1286">
        <v>444.60000609999997</v>
      </c>
      <c r="S1286">
        <f t="shared" si="228"/>
        <v>2.367305442184886E-3</v>
      </c>
      <c r="T1286">
        <v>3874.0500489999999</v>
      </c>
      <c r="U1286">
        <f t="shared" si="229"/>
        <v>-2.4856524059109542E-2</v>
      </c>
      <c r="W1286">
        <f t="shared" si="230"/>
        <v>-7.5516249145225374E-3</v>
      </c>
      <c r="X1286">
        <v>5.6081427814264617E-3</v>
      </c>
    </row>
    <row r="1287" spans="1:24" x14ac:dyDescent="0.35">
      <c r="A1287" s="1">
        <v>44714</v>
      </c>
      <c r="B1287">
        <v>2514.5280760000001</v>
      </c>
      <c r="C1287">
        <f t="shared" si="220"/>
        <v>3.4478820437038316E-2</v>
      </c>
      <c r="D1287">
        <v>3423</v>
      </c>
      <c r="E1287">
        <f t="shared" si="221"/>
        <v>2.02074540981656E-2</v>
      </c>
      <c r="F1287">
        <v>1385.099976</v>
      </c>
      <c r="G1287">
        <f t="shared" si="222"/>
        <v>-6.9899990448865079E-3</v>
      </c>
      <c r="H1287">
        <v>695.95001219999995</v>
      </c>
      <c r="I1287">
        <f t="shared" si="223"/>
        <v>1.87142842343202E-3</v>
      </c>
      <c r="J1287">
        <v>1508</v>
      </c>
      <c r="K1287">
        <f t="shared" si="224"/>
        <v>1.9918129264490103E-2</v>
      </c>
      <c r="L1287">
        <v>273.5</v>
      </c>
      <c r="M1287">
        <f t="shared" si="225"/>
        <v>6.069501059319693E-3</v>
      </c>
      <c r="N1287">
        <v>859.54998780000005</v>
      </c>
      <c r="O1287">
        <f t="shared" si="226"/>
        <v>2.4188248793565847E-2</v>
      </c>
      <c r="P1287">
        <v>152.4499969</v>
      </c>
      <c r="Q1287">
        <f t="shared" si="227"/>
        <v>1.8030029382303914E-2</v>
      </c>
      <c r="R1287">
        <v>439.14999390000003</v>
      </c>
      <c r="S1287">
        <f t="shared" si="228"/>
        <v>-1.225823689884098E-2</v>
      </c>
      <c r="T1287">
        <v>3856.8999020000001</v>
      </c>
      <c r="U1287">
        <f t="shared" si="229"/>
        <v>-4.4269296429009231E-3</v>
      </c>
      <c r="W1287">
        <f t="shared" si="230"/>
        <v>1.0108844587168707E-2</v>
      </c>
      <c r="X1287">
        <v>5.6126568822553961E-3</v>
      </c>
    </row>
    <row r="1288" spans="1:24" x14ac:dyDescent="0.35">
      <c r="A1288" s="1">
        <v>44715</v>
      </c>
      <c r="B1288">
        <v>2565.477539</v>
      </c>
      <c r="C1288">
        <f t="shared" si="220"/>
        <v>2.0262037829797519E-2</v>
      </c>
      <c r="D1288">
        <v>3440.1499020000001</v>
      </c>
      <c r="E1288">
        <f t="shared" si="221"/>
        <v>5.0101963190183341E-3</v>
      </c>
      <c r="F1288">
        <v>1380.3000489999999</v>
      </c>
      <c r="G1288">
        <f t="shared" si="222"/>
        <v>-3.4654011141215246E-3</v>
      </c>
      <c r="H1288">
        <v>686.5</v>
      </c>
      <c r="I1288">
        <f t="shared" si="223"/>
        <v>-1.3578578970243949E-2</v>
      </c>
      <c r="J1288">
        <v>1521.6999510000001</v>
      </c>
      <c r="K1288">
        <f t="shared" si="224"/>
        <v>9.0848481432361794E-3</v>
      </c>
      <c r="L1288">
        <v>272.7000122</v>
      </c>
      <c r="M1288">
        <f t="shared" si="225"/>
        <v>-2.9250010968920881E-3</v>
      </c>
      <c r="N1288">
        <v>865.09997559999999</v>
      </c>
      <c r="O1288">
        <f t="shared" si="226"/>
        <v>6.456852863444329E-3</v>
      </c>
      <c r="P1288">
        <v>151.6000061</v>
      </c>
      <c r="Q1288">
        <f t="shared" si="227"/>
        <v>-5.5755383226249178E-3</v>
      </c>
      <c r="R1288">
        <v>431.89999390000003</v>
      </c>
      <c r="S1288">
        <f t="shared" si="228"/>
        <v>-1.6509165662543346E-2</v>
      </c>
      <c r="T1288">
        <v>3820.1000979999999</v>
      </c>
      <c r="U1288">
        <f t="shared" si="229"/>
        <v>-9.5412909162920778E-3</v>
      </c>
      <c r="W1288">
        <f t="shared" si="230"/>
        <v>-1.0781040927221545E-3</v>
      </c>
      <c r="X1288">
        <v>5.6205742054999293E-3</v>
      </c>
    </row>
    <row r="1289" spans="1:24" x14ac:dyDescent="0.35">
      <c r="A1289" s="1">
        <v>44718</v>
      </c>
      <c r="B1289">
        <v>2554.4477539999998</v>
      </c>
      <c r="C1289">
        <f t="shared" si="220"/>
        <v>-4.2993106867345032E-3</v>
      </c>
      <c r="D1289">
        <v>3430.9499510000001</v>
      </c>
      <c r="E1289">
        <f t="shared" si="221"/>
        <v>-2.6742878252634661E-3</v>
      </c>
      <c r="F1289">
        <v>1378.4499510000001</v>
      </c>
      <c r="G1289">
        <f t="shared" si="222"/>
        <v>-1.3403592945897547E-3</v>
      </c>
      <c r="H1289">
        <v>682.95001219999995</v>
      </c>
      <c r="I1289">
        <f t="shared" si="223"/>
        <v>-5.1711402767662396E-3</v>
      </c>
      <c r="J1289">
        <v>1530.0500489999999</v>
      </c>
      <c r="K1289">
        <f t="shared" si="224"/>
        <v>5.4873485370834363E-3</v>
      </c>
      <c r="L1289">
        <v>274.7999878</v>
      </c>
      <c r="M1289">
        <f t="shared" si="225"/>
        <v>7.7006802568819754E-3</v>
      </c>
      <c r="N1289">
        <v>859.79998780000005</v>
      </c>
      <c r="O1289">
        <f t="shared" si="226"/>
        <v>-6.1264454392384593E-3</v>
      </c>
      <c r="P1289">
        <v>153.9499969</v>
      </c>
      <c r="Q1289">
        <f t="shared" si="227"/>
        <v>1.5501257951466618E-2</v>
      </c>
      <c r="R1289">
        <v>432.35000609999997</v>
      </c>
      <c r="S1289">
        <f t="shared" si="228"/>
        <v>1.0419361110343139E-3</v>
      </c>
      <c r="T1289">
        <v>3734.75</v>
      </c>
      <c r="U1289">
        <f t="shared" si="229"/>
        <v>-2.2342372139589894E-2</v>
      </c>
      <c r="W1289">
        <f t="shared" si="230"/>
        <v>-1.2222692805715972E-3</v>
      </c>
      <c r="X1289">
        <v>5.6425084917678054E-3</v>
      </c>
    </row>
    <row r="1290" spans="1:24" x14ac:dyDescent="0.35">
      <c r="A1290" s="1">
        <v>44719</v>
      </c>
      <c r="B1290">
        <v>2559.2473140000002</v>
      </c>
      <c r="C1290">
        <f t="shared" si="220"/>
        <v>1.8789031768158271E-3</v>
      </c>
      <c r="D1290">
        <v>3362.6999510000001</v>
      </c>
      <c r="E1290">
        <f t="shared" si="221"/>
        <v>-1.9892449897180087E-2</v>
      </c>
      <c r="F1290">
        <v>1362.599976</v>
      </c>
      <c r="G1290">
        <f t="shared" si="222"/>
        <v>-1.1498404413233687E-2</v>
      </c>
      <c r="H1290">
        <v>685.29998780000005</v>
      </c>
      <c r="I1290">
        <f t="shared" si="223"/>
        <v>3.44091889306819E-3</v>
      </c>
      <c r="J1290">
        <v>1506.6999510000001</v>
      </c>
      <c r="K1290">
        <f t="shared" si="224"/>
        <v>-1.5261002746453256E-2</v>
      </c>
      <c r="L1290">
        <v>273.89999390000003</v>
      </c>
      <c r="M1290">
        <f t="shared" si="225"/>
        <v>-3.2750871177439356E-3</v>
      </c>
      <c r="N1290">
        <v>848.25</v>
      </c>
      <c r="O1290">
        <f t="shared" si="226"/>
        <v>-1.3433342595820963E-2</v>
      </c>
      <c r="P1290">
        <v>161.8500061</v>
      </c>
      <c r="Q1290">
        <f t="shared" si="227"/>
        <v>5.1315422923532417E-2</v>
      </c>
      <c r="R1290">
        <v>435.85000609999997</v>
      </c>
      <c r="S1290">
        <f t="shared" si="228"/>
        <v>8.0952930510436172E-3</v>
      </c>
      <c r="T1290">
        <v>3726.6999510000001</v>
      </c>
      <c r="U1290">
        <f t="shared" si="229"/>
        <v>-2.1554452105227995E-3</v>
      </c>
      <c r="W1290">
        <f t="shared" si="230"/>
        <v>-7.8519393649467879E-5</v>
      </c>
      <c r="X1290">
        <v>5.6592840969423956E-3</v>
      </c>
    </row>
    <row r="1291" spans="1:24" x14ac:dyDescent="0.35">
      <c r="A1291" s="1">
        <v>44720</v>
      </c>
      <c r="B1291">
        <v>2514.2973630000001</v>
      </c>
      <c r="C1291">
        <f t="shared" si="220"/>
        <v>-1.7563738664140738E-2</v>
      </c>
      <c r="D1291">
        <v>3404.1499020000001</v>
      </c>
      <c r="E1291">
        <f t="shared" si="221"/>
        <v>1.2326389985426234E-2</v>
      </c>
      <c r="F1291">
        <v>1367.400024</v>
      </c>
      <c r="G1291">
        <f t="shared" si="222"/>
        <v>3.5227125235177681E-3</v>
      </c>
      <c r="H1291">
        <v>663.29998780000005</v>
      </c>
      <c r="I1291">
        <f t="shared" si="223"/>
        <v>-3.2102729303448596E-2</v>
      </c>
      <c r="J1291">
        <v>1500</v>
      </c>
      <c r="K1291">
        <f t="shared" si="224"/>
        <v>-4.4467718974526838E-3</v>
      </c>
      <c r="L1291">
        <v>267.89999390000003</v>
      </c>
      <c r="M1291">
        <f t="shared" si="225"/>
        <v>-2.1905805526197253E-2</v>
      </c>
      <c r="N1291">
        <v>847.25</v>
      </c>
      <c r="O1291">
        <f t="shared" si="226"/>
        <v>-1.1788977306218529E-3</v>
      </c>
      <c r="P1291">
        <v>163.3999939</v>
      </c>
      <c r="Q1291">
        <f t="shared" si="227"/>
        <v>9.5766928735383505E-3</v>
      </c>
      <c r="R1291">
        <v>435.64999390000003</v>
      </c>
      <c r="S1291">
        <f t="shared" si="228"/>
        <v>-4.5890145050053732E-4</v>
      </c>
      <c r="T1291">
        <v>3739.3999020000001</v>
      </c>
      <c r="U1291">
        <f t="shared" si="229"/>
        <v>3.4078276134337226E-3</v>
      </c>
      <c r="W1291">
        <f t="shared" si="230"/>
        <v>-4.8823221576445577E-3</v>
      </c>
      <c r="X1291">
        <v>5.7001603395075654E-3</v>
      </c>
    </row>
    <row r="1292" spans="1:24" x14ac:dyDescent="0.35">
      <c r="A1292" s="1">
        <v>44721</v>
      </c>
      <c r="B1292">
        <v>2583.2453609999998</v>
      </c>
      <c r="C1292">
        <f t="shared" si="220"/>
        <v>2.7422372156383545E-2</v>
      </c>
      <c r="D1292">
        <v>3427.1000979999999</v>
      </c>
      <c r="E1292">
        <f t="shared" si="221"/>
        <v>6.7418288444101027E-3</v>
      </c>
      <c r="F1292">
        <v>1377.6999510000001</v>
      </c>
      <c r="G1292">
        <f t="shared" si="222"/>
        <v>7.5324899950419688E-3</v>
      </c>
      <c r="H1292">
        <v>676.34997559999999</v>
      </c>
      <c r="I1292">
        <f t="shared" si="223"/>
        <v>1.9674337464234748E-2</v>
      </c>
      <c r="J1292">
        <v>1515</v>
      </c>
      <c r="K1292">
        <f t="shared" si="224"/>
        <v>1.0000000000000009E-2</v>
      </c>
      <c r="L1292">
        <v>270.85000609999997</v>
      </c>
      <c r="M1292">
        <f t="shared" si="225"/>
        <v>1.1011617272007612E-2</v>
      </c>
      <c r="N1292">
        <v>858.84997559999999</v>
      </c>
      <c r="O1292">
        <f t="shared" si="226"/>
        <v>1.3691325582767755E-2</v>
      </c>
      <c r="P1292">
        <v>165.5500031</v>
      </c>
      <c r="Q1292">
        <f t="shared" si="227"/>
        <v>1.3157951531600487E-2</v>
      </c>
      <c r="R1292">
        <v>428.5</v>
      </c>
      <c r="S1292">
        <f t="shared" si="228"/>
        <v>-1.6412243773934798E-2</v>
      </c>
      <c r="T1292">
        <v>3830.3500979999999</v>
      </c>
      <c r="U1292">
        <f t="shared" si="229"/>
        <v>2.4322136808998529E-2</v>
      </c>
      <c r="W1292">
        <f t="shared" si="230"/>
        <v>1.1714181588150997E-2</v>
      </c>
      <c r="X1292">
        <v>5.7035596940451135E-3</v>
      </c>
    </row>
    <row r="1293" spans="1:24" x14ac:dyDescent="0.35">
      <c r="A1293" s="1">
        <v>44722</v>
      </c>
      <c r="B1293">
        <v>2505.251953</v>
      </c>
      <c r="C1293">
        <f t="shared" si="220"/>
        <v>-3.0192024798530115E-2</v>
      </c>
      <c r="D1293">
        <v>3359.8999020000001</v>
      </c>
      <c r="E1293">
        <f t="shared" si="221"/>
        <v>-1.9608471908718617E-2</v>
      </c>
      <c r="F1293">
        <v>1351.099976</v>
      </c>
      <c r="G1293">
        <f t="shared" si="222"/>
        <v>-1.9307524095281137E-2</v>
      </c>
      <c r="H1293">
        <v>673.34997559999999</v>
      </c>
      <c r="I1293">
        <f t="shared" si="223"/>
        <v>-4.4355734578664929E-3</v>
      </c>
      <c r="J1293">
        <v>1476.8000489999999</v>
      </c>
      <c r="K1293">
        <f t="shared" si="224"/>
        <v>-2.5214489108910887E-2</v>
      </c>
      <c r="L1293">
        <v>270.14999390000003</v>
      </c>
      <c r="M1293">
        <f t="shared" si="225"/>
        <v>-2.5845013263225969E-3</v>
      </c>
      <c r="N1293">
        <v>845.70001219999995</v>
      </c>
      <c r="O1293">
        <f t="shared" si="226"/>
        <v>-1.5311129735799733E-2</v>
      </c>
      <c r="P1293">
        <v>164.6499939</v>
      </c>
      <c r="Q1293">
        <f t="shared" si="227"/>
        <v>-5.4364795116093045E-3</v>
      </c>
      <c r="R1293">
        <v>428.0499878</v>
      </c>
      <c r="S1293">
        <f t="shared" si="228"/>
        <v>-1.0502035005834909E-3</v>
      </c>
      <c r="T1293">
        <v>3755.6499020000001</v>
      </c>
      <c r="U1293">
        <f t="shared" si="229"/>
        <v>-1.9502184941006862E-2</v>
      </c>
      <c r="W1293">
        <f t="shared" si="230"/>
        <v>-1.4264258238462925E-2</v>
      </c>
      <c r="X1293">
        <v>5.717072069352824E-3</v>
      </c>
    </row>
    <row r="1294" spans="1:24" x14ac:dyDescent="0.35">
      <c r="A1294" s="1">
        <v>44725</v>
      </c>
      <c r="B1294">
        <v>2457.8557129999999</v>
      </c>
      <c r="C1294">
        <f t="shared" si="220"/>
        <v>-1.891875184180325E-2</v>
      </c>
      <c r="D1294">
        <v>3219.6000979999999</v>
      </c>
      <c r="E1294">
        <f t="shared" si="221"/>
        <v>-4.1757138037501029E-2</v>
      </c>
      <c r="F1294">
        <v>1326.599976</v>
      </c>
      <c r="G1294">
        <f t="shared" si="222"/>
        <v>-1.8133373129450736E-2</v>
      </c>
      <c r="H1294">
        <v>671.29998780000005</v>
      </c>
      <c r="I1294">
        <f t="shared" si="223"/>
        <v>-3.0444610890099089E-3</v>
      </c>
      <c r="J1294">
        <v>1424.5</v>
      </c>
      <c r="K1294">
        <f t="shared" si="224"/>
        <v>-3.5414441538930364E-2</v>
      </c>
      <c r="L1294">
        <v>264.64999390000003</v>
      </c>
      <c r="M1294">
        <f t="shared" si="225"/>
        <v>-2.03590602413114E-2</v>
      </c>
      <c r="N1294">
        <v>829.5</v>
      </c>
      <c r="O1294">
        <f t="shared" si="226"/>
        <v>-1.9155743131488601E-2</v>
      </c>
      <c r="P1294">
        <v>159.5500031</v>
      </c>
      <c r="Q1294">
        <f t="shared" si="227"/>
        <v>-3.0974740291198954E-2</v>
      </c>
      <c r="R1294">
        <v>406.7000122</v>
      </c>
      <c r="S1294">
        <f t="shared" si="228"/>
        <v>-4.9877295195661753E-2</v>
      </c>
      <c r="T1294">
        <v>3661.6000979999999</v>
      </c>
      <c r="U1294">
        <f t="shared" si="229"/>
        <v>-2.504221811248053E-2</v>
      </c>
      <c r="W1294">
        <f t="shared" si="230"/>
        <v>-2.6267722260883652E-2</v>
      </c>
      <c r="X1294">
        <v>5.7307015764532128E-3</v>
      </c>
    </row>
    <row r="1295" spans="1:24" x14ac:dyDescent="0.35">
      <c r="A1295" s="1">
        <v>44726</v>
      </c>
      <c r="B1295">
        <v>2425.7353520000001</v>
      </c>
      <c r="C1295">
        <f t="shared" si="220"/>
        <v>-1.3068448579023562E-2</v>
      </c>
      <c r="D1295">
        <v>3210.5500489999999</v>
      </c>
      <c r="E1295">
        <f t="shared" si="221"/>
        <v>-2.8109233210739104E-3</v>
      </c>
      <c r="F1295">
        <v>1312</v>
      </c>
      <c r="G1295">
        <f t="shared" si="222"/>
        <v>-1.1005560277501436E-2</v>
      </c>
      <c r="H1295">
        <v>682.04998780000005</v>
      </c>
      <c r="I1295">
        <f t="shared" si="223"/>
        <v>1.6013705043002036E-2</v>
      </c>
      <c r="J1295">
        <v>1440.5500489999999</v>
      </c>
      <c r="K1295">
        <f t="shared" si="224"/>
        <v>1.1267145665145639E-2</v>
      </c>
      <c r="L1295">
        <v>265.4500122</v>
      </c>
      <c r="M1295">
        <f t="shared" si="225"/>
        <v>3.0229295992436622E-3</v>
      </c>
      <c r="N1295">
        <v>825.04998780000005</v>
      </c>
      <c r="O1295">
        <f t="shared" si="226"/>
        <v>-5.3646922242314155E-3</v>
      </c>
      <c r="P1295">
        <v>155.9499969</v>
      </c>
      <c r="Q1295">
        <f t="shared" si="227"/>
        <v>-2.2563498151382921E-2</v>
      </c>
      <c r="R1295">
        <v>405.14999390000003</v>
      </c>
      <c r="S1295">
        <f t="shared" si="228"/>
        <v>-3.8112079014095412E-3</v>
      </c>
      <c r="T1295">
        <v>3648.3000489999999</v>
      </c>
      <c r="U1295">
        <f t="shared" si="229"/>
        <v>-3.6323051791659067E-3</v>
      </c>
      <c r="W1295">
        <f t="shared" si="230"/>
        <v>-3.1952855326397361E-3</v>
      </c>
      <c r="X1295">
        <v>5.73891816660711E-3</v>
      </c>
    </row>
    <row r="1296" spans="1:24" x14ac:dyDescent="0.35">
      <c r="A1296" s="1">
        <v>44727</v>
      </c>
      <c r="B1296">
        <v>2396.3840329999998</v>
      </c>
      <c r="C1296">
        <f t="shared" si="220"/>
        <v>-1.2099967531825073E-2</v>
      </c>
      <c r="D1296">
        <v>3206.3000489999999</v>
      </c>
      <c r="E1296">
        <f t="shared" si="221"/>
        <v>-1.3237607061518109E-3</v>
      </c>
      <c r="F1296">
        <v>1307.4499510000001</v>
      </c>
      <c r="G1296">
        <f t="shared" si="222"/>
        <v>-3.4680251524389361E-3</v>
      </c>
      <c r="H1296">
        <v>682.09997559999999</v>
      </c>
      <c r="I1296">
        <f t="shared" si="223"/>
        <v>7.3290522533575597E-5</v>
      </c>
      <c r="J1296">
        <v>1422.1999510000001</v>
      </c>
      <c r="K1296">
        <f t="shared" si="224"/>
        <v>-1.2738257870830716E-2</v>
      </c>
      <c r="L1296">
        <v>263.39999390000003</v>
      </c>
      <c r="M1296">
        <f t="shared" si="225"/>
        <v>-7.7228035629375302E-3</v>
      </c>
      <c r="N1296">
        <v>822.29998780000005</v>
      </c>
      <c r="O1296">
        <f t="shared" si="226"/>
        <v>-3.3331313746611801E-3</v>
      </c>
      <c r="P1296">
        <v>151.3999939</v>
      </c>
      <c r="Q1296">
        <f t="shared" si="227"/>
        <v>-2.9176037771373675E-2</v>
      </c>
      <c r="R1296">
        <v>414.10000609999997</v>
      </c>
      <c r="S1296">
        <f t="shared" si="228"/>
        <v>2.2090614179322898E-2</v>
      </c>
      <c r="T1296">
        <v>3662.8999020000001</v>
      </c>
      <c r="U1296">
        <f t="shared" si="229"/>
        <v>4.0018235353207476E-3</v>
      </c>
      <c r="W1296">
        <f t="shared" si="230"/>
        <v>-4.3696255733041691E-3</v>
      </c>
      <c r="X1296">
        <v>5.7433175362532115E-3</v>
      </c>
    </row>
    <row r="1297" spans="1:24" x14ac:dyDescent="0.35">
      <c r="A1297" s="1">
        <v>44728</v>
      </c>
      <c r="B1297">
        <v>2362.8791500000002</v>
      </c>
      <c r="C1297">
        <f t="shared" si="220"/>
        <v>-1.3981433083601114E-2</v>
      </c>
      <c r="D1297">
        <v>3142</v>
      </c>
      <c r="E1297">
        <f t="shared" si="221"/>
        <v>-2.0054283135495732E-2</v>
      </c>
      <c r="F1297">
        <v>1281.3000489999999</v>
      </c>
      <c r="G1297">
        <f t="shared" si="222"/>
        <v>-2.0000690642115515E-2</v>
      </c>
      <c r="H1297">
        <v>654.20001219999995</v>
      </c>
      <c r="I1297">
        <f t="shared" si="223"/>
        <v>-4.0903041193423584E-2</v>
      </c>
      <c r="J1297">
        <v>1397.1999510000001</v>
      </c>
      <c r="K1297">
        <f t="shared" si="224"/>
        <v>-1.7578400268135064E-2</v>
      </c>
      <c r="L1297">
        <v>260.7000122</v>
      </c>
      <c r="M1297">
        <f t="shared" si="225"/>
        <v>-1.0250500237388271E-2</v>
      </c>
      <c r="N1297">
        <v>814.59997559999999</v>
      </c>
      <c r="O1297">
        <f t="shared" si="226"/>
        <v>-9.3639940584224757E-3</v>
      </c>
      <c r="P1297">
        <v>143.5500031</v>
      </c>
      <c r="Q1297">
        <f t="shared" si="227"/>
        <v>-5.1849346871076674E-2</v>
      </c>
      <c r="R1297">
        <v>392.9500122</v>
      </c>
      <c r="S1297">
        <f t="shared" si="228"/>
        <v>-5.1074604173979465E-2</v>
      </c>
      <c r="T1297">
        <v>3682.6000979999999</v>
      </c>
      <c r="U1297">
        <f t="shared" si="229"/>
        <v>5.3783058579468523E-3</v>
      </c>
      <c r="W1297">
        <f t="shared" si="230"/>
        <v>-2.2967798780569103E-2</v>
      </c>
      <c r="X1297">
        <v>5.7581184502833675E-3</v>
      </c>
    </row>
    <row r="1298" spans="1:24" x14ac:dyDescent="0.35">
      <c r="A1298" s="1">
        <v>44729</v>
      </c>
      <c r="B1298">
        <v>2390.5690920000002</v>
      </c>
      <c r="C1298">
        <f t="shared" si="220"/>
        <v>1.1718729669268013E-2</v>
      </c>
      <c r="D1298">
        <v>3088.8999020000001</v>
      </c>
      <c r="E1298">
        <f t="shared" si="221"/>
        <v>-1.6900094844048308E-2</v>
      </c>
      <c r="F1298">
        <v>1289.75</v>
      </c>
      <c r="G1298">
        <f t="shared" si="222"/>
        <v>6.594826096038009E-3</v>
      </c>
      <c r="H1298">
        <v>643.65002440000001</v>
      </c>
      <c r="I1298">
        <f t="shared" si="223"/>
        <v>-1.6126547849672934E-2</v>
      </c>
      <c r="J1298">
        <v>1387.3000489999999</v>
      </c>
      <c r="K1298">
        <f t="shared" si="224"/>
        <v>-7.085529879180541E-3</v>
      </c>
      <c r="L1298">
        <v>263.2999878</v>
      </c>
      <c r="M1298">
        <f t="shared" si="225"/>
        <v>9.9730551527761335E-3</v>
      </c>
      <c r="N1298">
        <v>793.40002440000001</v>
      </c>
      <c r="O1298">
        <f t="shared" si="226"/>
        <v>-2.6024983838705662E-2</v>
      </c>
      <c r="P1298">
        <v>141.4499969</v>
      </c>
      <c r="Q1298">
        <f t="shared" si="227"/>
        <v>-1.46290919864146E-2</v>
      </c>
      <c r="R1298">
        <v>388.9500122</v>
      </c>
      <c r="S1298">
        <f t="shared" si="228"/>
        <v>-1.0179411822906714E-2</v>
      </c>
      <c r="T1298">
        <v>3460.5500489999999</v>
      </c>
      <c r="U1298">
        <f t="shared" si="229"/>
        <v>-6.0297084421573222E-2</v>
      </c>
      <c r="W1298">
        <f t="shared" si="230"/>
        <v>-1.2295613372441984E-2</v>
      </c>
      <c r="X1298">
        <v>5.7651690917049801E-3</v>
      </c>
    </row>
    <row r="1299" spans="1:24" x14ac:dyDescent="0.35">
      <c r="A1299" s="1">
        <v>44732</v>
      </c>
      <c r="B1299">
        <v>2347.234375</v>
      </c>
      <c r="C1299">
        <f t="shared" si="220"/>
        <v>-1.8127364377385713E-2</v>
      </c>
      <c r="D1299">
        <v>3112.3999020000001</v>
      </c>
      <c r="E1299">
        <f t="shared" si="221"/>
        <v>7.6078865439388466E-3</v>
      </c>
      <c r="F1299">
        <v>1322.150024</v>
      </c>
      <c r="G1299">
        <f t="shared" si="222"/>
        <v>2.5121166117464622E-2</v>
      </c>
      <c r="H1299">
        <v>640.90002440000001</v>
      </c>
      <c r="I1299">
        <f t="shared" si="223"/>
        <v>-4.2725081888460581E-3</v>
      </c>
      <c r="J1299">
        <v>1414.150024</v>
      </c>
      <c r="K1299">
        <f t="shared" si="224"/>
        <v>1.9354122433250298E-2</v>
      </c>
      <c r="L1299">
        <v>264.10000609999997</v>
      </c>
      <c r="M1299">
        <f t="shared" si="225"/>
        <v>3.0384289292397781E-3</v>
      </c>
      <c r="N1299">
        <v>805.29998780000005</v>
      </c>
      <c r="O1299">
        <f t="shared" si="226"/>
        <v>1.4998693009871333E-2</v>
      </c>
      <c r="P1299">
        <v>134.3999939</v>
      </c>
      <c r="Q1299">
        <f t="shared" si="227"/>
        <v>-4.9840955493156369E-2</v>
      </c>
      <c r="R1299">
        <v>382.7000122</v>
      </c>
      <c r="S1299">
        <f t="shared" si="228"/>
        <v>-1.6068902954002762E-2</v>
      </c>
      <c r="T1299">
        <v>3479.1000979999999</v>
      </c>
      <c r="U1299">
        <f t="shared" si="229"/>
        <v>5.3604336701791322E-3</v>
      </c>
      <c r="W1299">
        <f t="shared" si="230"/>
        <v>-1.2829000309446891E-3</v>
      </c>
      <c r="X1299">
        <v>5.7814066029564966E-3</v>
      </c>
    </row>
    <row r="1300" spans="1:24" x14ac:dyDescent="0.35">
      <c r="A1300" s="1">
        <v>44733</v>
      </c>
      <c r="B1300">
        <v>2385.1235350000002</v>
      </c>
      <c r="C1300">
        <f t="shared" si="220"/>
        <v>1.6142043761607772E-2</v>
      </c>
      <c r="D1300">
        <v>3211.9499510000001</v>
      </c>
      <c r="E1300">
        <f t="shared" si="221"/>
        <v>3.1984980122904405E-2</v>
      </c>
      <c r="F1300">
        <v>1336.5500489999999</v>
      </c>
      <c r="G1300">
        <f t="shared" si="222"/>
        <v>1.0891369919152183E-2</v>
      </c>
      <c r="H1300">
        <v>654.29998780000005</v>
      </c>
      <c r="I1300">
        <f t="shared" si="223"/>
        <v>2.0908040084012924E-2</v>
      </c>
      <c r="J1300">
        <v>1449.900024</v>
      </c>
      <c r="K1300">
        <f t="shared" si="224"/>
        <v>2.5280203226867748E-2</v>
      </c>
      <c r="L1300">
        <v>269.89999390000003</v>
      </c>
      <c r="M1300">
        <f t="shared" si="225"/>
        <v>2.1961331563937536E-2</v>
      </c>
      <c r="N1300">
        <v>817.45001219999995</v>
      </c>
      <c r="O1300">
        <f t="shared" si="226"/>
        <v>1.5087575542118925E-2</v>
      </c>
      <c r="P1300">
        <v>139.1000061</v>
      </c>
      <c r="Q1300">
        <f t="shared" si="227"/>
        <v>3.497033045624276E-2</v>
      </c>
      <c r="R1300">
        <v>397.60000609999997</v>
      </c>
      <c r="S1300">
        <f t="shared" si="228"/>
        <v>3.8933873595523139E-2</v>
      </c>
      <c r="T1300">
        <v>3519.5500489999999</v>
      </c>
      <c r="U1300">
        <f t="shared" si="229"/>
        <v>1.1626555678364348E-2</v>
      </c>
      <c r="W1300">
        <f t="shared" si="230"/>
        <v>2.2778630395073177E-2</v>
      </c>
      <c r="X1300">
        <v>5.7842051014498127E-3</v>
      </c>
    </row>
    <row r="1301" spans="1:24" x14ac:dyDescent="0.35">
      <c r="A1301" s="1">
        <v>44734</v>
      </c>
      <c r="B1301">
        <v>2312.6679690000001</v>
      </c>
      <c r="C1301">
        <f t="shared" si="220"/>
        <v>-3.0378118758532136E-2</v>
      </c>
      <c r="D1301">
        <v>3222.9499510000001</v>
      </c>
      <c r="E1301">
        <f t="shared" si="221"/>
        <v>3.4247108976823704E-3</v>
      </c>
      <c r="F1301">
        <v>1330.25</v>
      </c>
      <c r="G1301">
        <f t="shared" si="222"/>
        <v>-4.7136648602973397E-3</v>
      </c>
      <c r="H1301">
        <v>642.84997559999999</v>
      </c>
      <c r="I1301">
        <f t="shared" si="223"/>
        <v>-1.7499636884449998E-2</v>
      </c>
      <c r="J1301">
        <v>1437.25</v>
      </c>
      <c r="K1301">
        <f t="shared" si="224"/>
        <v>-8.724756045662363E-3</v>
      </c>
      <c r="L1301">
        <v>265.2999878</v>
      </c>
      <c r="M1301">
        <f t="shared" si="225"/>
        <v>-1.7043372374822563E-2</v>
      </c>
      <c r="N1301">
        <v>809.29998780000005</v>
      </c>
      <c r="O1301">
        <f t="shared" si="226"/>
        <v>-9.9700584480582055E-3</v>
      </c>
      <c r="P1301">
        <v>134.8500061</v>
      </c>
      <c r="Q1301">
        <f t="shared" si="227"/>
        <v>-3.0553557251066121E-2</v>
      </c>
      <c r="R1301">
        <v>393.10000609999997</v>
      </c>
      <c r="S1301">
        <f t="shared" si="228"/>
        <v>-1.1317907271028105E-2</v>
      </c>
      <c r="T1301">
        <v>3486.3500979999999</v>
      </c>
      <c r="U1301">
        <f t="shared" si="229"/>
        <v>-9.4330100546327067E-3</v>
      </c>
      <c r="W1301">
        <f t="shared" si="230"/>
        <v>-1.3620937105086718E-2</v>
      </c>
      <c r="X1301">
        <v>5.8010001164321753E-3</v>
      </c>
    </row>
    <row r="1302" spans="1:24" x14ac:dyDescent="0.35">
      <c r="A1302" s="1">
        <v>44735</v>
      </c>
      <c r="B1302">
        <v>2275.1479490000002</v>
      </c>
      <c r="C1302">
        <f t="shared" si="220"/>
        <v>-1.6223695101473479E-2</v>
      </c>
      <c r="D1302">
        <v>3308.8000489999999</v>
      </c>
      <c r="E1302">
        <f t="shared" si="221"/>
        <v>2.6637117952564848E-2</v>
      </c>
      <c r="F1302">
        <v>1335.150024</v>
      </c>
      <c r="G1302">
        <f t="shared" si="222"/>
        <v>3.6835361774103514E-3</v>
      </c>
      <c r="H1302">
        <v>660.20001219999995</v>
      </c>
      <c r="I1302">
        <f t="shared" si="223"/>
        <v>2.6989246727133098E-2</v>
      </c>
      <c r="J1302">
        <v>1452.4499510000001</v>
      </c>
      <c r="K1302">
        <f t="shared" si="224"/>
        <v>1.0575718211862872E-2</v>
      </c>
      <c r="L1302">
        <v>265.5</v>
      </c>
      <c r="M1302">
        <f t="shared" si="225"/>
        <v>7.5390957104293221E-4</v>
      </c>
      <c r="N1302">
        <v>824.90002440000001</v>
      </c>
      <c r="O1302">
        <f t="shared" si="226"/>
        <v>1.9275962974381278E-2</v>
      </c>
      <c r="P1302">
        <v>134.8000031</v>
      </c>
      <c r="Q1302">
        <f t="shared" si="227"/>
        <v>-3.7080458092764168E-4</v>
      </c>
      <c r="R1302">
        <v>407.2000122</v>
      </c>
      <c r="S1302">
        <f t="shared" si="228"/>
        <v>3.5868750651744108E-2</v>
      </c>
      <c r="T1302">
        <v>3440.4499510000001</v>
      </c>
      <c r="U1302">
        <f t="shared" si="229"/>
        <v>-1.3165673472188333E-2</v>
      </c>
      <c r="W1302">
        <f t="shared" si="230"/>
        <v>9.4024069111550059E-3</v>
      </c>
      <c r="X1302">
        <v>5.8367488433111346E-3</v>
      </c>
    </row>
    <row r="1303" spans="1:24" x14ac:dyDescent="0.35">
      <c r="A1303" s="1">
        <v>44736</v>
      </c>
      <c r="B1303">
        <v>2307.5454100000002</v>
      </c>
      <c r="C1303">
        <f t="shared" si="220"/>
        <v>1.4239716153070292E-2</v>
      </c>
      <c r="D1303">
        <v>3293.1000979999999</v>
      </c>
      <c r="E1303">
        <f t="shared" si="221"/>
        <v>-4.744907751299432E-3</v>
      </c>
      <c r="F1303">
        <v>1353.8000489999999</v>
      </c>
      <c r="G1303">
        <f t="shared" si="222"/>
        <v>1.3968486435798511E-2</v>
      </c>
      <c r="H1303">
        <v>671.20001219999995</v>
      </c>
      <c r="I1303">
        <f t="shared" si="223"/>
        <v>1.6661617383714411E-2</v>
      </c>
      <c r="J1303">
        <v>1441.099976</v>
      </c>
      <c r="K1303">
        <f t="shared" si="224"/>
        <v>-7.8143656462555944E-3</v>
      </c>
      <c r="L1303">
        <v>265.85000609999997</v>
      </c>
      <c r="M1303">
        <f t="shared" si="225"/>
        <v>1.3182903954800373E-3</v>
      </c>
      <c r="N1303">
        <v>824.59997559999999</v>
      </c>
      <c r="O1303">
        <f t="shared" si="226"/>
        <v>-3.6373959404145673E-4</v>
      </c>
      <c r="P1303">
        <v>137.3500061</v>
      </c>
      <c r="Q1303">
        <f t="shared" si="227"/>
        <v>1.8916935766747134E-2</v>
      </c>
      <c r="R1303">
        <v>409.2999878</v>
      </c>
      <c r="S1303">
        <f t="shared" si="228"/>
        <v>5.1571108474539606E-3</v>
      </c>
      <c r="T1303">
        <v>3412</v>
      </c>
      <c r="U1303">
        <f t="shared" si="229"/>
        <v>-8.2692529771377643E-3</v>
      </c>
      <c r="W1303">
        <f t="shared" si="230"/>
        <v>4.9069891013530098E-3</v>
      </c>
      <c r="X1303">
        <v>5.8388069600926688E-3</v>
      </c>
    </row>
    <row r="1304" spans="1:24" x14ac:dyDescent="0.35">
      <c r="A1304" s="1">
        <v>44739</v>
      </c>
      <c r="B1304">
        <v>2300.7150879999999</v>
      </c>
      <c r="C1304">
        <f t="shared" si="220"/>
        <v>-2.9599946204309502E-3</v>
      </c>
      <c r="D1304">
        <v>3314.6999510000001</v>
      </c>
      <c r="E1304">
        <f t="shared" si="221"/>
        <v>6.5591243379203856E-3</v>
      </c>
      <c r="F1304">
        <v>1356.25</v>
      </c>
      <c r="G1304">
        <f t="shared" si="222"/>
        <v>1.8096845260198169E-3</v>
      </c>
      <c r="H1304">
        <v>683.95001219999995</v>
      </c>
      <c r="I1304">
        <f t="shared" si="223"/>
        <v>1.8995828021827865E-2</v>
      </c>
      <c r="J1304">
        <v>1474.599976</v>
      </c>
      <c r="K1304">
        <f t="shared" si="224"/>
        <v>2.324613181452162E-2</v>
      </c>
      <c r="L1304">
        <v>269.9500122</v>
      </c>
      <c r="M1304">
        <f t="shared" si="225"/>
        <v>1.5422253172556966E-2</v>
      </c>
      <c r="N1304">
        <v>835.65002440000001</v>
      </c>
      <c r="O1304">
        <f t="shared" si="226"/>
        <v>1.3400496152039976E-2</v>
      </c>
      <c r="P1304">
        <v>141.5</v>
      </c>
      <c r="Q1304">
        <f t="shared" si="227"/>
        <v>3.0214734005752586E-2</v>
      </c>
      <c r="R1304">
        <v>414.5</v>
      </c>
      <c r="S1304">
        <f t="shared" si="228"/>
        <v>1.2704647825547699E-2</v>
      </c>
      <c r="T1304">
        <v>3408.6000979999999</v>
      </c>
      <c r="U1304">
        <f t="shared" si="229"/>
        <v>-9.9645427901529082E-4</v>
      </c>
      <c r="W1304">
        <f t="shared" si="230"/>
        <v>1.1839645095674069E-2</v>
      </c>
      <c r="X1304">
        <v>5.8425680964008918E-3</v>
      </c>
    </row>
    <row r="1305" spans="1:24" x14ac:dyDescent="0.35">
      <c r="A1305" s="1">
        <v>44740</v>
      </c>
      <c r="B1305">
        <v>2333.0661620000001</v>
      </c>
      <c r="C1305">
        <f t="shared" si="220"/>
        <v>1.4061312575701423E-2</v>
      </c>
      <c r="D1305">
        <v>3318.1499020000001</v>
      </c>
      <c r="E1305">
        <f t="shared" si="221"/>
        <v>1.040803406341384E-3</v>
      </c>
      <c r="F1305">
        <v>1345.900024</v>
      </c>
      <c r="G1305">
        <f t="shared" si="222"/>
        <v>-7.6313187096773705E-3</v>
      </c>
      <c r="H1305">
        <v>681.15002440000001</v>
      </c>
      <c r="I1305">
        <f t="shared" si="223"/>
        <v>-4.0938486001242946E-3</v>
      </c>
      <c r="J1305">
        <v>1480.150024</v>
      </c>
      <c r="K1305">
        <f t="shared" si="224"/>
        <v>3.763765150095244E-3</v>
      </c>
      <c r="L1305">
        <v>271.85000609999997</v>
      </c>
      <c r="M1305">
        <f t="shared" si="225"/>
        <v>7.0383175185497748E-3</v>
      </c>
      <c r="N1305">
        <v>828.59997559999999</v>
      </c>
      <c r="O1305">
        <f t="shared" si="226"/>
        <v>-8.4366045523207589E-3</v>
      </c>
      <c r="P1305">
        <v>149.3500061</v>
      </c>
      <c r="Q1305">
        <f t="shared" si="227"/>
        <v>5.5477074911660873E-2</v>
      </c>
      <c r="R1305">
        <v>417.10000609999997</v>
      </c>
      <c r="S1305">
        <f t="shared" si="228"/>
        <v>6.2726323281061536E-3</v>
      </c>
      <c r="T1305">
        <v>3479.9499510000001</v>
      </c>
      <c r="U1305">
        <f t="shared" si="229"/>
        <v>2.0932303863355761E-2</v>
      </c>
      <c r="W1305">
        <f t="shared" si="230"/>
        <v>8.842443789168819E-3</v>
      </c>
      <c r="X1305">
        <v>5.8659468003380072E-3</v>
      </c>
    </row>
    <row r="1306" spans="1:24" x14ac:dyDescent="0.35">
      <c r="A1306" s="1">
        <v>44741</v>
      </c>
      <c r="B1306">
        <v>2381.477539</v>
      </c>
      <c r="C1306">
        <f t="shared" si="220"/>
        <v>2.0750108928972555E-2</v>
      </c>
      <c r="D1306">
        <v>3290.5</v>
      </c>
      <c r="E1306">
        <f t="shared" si="221"/>
        <v>-8.3329273289715067E-3</v>
      </c>
      <c r="F1306">
        <v>1343.9499510000001</v>
      </c>
      <c r="G1306">
        <f t="shared" si="222"/>
        <v>-1.4488988522374235E-3</v>
      </c>
      <c r="H1306">
        <v>687.79998780000005</v>
      </c>
      <c r="I1306">
        <f t="shared" si="223"/>
        <v>9.7628468939097157E-3</v>
      </c>
      <c r="J1306">
        <v>1463.25</v>
      </c>
      <c r="K1306">
        <f t="shared" si="224"/>
        <v>-1.1417777742778301E-2</v>
      </c>
      <c r="L1306">
        <v>274.0499878</v>
      </c>
      <c r="M1306">
        <f t="shared" si="225"/>
        <v>8.092630681018953E-3</v>
      </c>
      <c r="N1306">
        <v>838.70001219999995</v>
      </c>
      <c r="O1306">
        <f t="shared" si="226"/>
        <v>1.2189279383802099E-2</v>
      </c>
      <c r="P1306">
        <v>154.1499939</v>
      </c>
      <c r="Q1306">
        <f t="shared" si="227"/>
        <v>3.2139187170746375E-2</v>
      </c>
      <c r="R1306">
        <v>416.9500122</v>
      </c>
      <c r="S1306">
        <f t="shared" si="228"/>
        <v>-3.5961135892192964E-4</v>
      </c>
      <c r="T1306">
        <v>3445.25</v>
      </c>
      <c r="U1306">
        <f t="shared" si="229"/>
        <v>-9.9713936949089588E-3</v>
      </c>
      <c r="W1306">
        <f t="shared" si="230"/>
        <v>5.1403444080631577E-3</v>
      </c>
      <c r="X1306">
        <v>5.8756711737574571E-3</v>
      </c>
    </row>
    <row r="1307" spans="1:24" x14ac:dyDescent="0.35">
      <c r="A1307" s="1">
        <v>44742</v>
      </c>
      <c r="B1307">
        <v>2395.7841800000001</v>
      </c>
      <c r="C1307">
        <f t="shared" si="220"/>
        <v>6.007464175374011E-3</v>
      </c>
      <c r="D1307">
        <v>3267.1000979999999</v>
      </c>
      <c r="E1307">
        <f t="shared" si="221"/>
        <v>-7.1113514663425637E-3</v>
      </c>
      <c r="F1307">
        <v>1348</v>
      </c>
      <c r="G1307">
        <f t="shared" si="222"/>
        <v>3.0135415362650964E-3</v>
      </c>
      <c r="H1307">
        <v>684.95001219999995</v>
      </c>
      <c r="I1307">
        <f t="shared" si="223"/>
        <v>-4.1436110069091869E-3</v>
      </c>
      <c r="J1307">
        <v>1461.900024</v>
      </c>
      <c r="K1307">
        <f t="shared" si="224"/>
        <v>-9.2258739108153076E-4</v>
      </c>
      <c r="L1307">
        <v>273.5</v>
      </c>
      <c r="M1307">
        <f t="shared" si="225"/>
        <v>-2.0068886133334241E-3</v>
      </c>
      <c r="N1307">
        <v>830.59997559999999</v>
      </c>
      <c r="O1307">
        <f t="shared" si="226"/>
        <v>-9.6578472423681783E-3</v>
      </c>
      <c r="P1307">
        <v>151.5500031</v>
      </c>
      <c r="Q1307">
        <f t="shared" si="227"/>
        <v>-1.6866629275941847E-2</v>
      </c>
      <c r="R1307">
        <v>411.7999878</v>
      </c>
      <c r="S1307">
        <f t="shared" si="228"/>
        <v>-1.2351659070175769E-2</v>
      </c>
      <c r="T1307">
        <v>3406.1000979999999</v>
      </c>
      <c r="U1307">
        <f t="shared" si="229"/>
        <v>-1.1363443001233597E-2</v>
      </c>
      <c r="W1307">
        <f t="shared" si="230"/>
        <v>-5.5403011355747E-3</v>
      </c>
      <c r="X1307">
        <v>5.8772025758656813E-3</v>
      </c>
    </row>
    <row r="1308" spans="1:24" x14ac:dyDescent="0.35">
      <c r="A1308" s="1">
        <v>44743</v>
      </c>
      <c r="B1308">
        <v>2223.2292480000001</v>
      </c>
      <c r="C1308">
        <f t="shared" si="220"/>
        <v>-7.2024405804365865E-2</v>
      </c>
      <c r="D1308">
        <v>3315.1000979999999</v>
      </c>
      <c r="E1308">
        <f t="shared" si="221"/>
        <v>1.4691928181014058E-2</v>
      </c>
      <c r="F1308">
        <v>1353.75</v>
      </c>
      <c r="G1308">
        <f t="shared" si="222"/>
        <v>4.2655786350147551E-3</v>
      </c>
      <c r="H1308">
        <v>673.45001219999995</v>
      </c>
      <c r="I1308">
        <f t="shared" si="223"/>
        <v>-1.67895463831923E-2</v>
      </c>
      <c r="J1308">
        <v>1479.400024</v>
      </c>
      <c r="K1308">
        <f t="shared" si="224"/>
        <v>1.1970722835147773E-2</v>
      </c>
      <c r="L1308">
        <v>284.35000609999997</v>
      </c>
      <c r="M1308">
        <f t="shared" si="225"/>
        <v>3.9670954661791491E-2</v>
      </c>
      <c r="N1308">
        <v>829.25</v>
      </c>
      <c r="O1308">
        <f t="shared" si="226"/>
        <v>-1.6253017573529815E-3</v>
      </c>
      <c r="P1308">
        <v>131.0500031</v>
      </c>
      <c r="Q1308">
        <f t="shared" si="227"/>
        <v>-0.13526888538875914</v>
      </c>
      <c r="R1308">
        <v>412.7000122</v>
      </c>
      <c r="S1308">
        <f t="shared" si="228"/>
        <v>2.1855862716468888E-3</v>
      </c>
      <c r="T1308">
        <v>3388.75</v>
      </c>
      <c r="U1308">
        <f t="shared" si="229"/>
        <v>-5.0938309212308353E-3</v>
      </c>
      <c r="W1308">
        <f t="shared" si="230"/>
        <v>-1.5801719967028616E-2</v>
      </c>
      <c r="X1308">
        <v>5.8872151231300187E-3</v>
      </c>
    </row>
    <row r="1309" spans="1:24" x14ac:dyDescent="0.35">
      <c r="A1309" s="1">
        <v>44746</v>
      </c>
      <c r="B1309">
        <v>2227.8442380000001</v>
      </c>
      <c r="C1309">
        <f t="shared" si="220"/>
        <v>2.075804824964278E-3</v>
      </c>
      <c r="D1309">
        <v>3235.0500489999999</v>
      </c>
      <c r="E1309">
        <f t="shared" si="221"/>
        <v>-2.4147098619524132E-2</v>
      </c>
      <c r="F1309">
        <v>1355.650024</v>
      </c>
      <c r="G1309">
        <f t="shared" si="222"/>
        <v>1.4035265004617159E-3</v>
      </c>
      <c r="H1309">
        <v>681.90002440000001</v>
      </c>
      <c r="I1309">
        <f t="shared" si="223"/>
        <v>1.2547348796380531E-2</v>
      </c>
      <c r="J1309">
        <v>1488</v>
      </c>
      <c r="K1309">
        <f t="shared" si="224"/>
        <v>5.813151183239329E-3</v>
      </c>
      <c r="L1309">
        <v>291.89999390000003</v>
      </c>
      <c r="M1309">
        <f t="shared" si="225"/>
        <v>2.6551741297817566E-2</v>
      </c>
      <c r="N1309">
        <v>829.40002440000001</v>
      </c>
      <c r="O1309">
        <f t="shared" si="226"/>
        <v>1.8091576725964842E-4</v>
      </c>
      <c r="P1309">
        <v>126</v>
      </c>
      <c r="Q1309">
        <f t="shared" si="227"/>
        <v>-3.8534933083111067E-2</v>
      </c>
      <c r="R1309">
        <v>408.4500122</v>
      </c>
      <c r="S1309">
        <f t="shared" si="228"/>
        <v>-1.0298037010816441E-2</v>
      </c>
      <c r="T1309">
        <v>3495.5</v>
      </c>
      <c r="U1309">
        <f t="shared" si="229"/>
        <v>3.1501291036517998E-2</v>
      </c>
      <c r="W1309">
        <f t="shared" si="230"/>
        <v>7.0937106931894282E-4</v>
      </c>
      <c r="X1309">
        <v>5.8945657595415053E-3</v>
      </c>
    </row>
    <row r="1310" spans="1:24" x14ac:dyDescent="0.35">
      <c r="A1310" s="1">
        <v>44747</v>
      </c>
      <c r="B1310">
        <v>2245.8889159999999</v>
      </c>
      <c r="C1310">
        <f t="shared" si="220"/>
        <v>8.0996138294655573E-3</v>
      </c>
      <c r="D1310">
        <v>3216.3000489999999</v>
      </c>
      <c r="E1310">
        <f t="shared" si="221"/>
        <v>-5.7958917840531532E-3</v>
      </c>
      <c r="F1310">
        <v>1352.599976</v>
      </c>
      <c r="G1310">
        <f t="shared" si="222"/>
        <v>-2.2498786161642137E-3</v>
      </c>
      <c r="H1310">
        <v>684.45001219999995</v>
      </c>
      <c r="I1310">
        <f t="shared" si="223"/>
        <v>3.7395332288536753E-3</v>
      </c>
      <c r="J1310">
        <v>1475.9499510000001</v>
      </c>
      <c r="K1310">
        <f t="shared" si="224"/>
        <v>-8.0981512096773844E-3</v>
      </c>
      <c r="L1310">
        <v>286.89999390000003</v>
      </c>
      <c r="M1310">
        <f t="shared" si="225"/>
        <v>-1.7129154177758954E-2</v>
      </c>
      <c r="N1310">
        <v>835.79998780000005</v>
      </c>
      <c r="O1310">
        <f t="shared" si="226"/>
        <v>7.7163771542325676E-3</v>
      </c>
      <c r="P1310">
        <v>127.4000015</v>
      </c>
      <c r="Q1310">
        <f t="shared" si="227"/>
        <v>1.1111123015873137E-2</v>
      </c>
      <c r="R1310">
        <v>412</v>
      </c>
      <c r="S1310">
        <f t="shared" si="228"/>
        <v>8.6913641668879826E-3</v>
      </c>
      <c r="T1310">
        <v>3639.0500489999999</v>
      </c>
      <c r="U1310">
        <f t="shared" si="229"/>
        <v>4.1067100271777957E-2</v>
      </c>
      <c r="W1310">
        <f t="shared" si="230"/>
        <v>4.7152035879437174E-3</v>
      </c>
      <c r="X1310">
        <v>5.8953324578577037E-3</v>
      </c>
    </row>
    <row r="1311" spans="1:24" x14ac:dyDescent="0.35">
      <c r="A1311" s="1">
        <v>44748</v>
      </c>
      <c r="B1311">
        <v>2226.1367190000001</v>
      </c>
      <c r="C1311">
        <f t="shared" si="220"/>
        <v>-8.7948236706110183E-3</v>
      </c>
      <c r="D1311">
        <v>3260.75</v>
      </c>
      <c r="E1311">
        <f t="shared" si="221"/>
        <v>1.3820212767095663E-2</v>
      </c>
      <c r="F1311">
        <v>1371.25</v>
      </c>
      <c r="G1311">
        <f t="shared" si="222"/>
        <v>1.3788277636343826E-2</v>
      </c>
      <c r="H1311">
        <v>693.95001219999995</v>
      </c>
      <c r="I1311">
        <f t="shared" si="223"/>
        <v>1.3879757222100997E-2</v>
      </c>
      <c r="J1311">
        <v>1491.650024</v>
      </c>
      <c r="K1311">
        <f t="shared" si="224"/>
        <v>1.0637266520699296E-2</v>
      </c>
      <c r="L1311">
        <v>289.2999878</v>
      </c>
      <c r="M1311">
        <f t="shared" si="225"/>
        <v>8.3652629872013051E-3</v>
      </c>
      <c r="N1311">
        <v>837.70001219999995</v>
      </c>
      <c r="O1311">
        <f t="shared" si="226"/>
        <v>2.2733003442618749E-3</v>
      </c>
      <c r="P1311">
        <v>120.9499969</v>
      </c>
      <c r="Q1311">
        <f t="shared" si="227"/>
        <v>-5.0627978995745893E-2</v>
      </c>
      <c r="R1311">
        <v>416.35000609999997</v>
      </c>
      <c r="S1311">
        <f t="shared" si="228"/>
        <v>1.0558267233009566E-2</v>
      </c>
      <c r="T1311">
        <v>3792</v>
      </c>
      <c r="U1311">
        <f t="shared" si="229"/>
        <v>4.2030186158618532E-2</v>
      </c>
      <c r="W1311">
        <f t="shared" si="230"/>
        <v>5.5929728202974149E-3</v>
      </c>
      <c r="X1311">
        <v>5.9065196627605347E-3</v>
      </c>
    </row>
    <row r="1312" spans="1:24" x14ac:dyDescent="0.35">
      <c r="A1312" s="1">
        <v>44749</v>
      </c>
      <c r="B1312">
        <v>2204.2155760000001</v>
      </c>
      <c r="C1312">
        <f t="shared" si="220"/>
        <v>-9.8471683310840108E-3</v>
      </c>
      <c r="D1312">
        <v>3287.8500979999999</v>
      </c>
      <c r="E1312">
        <f t="shared" si="221"/>
        <v>8.3110014567200352E-3</v>
      </c>
      <c r="F1312">
        <v>1395.8000489999999</v>
      </c>
      <c r="G1312">
        <f t="shared" si="222"/>
        <v>1.7903408568824108E-2</v>
      </c>
      <c r="H1312">
        <v>686.79998780000005</v>
      </c>
      <c r="I1312">
        <f t="shared" si="223"/>
        <v>-1.0303370955110247E-2</v>
      </c>
      <c r="J1312">
        <v>1498.6999510000001</v>
      </c>
      <c r="K1312">
        <f t="shared" si="224"/>
        <v>4.7262607760329978E-3</v>
      </c>
      <c r="L1312">
        <v>291.9500122</v>
      </c>
      <c r="M1312">
        <f t="shared" si="225"/>
        <v>9.1601262072364964E-3</v>
      </c>
      <c r="N1312">
        <v>849.45001219999995</v>
      </c>
      <c r="O1312">
        <f t="shared" si="226"/>
        <v>1.4026500929779973E-2</v>
      </c>
      <c r="P1312">
        <v>123.5</v>
      </c>
      <c r="Q1312">
        <f t="shared" si="227"/>
        <v>2.10831183576492E-2</v>
      </c>
      <c r="R1312">
        <v>430.85000609999997</v>
      </c>
      <c r="S1312">
        <f t="shared" si="228"/>
        <v>3.4826467605520772E-2</v>
      </c>
      <c r="T1312">
        <v>3850.9499510000001</v>
      </c>
      <c r="U1312">
        <f t="shared" si="229"/>
        <v>1.5545873154008349E-2</v>
      </c>
      <c r="W1312">
        <f t="shared" si="230"/>
        <v>1.0543221776957767E-2</v>
      </c>
      <c r="X1312">
        <v>5.9118395334776253E-3</v>
      </c>
    </row>
    <row r="1313" spans="1:24" x14ac:dyDescent="0.35">
      <c r="A1313" s="1">
        <v>44750</v>
      </c>
      <c r="B1313">
        <v>2207.2614749999998</v>
      </c>
      <c r="C1313">
        <f t="shared" si="220"/>
        <v>1.3818516814616544E-3</v>
      </c>
      <c r="D1313">
        <v>3265.4499510000001</v>
      </c>
      <c r="E1313">
        <f t="shared" si="221"/>
        <v>-6.8130073854723028E-3</v>
      </c>
      <c r="F1313">
        <v>1397.099976</v>
      </c>
      <c r="G1313">
        <f t="shared" si="222"/>
        <v>9.3131319269645907E-4</v>
      </c>
      <c r="H1313">
        <v>695.15002440000001</v>
      </c>
      <c r="I1313">
        <f t="shared" si="223"/>
        <v>1.2157886936992046E-2</v>
      </c>
      <c r="J1313">
        <v>1514.4499510000001</v>
      </c>
      <c r="K1313">
        <f t="shared" si="224"/>
        <v>1.0509108237102938E-2</v>
      </c>
      <c r="L1313">
        <v>293.0499878</v>
      </c>
      <c r="M1313">
        <f t="shared" si="225"/>
        <v>3.7676847201035812E-3</v>
      </c>
      <c r="N1313">
        <v>857.70001219999995</v>
      </c>
      <c r="O1313">
        <f t="shared" si="226"/>
        <v>9.7121665566091142E-3</v>
      </c>
      <c r="P1313">
        <v>121.5</v>
      </c>
      <c r="Q1313">
        <f t="shared" si="227"/>
        <v>-1.619433198380571E-2</v>
      </c>
      <c r="R1313">
        <v>441.5499878</v>
      </c>
      <c r="S1313">
        <f t="shared" si="228"/>
        <v>2.4834586395518166E-2</v>
      </c>
      <c r="T1313">
        <v>3941.6999510000001</v>
      </c>
      <c r="U1313">
        <f t="shared" si="229"/>
        <v>2.3565613979593447E-2</v>
      </c>
      <c r="W1313">
        <f t="shared" si="230"/>
        <v>6.3852872330799389E-3</v>
      </c>
      <c r="X1313">
        <v>5.9523719053385382E-3</v>
      </c>
    </row>
    <row r="1314" spans="1:24" x14ac:dyDescent="0.35">
      <c r="A1314" s="1">
        <v>44753</v>
      </c>
      <c r="B1314">
        <v>2237.2590329999998</v>
      </c>
      <c r="C1314">
        <f t="shared" si="220"/>
        <v>1.3590396217104228E-2</v>
      </c>
      <c r="D1314">
        <v>3113.8000489999999</v>
      </c>
      <c r="E1314">
        <f t="shared" si="221"/>
        <v>-4.6440736889432177E-2</v>
      </c>
      <c r="F1314">
        <v>1406.150024</v>
      </c>
      <c r="G1314">
        <f t="shared" si="222"/>
        <v>6.4777382832050812E-3</v>
      </c>
      <c r="H1314">
        <v>660.54998780000005</v>
      </c>
      <c r="I1314">
        <f t="shared" si="223"/>
        <v>-4.9773481098362993E-2</v>
      </c>
      <c r="J1314">
        <v>1473.150024</v>
      </c>
      <c r="K1314">
        <f t="shared" si="224"/>
        <v>-2.7270578979998294E-2</v>
      </c>
      <c r="L1314">
        <v>295</v>
      </c>
      <c r="M1314">
        <f t="shared" si="225"/>
        <v>6.6541964892721239E-3</v>
      </c>
      <c r="N1314">
        <v>857.25</v>
      </c>
      <c r="O1314">
        <f t="shared" si="226"/>
        <v>-5.2467318829307885E-4</v>
      </c>
      <c r="P1314">
        <v>125.5</v>
      </c>
      <c r="Q1314">
        <f t="shared" si="227"/>
        <v>3.292181069958855E-2</v>
      </c>
      <c r="R1314">
        <v>437.0499878</v>
      </c>
      <c r="S1314">
        <f t="shared" si="228"/>
        <v>-1.0191371587214837E-2</v>
      </c>
      <c r="T1314">
        <v>3986.8500979999999</v>
      </c>
      <c r="U1314">
        <f t="shared" si="229"/>
        <v>1.1454486024119026E-2</v>
      </c>
      <c r="W1314">
        <f t="shared" si="230"/>
        <v>-6.310221403001237E-3</v>
      </c>
      <c r="X1314">
        <v>5.9616497211222646E-3</v>
      </c>
    </row>
    <row r="1315" spans="1:24" x14ac:dyDescent="0.35">
      <c r="A1315" s="1">
        <v>44754</v>
      </c>
      <c r="B1315">
        <v>2234.0744629999999</v>
      </c>
      <c r="C1315">
        <f t="shared" si="220"/>
        <v>-1.4234248037562347E-3</v>
      </c>
      <c r="D1315">
        <v>3084.6999510000001</v>
      </c>
      <c r="E1315">
        <f t="shared" si="221"/>
        <v>-9.3455255771305312E-3</v>
      </c>
      <c r="F1315">
        <v>1391.8000489999999</v>
      </c>
      <c r="G1315">
        <f t="shared" si="222"/>
        <v>-1.0205152192210187E-2</v>
      </c>
      <c r="H1315">
        <v>663</v>
      </c>
      <c r="I1315">
        <f t="shared" si="223"/>
        <v>3.7090488914546249E-3</v>
      </c>
      <c r="J1315">
        <v>1438.599976</v>
      </c>
      <c r="K1315">
        <f t="shared" si="224"/>
        <v>-2.3453176823218125E-2</v>
      </c>
      <c r="L1315">
        <v>292.7000122</v>
      </c>
      <c r="M1315">
        <f t="shared" si="225"/>
        <v>-7.7965688135592792E-3</v>
      </c>
      <c r="N1315">
        <v>851.59997559999999</v>
      </c>
      <c r="O1315">
        <f t="shared" si="226"/>
        <v>-6.5908712744240372E-3</v>
      </c>
      <c r="P1315">
        <v>124.0999985</v>
      </c>
      <c r="Q1315">
        <f t="shared" si="227"/>
        <v>-1.1155390438246982E-2</v>
      </c>
      <c r="R1315">
        <v>430.5499878</v>
      </c>
      <c r="S1315">
        <f t="shared" si="228"/>
        <v>-1.4872440639386308E-2</v>
      </c>
      <c r="T1315">
        <v>3878.3999020000001</v>
      </c>
      <c r="U1315">
        <f t="shared" si="229"/>
        <v>-2.7201974825791342E-2</v>
      </c>
      <c r="W1315">
        <f t="shared" si="230"/>
        <v>-1.0833547649626841E-2</v>
      </c>
      <c r="X1315">
        <v>5.9716565230766971E-3</v>
      </c>
    </row>
    <row r="1316" spans="1:24" x14ac:dyDescent="0.35">
      <c r="A1316" s="1">
        <v>44755</v>
      </c>
      <c r="B1316">
        <v>2194.4777829999998</v>
      </c>
      <c r="C1316">
        <f t="shared" si="220"/>
        <v>-1.7723975031176065E-2</v>
      </c>
      <c r="D1316">
        <v>3038.75</v>
      </c>
      <c r="E1316">
        <f t="shared" si="221"/>
        <v>-1.489608445875068E-2</v>
      </c>
      <c r="F1316">
        <v>1357.849976</v>
      </c>
      <c r="G1316">
        <f t="shared" si="222"/>
        <v>-2.4392924130440252E-2</v>
      </c>
      <c r="H1316">
        <v>643.5</v>
      </c>
      <c r="I1316">
        <f t="shared" si="223"/>
        <v>-2.9411764705882359E-2</v>
      </c>
      <c r="J1316">
        <v>1444.4499510000001</v>
      </c>
      <c r="K1316">
        <f t="shared" si="224"/>
        <v>4.0664361862885468E-3</v>
      </c>
      <c r="L1316">
        <v>294.0499878</v>
      </c>
      <c r="M1316">
        <f t="shared" si="225"/>
        <v>4.6121473991520556E-3</v>
      </c>
      <c r="N1316">
        <v>860.15002440000001</v>
      </c>
      <c r="O1316">
        <f t="shared" si="226"/>
        <v>1.0039982438909689E-2</v>
      </c>
      <c r="P1316">
        <v>124.4499969</v>
      </c>
      <c r="Q1316">
        <f t="shared" si="227"/>
        <v>2.820293345934255E-3</v>
      </c>
      <c r="R1316">
        <v>427.10000609999997</v>
      </c>
      <c r="S1316">
        <f t="shared" si="228"/>
        <v>-8.0129643427202524E-3</v>
      </c>
      <c r="T1316">
        <v>3883.3500979999999</v>
      </c>
      <c r="U1316">
        <f t="shared" si="229"/>
        <v>1.2763500735051281E-3</v>
      </c>
      <c r="W1316">
        <f t="shared" si="230"/>
        <v>-7.1622503225179934E-3</v>
      </c>
      <c r="X1316">
        <v>5.9777464495534335E-3</v>
      </c>
    </row>
    <row r="1317" spans="1:24" x14ac:dyDescent="0.35">
      <c r="A1317" s="1">
        <v>44756</v>
      </c>
      <c r="B1317">
        <v>2212.5686040000001</v>
      </c>
      <c r="C1317">
        <f t="shared" si="220"/>
        <v>8.24379318858659E-3</v>
      </c>
      <c r="D1317">
        <v>2998.75</v>
      </c>
      <c r="E1317">
        <f t="shared" si="221"/>
        <v>-1.3163307280954384E-2</v>
      </c>
      <c r="F1317">
        <v>1351.0500489999999</v>
      </c>
      <c r="G1317">
        <f t="shared" si="222"/>
        <v>-5.0078632545484947E-3</v>
      </c>
      <c r="H1317">
        <v>641.65002440000001</v>
      </c>
      <c r="I1317">
        <f t="shared" si="223"/>
        <v>-2.8748649572649665E-3</v>
      </c>
      <c r="J1317">
        <v>1428.849976</v>
      </c>
      <c r="K1317">
        <f t="shared" si="224"/>
        <v>-1.0799941520438394E-2</v>
      </c>
      <c r="L1317">
        <v>290.85000609999997</v>
      </c>
      <c r="M1317">
        <f t="shared" si="225"/>
        <v>-1.0882441192878067E-2</v>
      </c>
      <c r="N1317">
        <v>879.90002440000001</v>
      </c>
      <c r="O1317">
        <f t="shared" si="226"/>
        <v>2.2961110782711014E-2</v>
      </c>
      <c r="P1317">
        <v>127.1500015</v>
      </c>
      <c r="Q1317">
        <f t="shared" si="227"/>
        <v>2.1695497527167928E-2</v>
      </c>
      <c r="R1317">
        <v>428.0499878</v>
      </c>
      <c r="S1317">
        <f t="shared" si="228"/>
        <v>2.224260562940783E-3</v>
      </c>
      <c r="T1317">
        <v>3924.8500979999999</v>
      </c>
      <c r="U1317">
        <f t="shared" si="229"/>
        <v>1.0686649143834215E-2</v>
      </c>
      <c r="W1317">
        <f t="shared" si="230"/>
        <v>2.3082892999156225E-3</v>
      </c>
      <c r="X1317">
        <v>5.9869997721290315E-3</v>
      </c>
    </row>
    <row r="1318" spans="1:24" x14ac:dyDescent="0.35">
      <c r="A1318" s="1">
        <v>44757</v>
      </c>
      <c r="B1318">
        <v>2216.860596</v>
      </c>
      <c r="C1318">
        <f t="shared" si="220"/>
        <v>1.93982324084363E-3</v>
      </c>
      <c r="D1318">
        <v>2994.6000979999999</v>
      </c>
      <c r="E1318">
        <f t="shared" si="221"/>
        <v>-1.3838772822009071E-3</v>
      </c>
      <c r="F1318">
        <v>1362.0500489999999</v>
      </c>
      <c r="G1318">
        <f t="shared" si="222"/>
        <v>8.1418153295962359E-3</v>
      </c>
      <c r="H1318">
        <v>651.79998780000005</v>
      </c>
      <c r="I1318">
        <f t="shared" si="223"/>
        <v>1.5818535048745863E-2</v>
      </c>
      <c r="J1318">
        <v>1430.349976</v>
      </c>
      <c r="K1318">
        <f t="shared" si="224"/>
        <v>1.0497953075516708E-3</v>
      </c>
      <c r="L1318">
        <v>293.5499878</v>
      </c>
      <c r="M1318">
        <f t="shared" si="225"/>
        <v>9.2830725232020406E-3</v>
      </c>
      <c r="N1318">
        <v>878.40002440000001</v>
      </c>
      <c r="O1318">
        <f t="shared" si="226"/>
        <v>-1.704739127633137E-3</v>
      </c>
      <c r="P1318">
        <v>126.5500031</v>
      </c>
      <c r="Q1318">
        <f t="shared" si="227"/>
        <v>-4.7188233812172076E-3</v>
      </c>
      <c r="R1318">
        <v>440.2000122</v>
      </c>
      <c r="S1318">
        <f t="shared" si="228"/>
        <v>2.8384592328681402E-2</v>
      </c>
      <c r="T1318">
        <v>3926.8000489999999</v>
      </c>
      <c r="U1318">
        <f t="shared" si="229"/>
        <v>4.9682177696253049E-4</v>
      </c>
      <c r="W1318">
        <f t="shared" si="230"/>
        <v>5.7307015764532128E-3</v>
      </c>
      <c r="X1318">
        <v>5.9954301414874905E-3</v>
      </c>
    </row>
    <row r="1319" spans="1:24" x14ac:dyDescent="0.35">
      <c r="A1319" s="1">
        <v>44760</v>
      </c>
      <c r="B1319">
        <v>2235.7360840000001</v>
      </c>
      <c r="C1319">
        <f t="shared" si="220"/>
        <v>8.5145128358807831E-3</v>
      </c>
      <c r="D1319">
        <v>3063.5</v>
      </c>
      <c r="E1319">
        <f t="shared" si="221"/>
        <v>2.3008047734325521E-2</v>
      </c>
      <c r="F1319">
        <v>1347.5500489999999</v>
      </c>
      <c r="G1319">
        <f t="shared" si="222"/>
        <v>-1.0645717468785953E-2</v>
      </c>
      <c r="H1319">
        <v>663.04998780000005</v>
      </c>
      <c r="I1319">
        <f t="shared" si="223"/>
        <v>1.7259895996579733E-2</v>
      </c>
      <c r="J1319">
        <v>1489.900024</v>
      </c>
      <c r="K1319">
        <f t="shared" si="224"/>
        <v>4.1633200964237282E-2</v>
      </c>
      <c r="L1319">
        <v>295.2999878</v>
      </c>
      <c r="M1319">
        <f t="shared" si="225"/>
        <v>5.9615059537740933E-3</v>
      </c>
      <c r="N1319">
        <v>882.79998780000005</v>
      </c>
      <c r="O1319">
        <f t="shared" si="226"/>
        <v>5.0090656623165142E-3</v>
      </c>
      <c r="P1319">
        <v>129.8999939</v>
      </c>
      <c r="Q1319">
        <f t="shared" si="227"/>
        <v>2.6471676949330725E-2</v>
      </c>
      <c r="R1319">
        <v>450.89999390000003</v>
      </c>
      <c r="S1319">
        <f t="shared" si="228"/>
        <v>2.4307090875632653E-2</v>
      </c>
      <c r="T1319">
        <v>3945.75</v>
      </c>
      <c r="U1319">
        <f t="shared" si="229"/>
        <v>4.8257998277314584E-3</v>
      </c>
      <c r="W1319">
        <f t="shared" si="230"/>
        <v>1.4634507933102279E-2</v>
      </c>
      <c r="X1319">
        <v>6.0041882624158665E-3</v>
      </c>
    </row>
    <row r="1320" spans="1:24" x14ac:dyDescent="0.35">
      <c r="A1320" s="1">
        <v>44761</v>
      </c>
      <c r="B1320">
        <v>2249.4426269999999</v>
      </c>
      <c r="C1320">
        <f t="shared" si="220"/>
        <v>6.1306623344725697E-3</v>
      </c>
      <c r="D1320">
        <v>3074.25</v>
      </c>
      <c r="E1320">
        <f t="shared" si="221"/>
        <v>3.5090582666883474E-3</v>
      </c>
      <c r="F1320">
        <v>1348.0500489999999</v>
      </c>
      <c r="G1320">
        <f t="shared" si="222"/>
        <v>3.7104373256569012E-4</v>
      </c>
      <c r="H1320">
        <v>672.90002440000001</v>
      </c>
      <c r="I1320">
        <f t="shared" si="223"/>
        <v>1.4855647057143262E-2</v>
      </c>
      <c r="J1320">
        <v>1484.150024</v>
      </c>
      <c r="K1320">
        <f t="shared" si="224"/>
        <v>-3.8593193552428628E-3</v>
      </c>
      <c r="L1320">
        <v>294.60000609999997</v>
      </c>
      <c r="M1320">
        <f t="shared" si="225"/>
        <v>-2.3704088348086572E-3</v>
      </c>
      <c r="N1320">
        <v>875.29998780000005</v>
      </c>
      <c r="O1320">
        <f t="shared" si="226"/>
        <v>-8.4956956316804E-3</v>
      </c>
      <c r="P1320">
        <v>127.9000015</v>
      </c>
      <c r="Q1320">
        <f t="shared" si="227"/>
        <v>-1.5396401030931761E-2</v>
      </c>
      <c r="R1320">
        <v>449.0499878</v>
      </c>
      <c r="S1320">
        <f t="shared" si="228"/>
        <v>-4.1029188845150832E-3</v>
      </c>
      <c r="T1320">
        <v>3931.3000489999999</v>
      </c>
      <c r="U1320">
        <f t="shared" si="229"/>
        <v>-3.6621557371856461E-3</v>
      </c>
      <c r="W1320">
        <f t="shared" si="230"/>
        <v>-1.3020488083494543E-3</v>
      </c>
      <c r="X1320">
        <v>6.0623979470580732E-3</v>
      </c>
    </row>
    <row r="1321" spans="1:24" x14ac:dyDescent="0.35">
      <c r="A1321" s="1">
        <v>44762</v>
      </c>
      <c r="B1321">
        <v>2310.2680660000001</v>
      </c>
      <c r="C1321">
        <f t="shared" si="220"/>
        <v>2.7040226885502339E-2</v>
      </c>
      <c r="D1321">
        <v>3164.8000489999999</v>
      </c>
      <c r="E1321">
        <f t="shared" si="221"/>
        <v>2.9454354395380911E-2</v>
      </c>
      <c r="F1321">
        <v>1365.0500489999999</v>
      </c>
      <c r="G1321">
        <f t="shared" si="222"/>
        <v>1.261080774605583E-2</v>
      </c>
      <c r="H1321">
        <v>670.65002440000001</v>
      </c>
      <c r="I1321">
        <f t="shared" si="223"/>
        <v>-3.3437359465192662E-3</v>
      </c>
      <c r="J1321">
        <v>1515.3000489999999</v>
      </c>
      <c r="K1321">
        <f t="shared" si="224"/>
        <v>2.0988461069485487E-2</v>
      </c>
      <c r="L1321">
        <v>298.2000122</v>
      </c>
      <c r="M1321">
        <f t="shared" si="225"/>
        <v>1.2219979719817253E-2</v>
      </c>
      <c r="N1321">
        <v>867.5</v>
      </c>
      <c r="O1321">
        <f t="shared" si="226"/>
        <v>-8.9112166214062594E-3</v>
      </c>
      <c r="P1321">
        <v>132.5500031</v>
      </c>
      <c r="Q1321">
        <f t="shared" si="227"/>
        <v>3.635654062130711E-2</v>
      </c>
      <c r="R1321">
        <v>453.4500122</v>
      </c>
      <c r="S1321">
        <f t="shared" si="228"/>
        <v>9.7985180259256843E-3</v>
      </c>
      <c r="T1321">
        <v>3915.4499510000001</v>
      </c>
      <c r="U1321">
        <f t="shared" si="229"/>
        <v>-4.0317701021146402E-3</v>
      </c>
      <c r="W1321">
        <f t="shared" si="230"/>
        <v>1.3218216579343446E-2</v>
      </c>
      <c r="X1321">
        <v>6.0688161780160016E-3</v>
      </c>
    </row>
    <row r="1322" spans="1:24" x14ac:dyDescent="0.35">
      <c r="A1322" s="1">
        <v>44763</v>
      </c>
      <c r="B1322">
        <v>2294.8540039999998</v>
      </c>
      <c r="C1322">
        <f t="shared" si="220"/>
        <v>-6.6719798567307365E-3</v>
      </c>
      <c r="D1322">
        <v>3177.3000489999999</v>
      </c>
      <c r="E1322">
        <f t="shared" si="221"/>
        <v>3.9496966021439484E-3</v>
      </c>
      <c r="F1322">
        <v>1360.75</v>
      </c>
      <c r="G1322">
        <f t="shared" si="222"/>
        <v>-3.1501035461301008E-3</v>
      </c>
      <c r="H1322">
        <v>678.34997559999999</v>
      </c>
      <c r="I1322">
        <f t="shared" si="223"/>
        <v>1.148132546015912E-2</v>
      </c>
      <c r="J1322">
        <v>1532.900024</v>
      </c>
      <c r="K1322">
        <f t="shared" si="224"/>
        <v>1.1614844869578755E-2</v>
      </c>
      <c r="L1322">
        <v>299.5499878</v>
      </c>
      <c r="M1322">
        <f t="shared" si="225"/>
        <v>4.5270809683755076E-3</v>
      </c>
      <c r="N1322">
        <v>869.65002440000001</v>
      </c>
      <c r="O1322">
        <f t="shared" si="226"/>
        <v>2.478414293948239E-3</v>
      </c>
      <c r="P1322">
        <v>133.1000061</v>
      </c>
      <c r="Q1322">
        <f t="shared" si="227"/>
        <v>4.1494001292861071E-3</v>
      </c>
      <c r="R1322">
        <v>454.85000609999997</v>
      </c>
      <c r="S1322">
        <f t="shared" si="228"/>
        <v>3.087427196677428E-3</v>
      </c>
      <c r="T1322">
        <v>4035.3500979999999</v>
      </c>
      <c r="U1322">
        <f t="shared" si="229"/>
        <v>3.0622316336690103E-2</v>
      </c>
      <c r="W1322">
        <f t="shared" si="230"/>
        <v>6.2088422453998376E-3</v>
      </c>
      <c r="X1322">
        <v>6.0710515767640862E-3</v>
      </c>
    </row>
    <row r="1323" spans="1:24" x14ac:dyDescent="0.35">
      <c r="A1323" s="1">
        <v>44764</v>
      </c>
      <c r="B1323">
        <v>2310.360596</v>
      </c>
      <c r="C1323">
        <f t="shared" si="220"/>
        <v>6.7571148199283559E-3</v>
      </c>
      <c r="D1323">
        <v>3171</v>
      </c>
      <c r="E1323">
        <f t="shared" si="221"/>
        <v>-1.9828309894693863E-3</v>
      </c>
      <c r="F1323">
        <v>1392.5</v>
      </c>
      <c r="G1323">
        <f t="shared" si="222"/>
        <v>2.3332720925959949E-2</v>
      </c>
      <c r="H1323">
        <v>678.84997559999999</v>
      </c>
      <c r="I1323">
        <f t="shared" si="223"/>
        <v>7.3708265347516289E-4</v>
      </c>
      <c r="J1323">
        <v>1506.3000489999999</v>
      </c>
      <c r="K1323">
        <f t="shared" si="224"/>
        <v>-1.7352713538740239E-2</v>
      </c>
      <c r="L1323">
        <v>300.5499878</v>
      </c>
      <c r="M1323">
        <f t="shared" si="225"/>
        <v>3.3383409805634034E-3</v>
      </c>
      <c r="N1323">
        <v>874.5</v>
      </c>
      <c r="O1323">
        <f t="shared" si="226"/>
        <v>5.5769280330282278E-3</v>
      </c>
      <c r="P1323">
        <v>132.4499969</v>
      </c>
      <c r="Q1323">
        <f t="shared" si="227"/>
        <v>-4.8836151030048347E-3</v>
      </c>
      <c r="R1323">
        <v>454.89999390000003</v>
      </c>
      <c r="S1323">
        <f t="shared" si="228"/>
        <v>1.0989952584306018E-4</v>
      </c>
      <c r="T1323">
        <v>3963.3999020000001</v>
      </c>
      <c r="U1323">
        <f t="shared" si="229"/>
        <v>-1.7829976148949211E-2</v>
      </c>
      <c r="W1323">
        <f t="shared" si="230"/>
        <v>-2.1970488413655112E-4</v>
      </c>
      <c r="X1323">
        <v>6.0728747733950319E-3</v>
      </c>
    </row>
    <row r="1324" spans="1:24" x14ac:dyDescent="0.35">
      <c r="A1324" s="1">
        <v>44767</v>
      </c>
      <c r="B1324">
        <v>2234.0283199999999</v>
      </c>
      <c r="C1324">
        <f t="shared" si="220"/>
        <v>-3.3039117846866195E-2</v>
      </c>
      <c r="D1324">
        <v>3166.75</v>
      </c>
      <c r="E1324">
        <f t="shared" si="221"/>
        <v>-1.3402712078208756E-3</v>
      </c>
      <c r="F1324">
        <v>1396.599976</v>
      </c>
      <c r="G1324">
        <f t="shared" si="222"/>
        <v>2.9443274685816423E-3</v>
      </c>
      <c r="H1324">
        <v>678.40002440000001</v>
      </c>
      <c r="I1324">
        <f t="shared" si="223"/>
        <v>-6.6281390023226194E-4</v>
      </c>
      <c r="J1324">
        <v>1503.599976</v>
      </c>
      <c r="K1324">
        <f t="shared" si="224"/>
        <v>-1.7925200240102024E-3</v>
      </c>
      <c r="L1324">
        <v>301.10000609999997</v>
      </c>
      <c r="M1324">
        <f t="shared" si="225"/>
        <v>1.8300393356394107E-3</v>
      </c>
      <c r="N1324">
        <v>868.34997559999999</v>
      </c>
      <c r="O1324">
        <f t="shared" si="226"/>
        <v>-7.0326179531160493E-3</v>
      </c>
      <c r="P1324">
        <v>129.8000031</v>
      </c>
      <c r="Q1324">
        <f t="shared" si="227"/>
        <v>-2.0007503677034855E-2</v>
      </c>
      <c r="R1324">
        <v>449.5499878</v>
      </c>
      <c r="S1324">
        <f t="shared" si="228"/>
        <v>-1.1760840122534977E-2</v>
      </c>
      <c r="T1324">
        <v>4040.0500489999999</v>
      </c>
      <c r="U1324">
        <f t="shared" si="229"/>
        <v>1.9339493590167622E-2</v>
      </c>
      <c r="W1324">
        <f t="shared" si="230"/>
        <v>-5.152182433722674E-3</v>
      </c>
      <c r="X1324">
        <v>6.080743640766907E-3</v>
      </c>
    </row>
    <row r="1325" spans="1:24" x14ac:dyDescent="0.35">
      <c r="A1325" s="1">
        <v>44768</v>
      </c>
      <c r="B1325">
        <v>2235.0437010000001</v>
      </c>
      <c r="C1325">
        <f t="shared" si="220"/>
        <v>4.5450677187486299E-4</v>
      </c>
      <c r="D1325">
        <v>3115.8999020000001</v>
      </c>
      <c r="E1325">
        <f t="shared" si="221"/>
        <v>-1.6057503118338978E-2</v>
      </c>
      <c r="F1325">
        <v>1393.75</v>
      </c>
      <c r="G1325">
        <f t="shared" si="222"/>
        <v>-2.0406530495314934E-3</v>
      </c>
      <c r="H1325">
        <v>684.09997559999999</v>
      </c>
      <c r="I1325">
        <f t="shared" si="223"/>
        <v>8.4020504053508027E-3</v>
      </c>
      <c r="J1325">
        <v>1451.150024</v>
      </c>
      <c r="K1325">
        <f t="shared" si="224"/>
        <v>-3.4882916225851268E-2</v>
      </c>
      <c r="L1325">
        <v>302.4500122</v>
      </c>
      <c r="M1325">
        <f t="shared" si="225"/>
        <v>4.4835804471943241E-3</v>
      </c>
      <c r="N1325">
        <v>867.65002440000001</v>
      </c>
      <c r="O1325">
        <f t="shared" si="226"/>
        <v>-8.0607038598268232E-4</v>
      </c>
      <c r="P1325">
        <v>128.1999969</v>
      </c>
      <c r="Q1325">
        <f t="shared" si="227"/>
        <v>-1.2326703865849109E-2</v>
      </c>
      <c r="R1325">
        <v>441.14999390000003</v>
      </c>
      <c r="S1325">
        <f t="shared" si="228"/>
        <v>-1.8685338956648034E-2</v>
      </c>
      <c r="T1325">
        <v>3932.3999020000001</v>
      </c>
      <c r="U1325">
        <f t="shared" si="229"/>
        <v>-2.6645745892837525E-2</v>
      </c>
      <c r="W1325">
        <f t="shared" si="230"/>
        <v>-9.8104793870619107E-3</v>
      </c>
      <c r="X1325">
        <v>6.1143417649370821E-3</v>
      </c>
    </row>
    <row r="1326" spans="1:24" x14ac:dyDescent="0.35">
      <c r="A1326" s="1">
        <v>44769</v>
      </c>
      <c r="B1326">
        <v>2232.9208979999999</v>
      </c>
      <c r="C1326">
        <f t="shared" si="220"/>
        <v>-9.4978142890467243E-4</v>
      </c>
      <c r="D1326">
        <v>3188.8500979999999</v>
      </c>
      <c r="E1326">
        <f t="shared" si="221"/>
        <v>2.3412239896787312E-2</v>
      </c>
      <c r="F1326">
        <v>1404.400024</v>
      </c>
      <c r="G1326">
        <f t="shared" si="222"/>
        <v>7.6412728251120665E-3</v>
      </c>
      <c r="H1326">
        <v>674.90002440000001</v>
      </c>
      <c r="I1326">
        <f t="shared" si="223"/>
        <v>-1.3448255413152199E-2</v>
      </c>
      <c r="J1326">
        <v>1471.0500489999999</v>
      </c>
      <c r="K1326">
        <f t="shared" si="224"/>
        <v>1.371327889665519E-2</v>
      </c>
      <c r="L1326">
        <v>304.14999390000003</v>
      </c>
      <c r="M1326">
        <f t="shared" si="225"/>
        <v>5.6207030300130523E-3</v>
      </c>
      <c r="N1326">
        <v>894</v>
      </c>
      <c r="O1326">
        <f t="shared" si="226"/>
        <v>3.036935960235998E-2</v>
      </c>
      <c r="P1326">
        <v>128.6000061</v>
      </c>
      <c r="Q1326">
        <f t="shared" si="227"/>
        <v>3.1201966433120898E-3</v>
      </c>
      <c r="R1326">
        <v>444.0499878</v>
      </c>
      <c r="S1326">
        <f t="shared" si="228"/>
        <v>6.5737140204003008E-3</v>
      </c>
      <c r="T1326">
        <v>4000.9499510000001</v>
      </c>
      <c r="U1326">
        <f t="shared" si="229"/>
        <v>1.7432115427816974E-2</v>
      </c>
      <c r="W1326">
        <f t="shared" si="230"/>
        <v>9.3484843500400098E-3</v>
      </c>
      <c r="X1326">
        <v>6.1151685825564517E-3</v>
      </c>
    </row>
    <row r="1327" spans="1:24" x14ac:dyDescent="0.35">
      <c r="A1327" s="1">
        <v>44770</v>
      </c>
      <c r="B1327">
        <v>2267.9025879999999</v>
      </c>
      <c r="C1327">
        <f t="shared" si="220"/>
        <v>1.5666336425680161E-2</v>
      </c>
      <c r="D1327">
        <v>3260.5</v>
      </c>
      <c r="E1327">
        <f t="shared" si="221"/>
        <v>2.246888370354494E-2</v>
      </c>
      <c r="F1327">
        <v>1416.849976</v>
      </c>
      <c r="G1327">
        <f t="shared" si="222"/>
        <v>8.8649613979214781E-3</v>
      </c>
      <c r="H1327">
        <v>666.84997559999999</v>
      </c>
      <c r="I1327">
        <f t="shared" si="223"/>
        <v>-1.1927764867332269E-2</v>
      </c>
      <c r="J1327">
        <v>1517.400024</v>
      </c>
      <c r="K1327">
        <f t="shared" si="224"/>
        <v>3.1508088410389767E-2</v>
      </c>
      <c r="L1327">
        <v>303.4500122</v>
      </c>
      <c r="M1327">
        <f t="shared" si="225"/>
        <v>-2.3014358508590682E-3</v>
      </c>
      <c r="N1327">
        <v>894.84997559999999</v>
      </c>
      <c r="O1327">
        <f t="shared" si="226"/>
        <v>9.5075570469793647E-4</v>
      </c>
      <c r="P1327">
        <v>130.25</v>
      </c>
      <c r="Q1327">
        <f t="shared" si="227"/>
        <v>1.283043407258444E-2</v>
      </c>
      <c r="R1327">
        <v>442.25</v>
      </c>
      <c r="S1327">
        <f t="shared" si="228"/>
        <v>-4.0535702048273281E-3</v>
      </c>
      <c r="T1327">
        <v>4147.7998049999997</v>
      </c>
      <c r="U1327">
        <f t="shared" si="229"/>
        <v>3.6703746809753524E-2</v>
      </c>
      <c r="W1327">
        <f t="shared" si="230"/>
        <v>1.1071043560155359E-2</v>
      </c>
      <c r="X1327">
        <v>6.1303063902313666E-3</v>
      </c>
    </row>
    <row r="1328" spans="1:24" x14ac:dyDescent="0.35">
      <c r="A1328" s="1">
        <v>44771</v>
      </c>
      <c r="B1328">
        <v>2316.2214359999998</v>
      </c>
      <c r="C1328">
        <f t="shared" si="220"/>
        <v>2.1305521787252202E-2</v>
      </c>
      <c r="D1328">
        <v>3301.8999020000001</v>
      </c>
      <c r="E1328">
        <f t="shared" si="221"/>
        <v>1.2697408986351855E-2</v>
      </c>
      <c r="F1328">
        <v>1434.1999510000001</v>
      </c>
      <c r="G1328">
        <f t="shared" si="222"/>
        <v>1.2245456677764777E-2</v>
      </c>
      <c r="H1328">
        <v>677.95001219999995</v>
      </c>
      <c r="I1328">
        <f t="shared" si="223"/>
        <v>1.6645478002773606E-2</v>
      </c>
      <c r="J1328">
        <v>1549.6999510000001</v>
      </c>
      <c r="K1328">
        <f t="shared" si="224"/>
        <v>2.1286362520843038E-2</v>
      </c>
      <c r="L1328">
        <v>303.0499878</v>
      </c>
      <c r="M1328">
        <f t="shared" si="225"/>
        <v>-1.318254684189446E-3</v>
      </c>
      <c r="N1328">
        <v>943.20001219999995</v>
      </c>
      <c r="O1328">
        <f t="shared" si="226"/>
        <v>5.4031444284927233E-2</v>
      </c>
      <c r="P1328">
        <v>134.1499939</v>
      </c>
      <c r="Q1328">
        <f t="shared" si="227"/>
        <v>2.9942371593090211E-2</v>
      </c>
      <c r="R1328">
        <v>449.60000609999997</v>
      </c>
      <c r="S1328">
        <f t="shared" si="228"/>
        <v>1.6619572866025889E-2</v>
      </c>
      <c r="T1328">
        <v>4243.8500979999999</v>
      </c>
      <c r="U1328">
        <f t="shared" si="229"/>
        <v>2.3156925964511466E-2</v>
      </c>
      <c r="W1328">
        <f t="shared" si="230"/>
        <v>2.0661228799935084E-2</v>
      </c>
      <c r="X1328">
        <v>6.1321853497802187E-3</v>
      </c>
    </row>
    <row r="1329" spans="1:24" x14ac:dyDescent="0.35">
      <c r="A1329" s="1">
        <v>44774</v>
      </c>
      <c r="B1329">
        <v>2376.585693</v>
      </c>
      <c r="C1329">
        <f t="shared" si="220"/>
        <v>2.6061522470082199E-2</v>
      </c>
      <c r="D1329">
        <v>3298.8000489999999</v>
      </c>
      <c r="E1329">
        <f t="shared" si="221"/>
        <v>-9.3880889548547675E-4</v>
      </c>
      <c r="F1329">
        <v>1446.150024</v>
      </c>
      <c r="G1329">
        <f t="shared" si="222"/>
        <v>8.3322224294233305E-3</v>
      </c>
      <c r="H1329">
        <v>694.45001219999995</v>
      </c>
      <c r="I1329">
        <f t="shared" si="223"/>
        <v>2.433807759137907E-2</v>
      </c>
      <c r="J1329">
        <v>1551.0500489999999</v>
      </c>
      <c r="K1329">
        <f t="shared" si="224"/>
        <v>8.711996145631673E-4</v>
      </c>
      <c r="L1329">
        <v>307.5</v>
      </c>
      <c r="M1329">
        <f t="shared" si="225"/>
        <v>1.4684086385566175E-2</v>
      </c>
      <c r="N1329">
        <v>918.70001219999995</v>
      </c>
      <c r="O1329">
        <f t="shared" si="226"/>
        <v>-2.5975402547816051E-2</v>
      </c>
      <c r="P1329">
        <v>138.3999939</v>
      </c>
      <c r="Q1329">
        <f t="shared" si="227"/>
        <v>3.1680955596375959E-2</v>
      </c>
      <c r="R1329">
        <v>479.2000122</v>
      </c>
      <c r="S1329">
        <f t="shared" si="228"/>
        <v>6.5836311606758402E-2</v>
      </c>
      <c r="T1329">
        <v>4307.6499020000001</v>
      </c>
      <c r="U1329">
        <f t="shared" si="229"/>
        <v>1.5033472560698424E-2</v>
      </c>
      <c r="W1329">
        <f t="shared" si="230"/>
        <v>1.5992363681154517E-2</v>
      </c>
      <c r="X1329">
        <v>6.1623533216729988E-3</v>
      </c>
    </row>
    <row r="1330" spans="1:24" x14ac:dyDescent="0.35">
      <c r="A1330" s="1">
        <v>44775</v>
      </c>
      <c r="B1330">
        <v>2385.6311040000001</v>
      </c>
      <c r="C1330">
        <f t="shared" si="220"/>
        <v>3.8060529551458E-3</v>
      </c>
      <c r="D1330">
        <v>3291.8000489999999</v>
      </c>
      <c r="E1330">
        <f t="shared" si="221"/>
        <v>-2.1219837201476022E-3</v>
      </c>
      <c r="F1330">
        <v>1430.25</v>
      </c>
      <c r="G1330">
        <f t="shared" si="222"/>
        <v>-1.0994726505636709E-2</v>
      </c>
      <c r="H1330">
        <v>686.79998780000005</v>
      </c>
      <c r="I1330">
        <f t="shared" si="223"/>
        <v>-1.1015946814897148E-2</v>
      </c>
      <c r="J1330">
        <v>1543.599976</v>
      </c>
      <c r="K1330">
        <f t="shared" si="224"/>
        <v>-4.8032447468753237E-3</v>
      </c>
      <c r="L1330">
        <v>309.9500122</v>
      </c>
      <c r="M1330">
        <f t="shared" si="225"/>
        <v>7.9675193495936103E-3</v>
      </c>
      <c r="N1330">
        <v>917.25</v>
      </c>
      <c r="O1330">
        <f t="shared" si="226"/>
        <v>-1.5783304460045278E-3</v>
      </c>
      <c r="P1330">
        <v>136.6999969</v>
      </c>
      <c r="Q1330">
        <f t="shared" si="227"/>
        <v>-1.2283215859303587E-2</v>
      </c>
      <c r="R1330">
        <v>476.25</v>
      </c>
      <c r="S1330">
        <f t="shared" si="228"/>
        <v>-6.156118791517895E-3</v>
      </c>
      <c r="T1330">
        <v>4259.1000979999999</v>
      </c>
      <c r="U1330">
        <f t="shared" si="229"/>
        <v>-1.1270601164096283E-2</v>
      </c>
      <c r="W1330">
        <f t="shared" si="230"/>
        <v>-4.8450595743739664E-3</v>
      </c>
      <c r="X1330">
        <v>6.1943318736728536E-3</v>
      </c>
    </row>
    <row r="1331" spans="1:24" x14ac:dyDescent="0.35">
      <c r="A1331" s="1">
        <v>44776</v>
      </c>
      <c r="B1331">
        <v>2405.6601559999999</v>
      </c>
      <c r="C1331">
        <f t="shared" si="220"/>
        <v>8.3957037474977625E-3</v>
      </c>
      <c r="D1331">
        <v>3339.5</v>
      </c>
      <c r="E1331">
        <f t="shared" si="221"/>
        <v>1.4490537180255059E-2</v>
      </c>
      <c r="F1331">
        <v>1433.599976</v>
      </c>
      <c r="G1331">
        <f t="shared" si="222"/>
        <v>2.3422310784828593E-3</v>
      </c>
      <c r="H1331">
        <v>693.15002440000001</v>
      </c>
      <c r="I1331">
        <f t="shared" si="223"/>
        <v>9.24583097379017E-3</v>
      </c>
      <c r="J1331">
        <v>1566.099976</v>
      </c>
      <c r="K1331">
        <f t="shared" si="224"/>
        <v>1.4576315334174472E-2</v>
      </c>
      <c r="L1331">
        <v>308.14999390000003</v>
      </c>
      <c r="M1331">
        <f t="shared" si="225"/>
        <v>-5.8074471016265061E-3</v>
      </c>
      <c r="N1331">
        <v>897</v>
      </c>
      <c r="O1331">
        <f t="shared" si="226"/>
        <v>-2.2076860179885527E-2</v>
      </c>
      <c r="P1331">
        <v>135.6499939</v>
      </c>
      <c r="Q1331">
        <f t="shared" si="227"/>
        <v>-7.6810755216630833E-3</v>
      </c>
      <c r="R1331">
        <v>467.7999878</v>
      </c>
      <c r="S1331">
        <f t="shared" si="228"/>
        <v>-1.7742807769028923E-2</v>
      </c>
      <c r="T1331">
        <v>4253.1499020000001</v>
      </c>
      <c r="U1331">
        <f t="shared" si="229"/>
        <v>-1.3970547446851E-3</v>
      </c>
      <c r="W1331">
        <f t="shared" si="230"/>
        <v>-5.6546270026888159E-4</v>
      </c>
      <c r="X1331">
        <v>6.2088422453998376E-3</v>
      </c>
    </row>
    <row r="1332" spans="1:24" x14ac:dyDescent="0.35">
      <c r="A1332" s="1">
        <v>44777</v>
      </c>
      <c r="B1332">
        <v>2373.8627929999998</v>
      </c>
      <c r="C1332">
        <f t="shared" si="220"/>
        <v>-1.3217728580944277E-2</v>
      </c>
      <c r="D1332">
        <v>3354.9499510000001</v>
      </c>
      <c r="E1332">
        <f t="shared" si="221"/>
        <v>4.6264264111393061E-3</v>
      </c>
      <c r="F1332">
        <v>1431.900024</v>
      </c>
      <c r="G1332">
        <f t="shared" si="222"/>
        <v>-1.185792430565713E-3</v>
      </c>
      <c r="H1332">
        <v>694.29998780000005</v>
      </c>
      <c r="I1332">
        <f t="shared" si="223"/>
        <v>1.6590396876858815E-3</v>
      </c>
      <c r="J1332">
        <v>1599.900024</v>
      </c>
      <c r="K1332">
        <f t="shared" si="224"/>
        <v>2.1582305419816983E-2</v>
      </c>
      <c r="L1332">
        <v>309.5</v>
      </c>
      <c r="M1332">
        <f t="shared" si="225"/>
        <v>4.3810031696385199E-3</v>
      </c>
      <c r="N1332">
        <v>918.5</v>
      </c>
      <c r="O1332">
        <f t="shared" si="226"/>
        <v>2.3968784838350077E-2</v>
      </c>
      <c r="P1332">
        <v>136.25</v>
      </c>
      <c r="Q1332">
        <f t="shared" si="227"/>
        <v>4.4231929744302789E-3</v>
      </c>
      <c r="R1332">
        <v>468.89999390000003</v>
      </c>
      <c r="S1332">
        <f t="shared" si="228"/>
        <v>2.3514453370834243E-3</v>
      </c>
      <c r="T1332">
        <v>4239.1000979999999</v>
      </c>
      <c r="U1332">
        <f t="shared" si="229"/>
        <v>-3.303387918068279E-3</v>
      </c>
      <c r="W1332">
        <f t="shared" si="230"/>
        <v>4.5285288908566207E-3</v>
      </c>
      <c r="X1332">
        <v>6.2467108262858851E-3</v>
      </c>
    </row>
    <row r="1333" spans="1:24" x14ac:dyDescent="0.35">
      <c r="A1333" s="1">
        <v>44778</v>
      </c>
      <c r="B1333">
        <v>2338.8811040000001</v>
      </c>
      <c r="C1333">
        <f t="shared" si="220"/>
        <v>-1.4736188251129323E-2</v>
      </c>
      <c r="D1333">
        <v>3365.0500489999999</v>
      </c>
      <c r="E1333">
        <f t="shared" si="221"/>
        <v>3.0105063108287755E-3</v>
      </c>
      <c r="F1333">
        <v>1427.0500489999999</v>
      </c>
      <c r="G1333">
        <f t="shared" si="222"/>
        <v>-3.387090522180225E-3</v>
      </c>
      <c r="H1333">
        <v>703.65002440000001</v>
      </c>
      <c r="I1333">
        <f t="shared" si="223"/>
        <v>1.3466854046227272E-2</v>
      </c>
      <c r="J1333">
        <v>1616.650024</v>
      </c>
      <c r="K1333">
        <f t="shared" si="224"/>
        <v>1.0469404180720288E-2</v>
      </c>
      <c r="L1333">
        <v>310.85000609999997</v>
      </c>
      <c r="M1333">
        <f t="shared" si="225"/>
        <v>4.3618936995153401E-3</v>
      </c>
      <c r="N1333">
        <v>915.95001219999995</v>
      </c>
      <c r="O1333">
        <f t="shared" si="226"/>
        <v>-2.7762523679913942E-3</v>
      </c>
      <c r="P1333">
        <v>136.5</v>
      </c>
      <c r="Q1333">
        <f t="shared" si="227"/>
        <v>1.8348623853210455E-3</v>
      </c>
      <c r="R1333">
        <v>465.25</v>
      </c>
      <c r="S1333">
        <f t="shared" si="228"/>
        <v>-7.7841628225281401E-3</v>
      </c>
      <c r="T1333">
        <v>4232.25</v>
      </c>
      <c r="U1333">
        <f t="shared" si="229"/>
        <v>-1.6159321180529984E-3</v>
      </c>
      <c r="W1333">
        <f t="shared" si="230"/>
        <v>2.84389454073064E-4</v>
      </c>
      <c r="X1333">
        <v>6.2679292423566185E-3</v>
      </c>
    </row>
    <row r="1334" spans="1:24" x14ac:dyDescent="0.35">
      <c r="A1334" s="1">
        <v>44781</v>
      </c>
      <c r="B1334">
        <v>2369.4785160000001</v>
      </c>
      <c r="C1334">
        <f t="shared" si="220"/>
        <v>1.3082072426713776E-2</v>
      </c>
      <c r="D1334">
        <v>3374.4499510000001</v>
      </c>
      <c r="E1334">
        <f t="shared" si="221"/>
        <v>2.7933914393913906E-3</v>
      </c>
      <c r="F1334">
        <v>1462.0500489999999</v>
      </c>
      <c r="G1334">
        <f t="shared" si="222"/>
        <v>2.4526119475996033E-2</v>
      </c>
      <c r="H1334">
        <v>704.34997559999999</v>
      </c>
      <c r="I1334">
        <f t="shared" si="223"/>
        <v>9.9474337487137632E-4</v>
      </c>
      <c r="J1334">
        <v>1619.400024</v>
      </c>
      <c r="K1334">
        <f t="shared" si="224"/>
        <v>1.7010484391641878E-3</v>
      </c>
      <c r="L1334">
        <v>313.14999390000003</v>
      </c>
      <c r="M1334">
        <f t="shared" si="225"/>
        <v>7.3990276817306189E-3</v>
      </c>
      <c r="N1334">
        <v>910.40002440000001</v>
      </c>
      <c r="O1334">
        <f t="shared" si="226"/>
        <v>-6.0592693117275109E-3</v>
      </c>
      <c r="P1334">
        <v>136.5</v>
      </c>
      <c r="Q1334">
        <f t="shared" si="227"/>
        <v>0</v>
      </c>
      <c r="R1334">
        <v>468.25</v>
      </c>
      <c r="S1334">
        <f t="shared" si="228"/>
        <v>6.4481461579795063E-3</v>
      </c>
      <c r="T1334">
        <v>4250.0498049999997</v>
      </c>
      <c r="U1334">
        <f t="shared" si="229"/>
        <v>4.2057546222458164E-3</v>
      </c>
      <c r="W1334">
        <f t="shared" si="230"/>
        <v>5.5091034306365191E-3</v>
      </c>
      <c r="X1334">
        <v>6.2760954644294096E-3</v>
      </c>
    </row>
    <row r="1335" spans="1:24" x14ac:dyDescent="0.35">
      <c r="A1335" s="1">
        <v>44783</v>
      </c>
      <c r="B1335">
        <v>2383.6467290000001</v>
      </c>
      <c r="C1335">
        <f t="shared" si="220"/>
        <v>5.9794646392987705E-3</v>
      </c>
      <c r="D1335">
        <v>3354.25</v>
      </c>
      <c r="E1335">
        <f t="shared" si="221"/>
        <v>-5.9861462737101911E-3</v>
      </c>
      <c r="F1335">
        <v>1466.3000489999999</v>
      </c>
      <c r="G1335">
        <f t="shared" si="222"/>
        <v>2.9068772323539438E-3</v>
      </c>
      <c r="H1335">
        <v>715.25</v>
      </c>
      <c r="I1335">
        <f t="shared" si="223"/>
        <v>1.5475296056786103E-2</v>
      </c>
      <c r="J1335">
        <v>1602.4499510000001</v>
      </c>
      <c r="K1335">
        <f t="shared" si="224"/>
        <v>-1.0466884493512851E-2</v>
      </c>
      <c r="L1335">
        <v>311.2000122</v>
      </c>
      <c r="M1335">
        <f t="shared" si="225"/>
        <v>-6.2269894235499335E-3</v>
      </c>
      <c r="N1335">
        <v>919.70001219999995</v>
      </c>
      <c r="O1335">
        <f t="shared" si="226"/>
        <v>1.0215276307938392E-2</v>
      </c>
      <c r="P1335">
        <v>133.8000031</v>
      </c>
      <c r="Q1335">
        <f t="shared" si="227"/>
        <v>-1.9780197069597105E-2</v>
      </c>
      <c r="R1335">
        <v>475.5499878</v>
      </c>
      <c r="S1335">
        <f t="shared" si="228"/>
        <v>1.5589936572343754E-2</v>
      </c>
      <c r="T1335">
        <v>4250.7001950000003</v>
      </c>
      <c r="U1335">
        <f t="shared" si="229"/>
        <v>1.5303114783171701E-4</v>
      </c>
      <c r="W1335">
        <f t="shared" si="230"/>
        <v>7.8596646961825989E-4</v>
      </c>
      <c r="X1335">
        <v>6.287379533386539E-3</v>
      </c>
    </row>
    <row r="1336" spans="1:24" x14ac:dyDescent="0.35">
      <c r="A1336" s="1">
        <v>44784</v>
      </c>
      <c r="B1336">
        <v>2391.5844729999999</v>
      </c>
      <c r="C1336">
        <f t="shared" si="220"/>
        <v>3.3300840696850464E-3</v>
      </c>
      <c r="D1336">
        <v>3422.5</v>
      </c>
      <c r="E1336">
        <f t="shared" si="221"/>
        <v>2.0347320563464333E-2</v>
      </c>
      <c r="F1336">
        <v>1485.6999510000001</v>
      </c>
      <c r="G1336">
        <f t="shared" si="222"/>
        <v>1.3230513095345398E-2</v>
      </c>
      <c r="H1336">
        <v>709.79998780000005</v>
      </c>
      <c r="I1336">
        <f t="shared" si="223"/>
        <v>-7.6197304439006297E-3</v>
      </c>
      <c r="J1336">
        <v>1619.9499510000001</v>
      </c>
      <c r="K1336">
        <f t="shared" si="224"/>
        <v>1.0920777893299816E-2</v>
      </c>
      <c r="L1336">
        <v>306.25</v>
      </c>
      <c r="M1336">
        <f t="shared" si="225"/>
        <v>-1.5906208245322184E-2</v>
      </c>
      <c r="N1336">
        <v>921.04998780000005</v>
      </c>
      <c r="O1336">
        <f t="shared" si="226"/>
        <v>1.4678434077333158E-3</v>
      </c>
      <c r="P1336">
        <v>132.8000031</v>
      </c>
      <c r="Q1336">
        <f t="shared" si="227"/>
        <v>-7.4738413813982829E-3</v>
      </c>
      <c r="R1336">
        <v>476.64999390000003</v>
      </c>
      <c r="S1336">
        <f t="shared" si="228"/>
        <v>2.3131240210705339E-3</v>
      </c>
      <c r="T1336">
        <v>4274.8500979999999</v>
      </c>
      <c r="U1336">
        <f t="shared" si="229"/>
        <v>5.6813940979432154E-3</v>
      </c>
      <c r="W1336">
        <f t="shared" si="230"/>
        <v>2.6291277077920561E-3</v>
      </c>
      <c r="X1336">
        <v>6.2882314928242259E-3</v>
      </c>
    </row>
    <row r="1337" spans="1:24" x14ac:dyDescent="0.35">
      <c r="A1337" s="1">
        <v>44785</v>
      </c>
      <c r="B1337">
        <v>2430.258057</v>
      </c>
      <c r="C1337">
        <f t="shared" si="220"/>
        <v>1.6170695384841727E-2</v>
      </c>
      <c r="D1337">
        <v>3401.5500489999999</v>
      </c>
      <c r="E1337">
        <f t="shared" si="221"/>
        <v>-6.1212420745069274E-3</v>
      </c>
      <c r="F1337">
        <v>1485.150024</v>
      </c>
      <c r="G1337">
        <f t="shared" si="222"/>
        <v>-3.7014674438795581E-4</v>
      </c>
      <c r="H1337">
        <v>709.70001219999995</v>
      </c>
      <c r="I1337">
        <f t="shared" si="223"/>
        <v>-1.4085038280997608E-4</v>
      </c>
      <c r="J1337">
        <v>1594.099976</v>
      </c>
      <c r="K1337">
        <f t="shared" si="224"/>
        <v>-1.5957267682278009E-2</v>
      </c>
      <c r="L1337">
        <v>308.5499878</v>
      </c>
      <c r="M1337">
        <f t="shared" si="225"/>
        <v>7.5101642448980321E-3</v>
      </c>
      <c r="N1337">
        <v>913.45001219999995</v>
      </c>
      <c r="O1337">
        <f t="shared" si="226"/>
        <v>-8.2514257647983147E-3</v>
      </c>
      <c r="P1337">
        <v>139.1999969</v>
      </c>
      <c r="Q1337">
        <f t="shared" si="227"/>
        <v>4.8192723272609594E-2</v>
      </c>
      <c r="R1337">
        <v>477.5499878</v>
      </c>
      <c r="S1337">
        <f t="shared" si="228"/>
        <v>1.8881651348321427E-3</v>
      </c>
      <c r="T1337">
        <v>4336.7001950000003</v>
      </c>
      <c r="U1337">
        <f t="shared" si="229"/>
        <v>1.4468366277670786E-2</v>
      </c>
      <c r="W1337">
        <f t="shared" si="230"/>
        <v>5.73891816660711E-3</v>
      </c>
      <c r="X1337">
        <v>6.309467790644876E-3</v>
      </c>
    </row>
    <row r="1338" spans="1:24" x14ac:dyDescent="0.35">
      <c r="A1338" s="1">
        <v>44789</v>
      </c>
      <c r="B1338">
        <v>2447.1489259999998</v>
      </c>
      <c r="C1338">
        <f t="shared" si="220"/>
        <v>6.9502368077118959E-3</v>
      </c>
      <c r="D1338">
        <v>3392.6999510000001</v>
      </c>
      <c r="E1338">
        <f t="shared" si="221"/>
        <v>-2.6017838551579686E-3</v>
      </c>
      <c r="F1338">
        <v>1502.150024</v>
      </c>
      <c r="G1338">
        <f t="shared" si="222"/>
        <v>1.1446655035033615E-2</v>
      </c>
      <c r="H1338">
        <v>704.09997559999999</v>
      </c>
      <c r="I1338">
        <f t="shared" si="223"/>
        <v>-7.8907094599595107E-3</v>
      </c>
      <c r="J1338">
        <v>1596.4499510000001</v>
      </c>
      <c r="K1338">
        <f t="shared" si="224"/>
        <v>1.4741704004643807E-3</v>
      </c>
      <c r="L1338">
        <v>310.5499878</v>
      </c>
      <c r="M1338">
        <f t="shared" si="225"/>
        <v>6.4819318719155916E-3</v>
      </c>
      <c r="N1338">
        <v>914.59997559999999</v>
      </c>
      <c r="O1338">
        <f t="shared" si="226"/>
        <v>1.2589231864263972E-3</v>
      </c>
      <c r="P1338">
        <v>139.9499969</v>
      </c>
      <c r="Q1338">
        <f t="shared" si="227"/>
        <v>5.3879311544726693E-3</v>
      </c>
      <c r="R1338">
        <v>489.85000609999997</v>
      </c>
      <c r="S1338">
        <f t="shared" si="228"/>
        <v>2.5756504270190161E-2</v>
      </c>
      <c r="T1338">
        <v>4402.1000979999999</v>
      </c>
      <c r="U1338">
        <f t="shared" si="229"/>
        <v>1.5080568187628485E-2</v>
      </c>
      <c r="W1338">
        <f t="shared" si="230"/>
        <v>6.334442759872572E-3</v>
      </c>
      <c r="X1338">
        <v>6.3135411997417012E-3</v>
      </c>
    </row>
    <row r="1339" spans="1:24" x14ac:dyDescent="0.35">
      <c r="A1339" s="1">
        <v>44790</v>
      </c>
      <c r="B1339">
        <v>2459.9326169999999</v>
      </c>
      <c r="C1339">
        <f t="shared" si="220"/>
        <v>5.2239121469799255E-3</v>
      </c>
      <c r="D1339">
        <v>3401.1000979999999</v>
      </c>
      <c r="E1339">
        <f t="shared" si="221"/>
        <v>2.4759475112214879E-3</v>
      </c>
      <c r="F1339">
        <v>1509.900024</v>
      </c>
      <c r="G1339">
        <f t="shared" si="222"/>
        <v>5.1592716281179118E-3</v>
      </c>
      <c r="H1339">
        <v>722.95001219999995</v>
      </c>
      <c r="I1339">
        <f t="shared" si="223"/>
        <v>2.6771818283244375E-2</v>
      </c>
      <c r="J1339">
        <v>1606.25</v>
      </c>
      <c r="K1339">
        <f t="shared" si="224"/>
        <v>6.1386509447798332E-3</v>
      </c>
      <c r="L1339">
        <v>312.5499878</v>
      </c>
      <c r="M1339">
        <f t="shared" si="225"/>
        <v>6.4401870184198629E-3</v>
      </c>
      <c r="N1339">
        <v>920.79998780000005</v>
      </c>
      <c r="O1339">
        <f t="shared" si="226"/>
        <v>6.7789332663525936E-3</v>
      </c>
      <c r="P1339">
        <v>139.6499939</v>
      </c>
      <c r="Q1339">
        <f t="shared" si="227"/>
        <v>-2.1436442061114613E-3</v>
      </c>
      <c r="R1339">
        <v>485.39999390000003</v>
      </c>
      <c r="S1339">
        <f t="shared" si="228"/>
        <v>-9.084438388455407E-3</v>
      </c>
      <c r="T1339">
        <v>4398.6499020000001</v>
      </c>
      <c r="U1339">
        <f t="shared" si="229"/>
        <v>-7.8376136916269434E-4</v>
      </c>
      <c r="W1339">
        <f t="shared" si="230"/>
        <v>4.6976876835386422E-3</v>
      </c>
      <c r="X1339">
        <v>6.334442759872572E-3</v>
      </c>
    </row>
    <row r="1340" spans="1:24" x14ac:dyDescent="0.35">
      <c r="A1340" s="1">
        <v>44791</v>
      </c>
      <c r="B1340">
        <v>2456.3791500000002</v>
      </c>
      <c r="C1340">
        <f t="shared" si="220"/>
        <v>-1.4445383485069963E-3</v>
      </c>
      <c r="D1340">
        <v>3381.25</v>
      </c>
      <c r="E1340">
        <f t="shared" si="221"/>
        <v>-5.836375710221664E-3</v>
      </c>
      <c r="F1340">
        <v>1511.6999510000001</v>
      </c>
      <c r="G1340">
        <f t="shared" si="222"/>
        <v>1.1920835627459159E-3</v>
      </c>
      <c r="H1340">
        <v>733.20001219999995</v>
      </c>
      <c r="I1340">
        <f t="shared" si="223"/>
        <v>1.4178020370742228E-2</v>
      </c>
      <c r="J1340">
        <v>1582.9499510000001</v>
      </c>
      <c r="K1340">
        <f t="shared" si="224"/>
        <v>-1.4505867081711976E-2</v>
      </c>
      <c r="L1340">
        <v>315.64999390000003</v>
      </c>
      <c r="M1340">
        <f t="shared" si="225"/>
        <v>9.9184329579424801E-3</v>
      </c>
      <c r="N1340">
        <v>916.75</v>
      </c>
      <c r="O1340">
        <f t="shared" si="226"/>
        <v>-4.3983360704384911E-3</v>
      </c>
      <c r="P1340">
        <v>135.5500031</v>
      </c>
      <c r="Q1340">
        <f t="shared" si="227"/>
        <v>-2.9359047469317501E-2</v>
      </c>
      <c r="R1340">
        <v>484.7999878</v>
      </c>
      <c r="S1340">
        <f t="shared" si="228"/>
        <v>-1.2361065256288883E-3</v>
      </c>
      <c r="T1340">
        <v>4460.9501950000003</v>
      </c>
      <c r="U1340">
        <f t="shared" si="229"/>
        <v>1.4163503435832281E-2</v>
      </c>
      <c r="W1340">
        <f t="shared" si="230"/>
        <v>-1.7328230878562614E-3</v>
      </c>
      <c r="X1340">
        <v>6.3364622223142774E-3</v>
      </c>
    </row>
    <row r="1341" spans="1:24" x14ac:dyDescent="0.35">
      <c r="A1341" s="1">
        <v>44792</v>
      </c>
      <c r="B1341">
        <v>2412.5827640000002</v>
      </c>
      <c r="C1341">
        <f t="shared" si="220"/>
        <v>-1.7829652234265247E-2</v>
      </c>
      <c r="D1341">
        <v>3385.75</v>
      </c>
      <c r="E1341">
        <f t="shared" si="221"/>
        <v>1.3308687615527504E-3</v>
      </c>
      <c r="F1341">
        <v>1493.0500489999999</v>
      </c>
      <c r="G1341">
        <f t="shared" si="222"/>
        <v>-1.2337039494949464E-2</v>
      </c>
      <c r="H1341">
        <v>732.29998780000005</v>
      </c>
      <c r="I1341">
        <f t="shared" si="223"/>
        <v>-1.227529166699437E-3</v>
      </c>
      <c r="J1341">
        <v>1597.099976</v>
      </c>
      <c r="K1341">
        <f t="shared" si="224"/>
        <v>8.9390223557357373E-3</v>
      </c>
      <c r="L1341">
        <v>312</v>
      </c>
      <c r="M1341">
        <f t="shared" si="225"/>
        <v>-1.1563421417826403E-2</v>
      </c>
      <c r="N1341">
        <v>901.34997559999999</v>
      </c>
      <c r="O1341">
        <f t="shared" si="226"/>
        <v>-1.6798499481865292E-2</v>
      </c>
      <c r="P1341">
        <v>134.6000061</v>
      </c>
      <c r="Q1341">
        <f t="shared" si="227"/>
        <v>-7.0084616619237039E-3</v>
      </c>
      <c r="R1341">
        <v>471</v>
      </c>
      <c r="S1341">
        <f t="shared" si="228"/>
        <v>-2.8465322085967304E-2</v>
      </c>
      <c r="T1341">
        <v>4382</v>
      </c>
      <c r="U1341">
        <f t="shared" si="229"/>
        <v>-1.7698066902538057E-2</v>
      </c>
      <c r="W1341">
        <f t="shared" si="230"/>
        <v>-1.0265810132874644E-2</v>
      </c>
      <c r="X1341">
        <v>6.3458607153180201E-3</v>
      </c>
    </row>
    <row r="1342" spans="1:24" x14ac:dyDescent="0.35">
      <c r="A1342" s="1">
        <v>44795</v>
      </c>
      <c r="B1342">
        <v>2405.8908689999998</v>
      </c>
      <c r="C1342">
        <f t="shared" si="220"/>
        <v>-2.7737473299798143E-3</v>
      </c>
      <c r="D1342">
        <v>3354.5500489999999</v>
      </c>
      <c r="E1342">
        <f t="shared" si="221"/>
        <v>-9.2150781953777017E-3</v>
      </c>
      <c r="F1342">
        <v>1470.349976</v>
      </c>
      <c r="G1342">
        <f t="shared" si="222"/>
        <v>-1.5203825896662915E-2</v>
      </c>
      <c r="H1342">
        <v>727.59997559999999</v>
      </c>
      <c r="I1342">
        <f t="shared" si="223"/>
        <v>-6.418151411035744E-3</v>
      </c>
      <c r="J1342">
        <v>1575.650024</v>
      </c>
      <c r="K1342">
        <f t="shared" si="224"/>
        <v>-1.3430563097071802E-2</v>
      </c>
      <c r="L1342">
        <v>314.39999390000003</v>
      </c>
      <c r="M1342">
        <f t="shared" si="225"/>
        <v>7.6922881410257382E-3</v>
      </c>
      <c r="N1342">
        <v>880.54998780000005</v>
      </c>
      <c r="O1342">
        <f t="shared" si="226"/>
        <v>-2.3076483456000552E-2</v>
      </c>
      <c r="P1342">
        <v>131.8999939</v>
      </c>
      <c r="Q1342">
        <f t="shared" si="227"/>
        <v>-2.0059525093884867E-2</v>
      </c>
      <c r="R1342">
        <v>454.60000609999997</v>
      </c>
      <c r="S1342">
        <f t="shared" si="228"/>
        <v>-3.4819519957537182E-2</v>
      </c>
      <c r="T1342">
        <v>4250.75</v>
      </c>
      <c r="U1342">
        <f t="shared" si="229"/>
        <v>-2.9952076677316253E-2</v>
      </c>
      <c r="W1342">
        <f t="shared" si="230"/>
        <v>-1.4725668297384109E-2</v>
      </c>
      <c r="X1342">
        <v>6.348056555884652E-3</v>
      </c>
    </row>
    <row r="1343" spans="1:24" x14ac:dyDescent="0.35">
      <c r="A1343" s="1">
        <v>44796</v>
      </c>
      <c r="B1343">
        <v>2442.9956050000001</v>
      </c>
      <c r="C1343">
        <f t="shared" si="220"/>
        <v>1.5422451815290561E-2</v>
      </c>
      <c r="D1343">
        <v>3284.6000979999999</v>
      </c>
      <c r="E1343">
        <f t="shared" si="221"/>
        <v>-2.0852260356303942E-2</v>
      </c>
      <c r="F1343">
        <v>1465.8000489999999</v>
      </c>
      <c r="G1343">
        <f t="shared" si="222"/>
        <v>-3.0944517116787695E-3</v>
      </c>
      <c r="H1343">
        <v>737.59997559999999</v>
      </c>
      <c r="I1343">
        <f t="shared" si="223"/>
        <v>1.3743815744020171E-2</v>
      </c>
      <c r="J1343">
        <v>1542.400024</v>
      </c>
      <c r="K1343">
        <f t="shared" si="224"/>
        <v>-2.1102401861798237E-2</v>
      </c>
      <c r="L1343">
        <v>315.89999390000003</v>
      </c>
      <c r="M1343">
        <f t="shared" si="225"/>
        <v>4.7709924589791619E-3</v>
      </c>
      <c r="N1343">
        <v>888.40002440000001</v>
      </c>
      <c r="O1343">
        <f t="shared" si="226"/>
        <v>8.9149244321866661E-3</v>
      </c>
      <c r="P1343">
        <v>133.75</v>
      </c>
      <c r="Q1343">
        <f t="shared" si="227"/>
        <v>1.4025823999678E-2</v>
      </c>
      <c r="R1343">
        <v>460.4500122</v>
      </c>
      <c r="S1343">
        <f t="shared" si="228"/>
        <v>1.2868469031021457E-2</v>
      </c>
      <c r="T1343">
        <v>4256.9501950000003</v>
      </c>
      <c r="U1343">
        <f t="shared" si="229"/>
        <v>1.4586120096453659E-3</v>
      </c>
      <c r="W1343">
        <f t="shared" si="230"/>
        <v>2.6155975561040433E-3</v>
      </c>
      <c r="X1343">
        <v>6.3604056095372119E-3</v>
      </c>
    </row>
    <row r="1344" spans="1:24" x14ac:dyDescent="0.35">
      <c r="A1344" s="1">
        <v>44797</v>
      </c>
      <c r="B1344">
        <v>2436.4882809999999</v>
      </c>
      <c r="C1344">
        <f t="shared" si="220"/>
        <v>-2.6636658644337841E-3</v>
      </c>
      <c r="D1344">
        <v>3255.3500979999999</v>
      </c>
      <c r="E1344">
        <f t="shared" si="221"/>
        <v>-8.905193669637379E-3</v>
      </c>
      <c r="F1344">
        <v>1472.849976</v>
      </c>
      <c r="G1344">
        <f t="shared" si="222"/>
        <v>4.8096102908508076E-3</v>
      </c>
      <c r="H1344">
        <v>738.75</v>
      </c>
      <c r="I1344">
        <f t="shared" si="223"/>
        <v>1.5591437609043801E-3</v>
      </c>
      <c r="J1344">
        <v>1537.5</v>
      </c>
      <c r="K1344">
        <f t="shared" si="224"/>
        <v>-3.176882730650199E-3</v>
      </c>
      <c r="L1344">
        <v>314.10000609999997</v>
      </c>
      <c r="M1344">
        <f t="shared" si="225"/>
        <v>-5.6979671882166905E-3</v>
      </c>
      <c r="N1344">
        <v>881</v>
      </c>
      <c r="O1344">
        <f t="shared" si="226"/>
        <v>-8.3296085060305947E-3</v>
      </c>
      <c r="P1344">
        <v>136</v>
      </c>
      <c r="Q1344">
        <f t="shared" si="227"/>
        <v>1.6822429906542036E-2</v>
      </c>
      <c r="R1344">
        <v>463.2000122</v>
      </c>
      <c r="S1344">
        <f t="shared" si="228"/>
        <v>5.972418128214807E-3</v>
      </c>
      <c r="T1344">
        <v>4304.25</v>
      </c>
      <c r="U1344">
        <f t="shared" si="229"/>
        <v>1.1111195300230525E-2</v>
      </c>
      <c r="W1344">
        <f t="shared" si="230"/>
        <v>1.1501479427773911E-3</v>
      </c>
      <c r="X1344">
        <v>6.3723693933828152E-3</v>
      </c>
    </row>
    <row r="1345" spans="1:24" x14ac:dyDescent="0.35">
      <c r="A1345" s="1">
        <v>44798</v>
      </c>
      <c r="B1345">
        <v>2429.3813479999999</v>
      </c>
      <c r="C1345">
        <f t="shared" si="220"/>
        <v>-2.9168755111282918E-3</v>
      </c>
      <c r="D1345">
        <v>3218.1999510000001</v>
      </c>
      <c r="E1345">
        <f t="shared" si="221"/>
        <v>-1.1412028163368282E-2</v>
      </c>
      <c r="F1345">
        <v>1464.849976</v>
      </c>
      <c r="G1345">
        <f t="shared" si="222"/>
        <v>-5.4316462167630641E-3</v>
      </c>
      <c r="H1345">
        <v>741</v>
      </c>
      <c r="I1345">
        <f t="shared" si="223"/>
        <v>3.0456852791878042E-3</v>
      </c>
      <c r="J1345">
        <v>1518.150024</v>
      </c>
      <c r="K1345">
        <f t="shared" si="224"/>
        <v>-1.2585350243902393E-2</v>
      </c>
      <c r="L1345">
        <v>312.35000609999997</v>
      </c>
      <c r="M1345">
        <f t="shared" si="225"/>
        <v>-5.5714739446481865E-3</v>
      </c>
      <c r="N1345">
        <v>877.29998780000005</v>
      </c>
      <c r="O1345">
        <f t="shared" si="226"/>
        <v>-4.1997868331441479E-3</v>
      </c>
      <c r="P1345">
        <v>136.5500031</v>
      </c>
      <c r="Q1345">
        <f t="shared" si="227"/>
        <v>4.0441404411764026E-3</v>
      </c>
      <c r="R1345">
        <v>459.2000122</v>
      </c>
      <c r="S1345">
        <f t="shared" si="228"/>
        <v>-8.6355783563167865E-3</v>
      </c>
      <c r="T1345">
        <v>4341.25</v>
      </c>
      <c r="U1345">
        <f t="shared" si="229"/>
        <v>8.5961549631179413E-3</v>
      </c>
      <c r="W1345">
        <f t="shared" si="230"/>
        <v>-3.5066758585789014E-3</v>
      </c>
      <c r="X1345">
        <v>6.3852872330799389E-3</v>
      </c>
    </row>
    <row r="1346" spans="1:24" x14ac:dyDescent="0.35">
      <c r="A1346" s="1">
        <v>44799</v>
      </c>
      <c r="B1346">
        <v>2416.413086</v>
      </c>
      <c r="C1346">
        <f t="shared" si="220"/>
        <v>-5.3380923545313097E-3</v>
      </c>
      <c r="D1346">
        <v>3222.1999510000001</v>
      </c>
      <c r="E1346">
        <f t="shared" si="221"/>
        <v>1.2429308498240754E-3</v>
      </c>
      <c r="F1346">
        <v>1465.099976</v>
      </c>
      <c r="G1346">
        <f t="shared" si="222"/>
        <v>1.706659412881173E-4</v>
      </c>
      <c r="H1346">
        <v>730.84997559999999</v>
      </c>
      <c r="I1346">
        <f t="shared" si="223"/>
        <v>-1.3697738731443976E-2</v>
      </c>
      <c r="J1346">
        <v>1521.5500489999999</v>
      </c>
      <c r="K1346">
        <f t="shared" si="224"/>
        <v>2.2395843271414417E-3</v>
      </c>
      <c r="L1346">
        <v>312.89999390000003</v>
      </c>
      <c r="M1346">
        <f t="shared" si="225"/>
        <v>1.7608061125633512E-3</v>
      </c>
      <c r="N1346">
        <v>880.15002440000001</v>
      </c>
      <c r="O1346">
        <f t="shared" si="226"/>
        <v>3.2486454344391458E-3</v>
      </c>
      <c r="P1346">
        <v>136.6499939</v>
      </c>
      <c r="Q1346">
        <f t="shared" si="227"/>
        <v>7.3226508773327481E-4</v>
      </c>
      <c r="R1346">
        <v>465.0499878</v>
      </c>
      <c r="S1346">
        <f t="shared" si="228"/>
        <v>1.2739493563976856E-2</v>
      </c>
      <c r="T1346">
        <v>4409.6499020000001</v>
      </c>
      <c r="U1346">
        <f t="shared" si="229"/>
        <v>1.5755808119781278E-2</v>
      </c>
      <c r="W1346">
        <f t="shared" si="230"/>
        <v>1.885436835077226E-3</v>
      </c>
      <c r="X1346">
        <v>6.4420722744952478E-3</v>
      </c>
    </row>
    <row r="1347" spans="1:24" x14ac:dyDescent="0.35">
      <c r="A1347" s="1">
        <v>44802</v>
      </c>
      <c r="B1347">
        <v>2397.6301269999999</v>
      </c>
      <c r="C1347">
        <f t="shared" si="220"/>
        <v>-7.7730745247255317E-3</v>
      </c>
      <c r="D1347">
        <v>3132.5500489999999</v>
      </c>
      <c r="E1347">
        <f t="shared" si="221"/>
        <v>-2.7822575682237671E-2</v>
      </c>
      <c r="F1347">
        <v>1439.400024</v>
      </c>
      <c r="G1347">
        <f t="shared" si="222"/>
        <v>-1.7541432271513391E-2</v>
      </c>
      <c r="H1347">
        <v>720.59997559999999</v>
      </c>
      <c r="I1347">
        <f t="shared" si="223"/>
        <v>-1.402476615202064E-2</v>
      </c>
      <c r="J1347">
        <v>1461.75</v>
      </c>
      <c r="K1347">
        <f t="shared" si="224"/>
        <v>-3.930205847602708E-2</v>
      </c>
      <c r="L1347">
        <v>313.5499878</v>
      </c>
      <c r="M1347">
        <f t="shared" si="225"/>
        <v>2.0773215489664487E-3</v>
      </c>
      <c r="N1347">
        <v>879.25</v>
      </c>
      <c r="O1347">
        <f t="shared" si="226"/>
        <v>-1.0225806681236627E-3</v>
      </c>
      <c r="P1347">
        <v>135.8999939</v>
      </c>
      <c r="Q1347">
        <f t="shared" si="227"/>
        <v>-5.4884744491744408E-3</v>
      </c>
      <c r="R1347">
        <v>453.35000609999997</v>
      </c>
      <c r="S1347">
        <f t="shared" si="228"/>
        <v>-2.515854640777182E-2</v>
      </c>
      <c r="T1347">
        <v>4431.5498049999997</v>
      </c>
      <c r="U1347">
        <f t="shared" si="229"/>
        <v>4.9663586649060232E-3</v>
      </c>
      <c r="W1347">
        <f t="shared" si="230"/>
        <v>-1.3108982841772178E-2</v>
      </c>
      <c r="X1347">
        <v>6.4494643013264579E-3</v>
      </c>
    </row>
    <row r="1348" spans="1:24" x14ac:dyDescent="0.35">
      <c r="A1348" s="1">
        <v>44803</v>
      </c>
      <c r="B1348">
        <v>2434.826904</v>
      </c>
      <c r="C1348">
        <f t="shared" ref="C1348:C1411" si="231">B1348/B1347 - 1</f>
        <v>1.5513976313995537E-2</v>
      </c>
      <c r="D1348">
        <v>3211.1499020000001</v>
      </c>
      <c r="E1348">
        <f t="shared" ref="E1348:E1411" si="232">D1348/D1347 - 1</f>
        <v>2.5091331908676517E-2</v>
      </c>
      <c r="F1348">
        <v>1486.099976</v>
      </c>
      <c r="G1348">
        <f t="shared" ref="G1348:G1411" si="233">F1348/F1347 - 1</f>
        <v>3.2444040031501364E-2</v>
      </c>
      <c r="H1348">
        <v>726.59997559999999</v>
      </c>
      <c r="I1348">
        <f t="shared" ref="I1348:I1411" si="234">H1348/H1347 - 1</f>
        <v>8.326394953044769E-3</v>
      </c>
      <c r="J1348">
        <v>1492.9499510000001</v>
      </c>
      <c r="K1348">
        <f t="shared" ref="K1348:K1411" si="235">J1348/J1347 -1</f>
        <v>2.1344245596032208E-2</v>
      </c>
      <c r="L1348">
        <v>320.5</v>
      </c>
      <c r="M1348">
        <f t="shared" ref="M1348:M1411" si="236">L1348/L1347 -1</f>
        <v>2.2165563611608707E-2</v>
      </c>
      <c r="N1348">
        <v>893.04998780000005</v>
      </c>
      <c r="O1348">
        <f t="shared" ref="O1348:O1411" si="237">N1348/N1347-1</f>
        <v>1.5695180892806526E-2</v>
      </c>
      <c r="P1348">
        <v>138.6000061</v>
      </c>
      <c r="Q1348">
        <f t="shared" ref="Q1348:Q1411" si="238">P1348/P1347 -1</f>
        <v>1.9867640332543068E-2</v>
      </c>
      <c r="R1348">
        <v>471.10000609999997</v>
      </c>
      <c r="S1348">
        <f t="shared" ref="S1348:S1411" si="239">R1348/R1347 - 1</f>
        <v>3.9152971790375801E-2</v>
      </c>
      <c r="T1348">
        <v>4531.3500979999999</v>
      </c>
      <c r="U1348">
        <f t="shared" ref="U1348:U1411" si="240">T1348/T1347 - 1</f>
        <v>2.2520404235872205E-2</v>
      </c>
      <c r="W1348">
        <f t="shared" ref="W1348:W1411" si="241">0.1*C1348+0.1*E1348+0.1*G1348+0.1*I1348+0.1*K1348+0.1*M1348+0.1*O1348+0.1*Q1348+0.1*S1348+0.1*U1348</f>
        <v>2.2212174966645671E-2</v>
      </c>
      <c r="X1348">
        <v>6.486176387157162E-3</v>
      </c>
    </row>
    <row r="1349" spans="1:24" x14ac:dyDescent="0.35">
      <c r="A1349" s="1">
        <v>44805</v>
      </c>
      <c r="B1349">
        <v>2363.2482909999999</v>
      </c>
      <c r="C1349">
        <f t="shared" si="231"/>
        <v>-2.9397824084500201E-2</v>
      </c>
      <c r="D1349">
        <v>3131.6999510000001</v>
      </c>
      <c r="E1349">
        <f t="shared" si="232"/>
        <v>-2.4741900386063054E-2</v>
      </c>
      <c r="F1349">
        <v>1472.150024</v>
      </c>
      <c r="G1349">
        <f t="shared" si="233"/>
        <v>-9.3869539232129817E-3</v>
      </c>
      <c r="H1349">
        <v>735.04998780000005</v>
      </c>
      <c r="I1349">
        <f t="shared" si="234"/>
        <v>1.1629524475310182E-2</v>
      </c>
      <c r="J1349">
        <v>1464.1999510000001</v>
      </c>
      <c r="K1349">
        <f t="shared" si="235"/>
        <v>-1.9257176023042666E-2</v>
      </c>
      <c r="L1349">
        <v>317.60000609999997</v>
      </c>
      <c r="M1349">
        <f t="shared" si="236"/>
        <v>-9.0483429017161887E-3</v>
      </c>
      <c r="N1349">
        <v>871.84997559999999</v>
      </c>
      <c r="O1349">
        <f t="shared" si="237"/>
        <v>-2.3738886388908198E-2</v>
      </c>
      <c r="P1349">
        <v>134.6999969</v>
      </c>
      <c r="Q1349">
        <f t="shared" si="238"/>
        <v>-2.8138593278171586E-2</v>
      </c>
      <c r="R1349">
        <v>466.89999390000003</v>
      </c>
      <c r="S1349">
        <f t="shared" si="239"/>
        <v>-8.9153303876383649E-3</v>
      </c>
      <c r="T1349">
        <v>4565.8500979999999</v>
      </c>
      <c r="U1349">
        <f t="shared" si="240"/>
        <v>7.6136249139582279E-3</v>
      </c>
      <c r="W1349">
        <f t="shared" si="241"/>
        <v>-1.3338185798398483E-2</v>
      </c>
      <c r="X1349">
        <v>6.4886498910568741E-3</v>
      </c>
    </row>
    <row r="1350" spans="1:24" x14ac:dyDescent="0.35">
      <c r="A1350" s="1">
        <v>44806</v>
      </c>
      <c r="B1350">
        <v>2335.650635</v>
      </c>
      <c r="C1350">
        <f t="shared" si="231"/>
        <v>-1.1677848707264737E-2</v>
      </c>
      <c r="D1350">
        <v>3130.3999020000001</v>
      </c>
      <c r="E1350">
        <f t="shared" si="232"/>
        <v>-4.1512565710033478E-4</v>
      </c>
      <c r="F1350">
        <v>1485.5</v>
      </c>
      <c r="G1350">
        <f t="shared" si="233"/>
        <v>9.0683529411810238E-3</v>
      </c>
      <c r="H1350">
        <v>735</v>
      </c>
      <c r="I1350">
        <f t="shared" si="234"/>
        <v>-6.8005987116204203E-5</v>
      </c>
      <c r="J1350">
        <v>1453</v>
      </c>
      <c r="K1350">
        <f t="shared" si="235"/>
        <v>-7.649195038116785E-3</v>
      </c>
      <c r="L1350">
        <v>323.14999390000003</v>
      </c>
      <c r="M1350">
        <f t="shared" si="236"/>
        <v>1.7474772334395317E-2</v>
      </c>
      <c r="N1350">
        <v>869.54998780000005</v>
      </c>
      <c r="O1350">
        <f t="shared" si="237"/>
        <v>-2.6380545556786705E-3</v>
      </c>
      <c r="P1350">
        <v>132.75</v>
      </c>
      <c r="Q1350">
        <f t="shared" si="238"/>
        <v>-1.4476592018392243E-2</v>
      </c>
      <c r="R1350">
        <v>461.75</v>
      </c>
      <c r="S1350">
        <f t="shared" si="239"/>
        <v>-1.1030186265333364E-2</v>
      </c>
      <c r="T1350">
        <v>4576.7998049999997</v>
      </c>
      <c r="U1350">
        <f t="shared" si="240"/>
        <v>2.3981748776193967E-3</v>
      </c>
      <c r="W1350">
        <f t="shared" si="241"/>
        <v>-1.9013708075806602E-3</v>
      </c>
      <c r="X1350">
        <v>6.4930444470365899E-3</v>
      </c>
    </row>
    <row r="1351" spans="1:24" x14ac:dyDescent="0.35">
      <c r="A1351" s="1">
        <v>44809</v>
      </c>
      <c r="B1351">
        <v>2371.9245609999998</v>
      </c>
      <c r="C1351">
        <f t="shared" si="231"/>
        <v>1.55305444472007E-2</v>
      </c>
      <c r="D1351">
        <v>3133.3999020000001</v>
      </c>
      <c r="E1351">
        <f t="shared" si="232"/>
        <v>9.5834401160166394E-4</v>
      </c>
      <c r="F1351">
        <v>1495.0500489999999</v>
      </c>
      <c r="G1351">
        <f t="shared" si="233"/>
        <v>6.4288448333893466E-3</v>
      </c>
      <c r="H1351">
        <v>740.40002440000001</v>
      </c>
      <c r="I1351">
        <f t="shared" si="234"/>
        <v>7.346971972789218E-3</v>
      </c>
      <c r="J1351">
        <v>1461.3000489999999</v>
      </c>
      <c r="K1351">
        <f t="shared" si="235"/>
        <v>5.7123530626290719E-3</v>
      </c>
      <c r="L1351">
        <v>328.85000609999997</v>
      </c>
      <c r="M1351">
        <f t="shared" si="236"/>
        <v>1.7638905485369838E-2</v>
      </c>
      <c r="N1351">
        <v>884.59997559999999</v>
      </c>
      <c r="O1351">
        <f t="shared" si="237"/>
        <v>1.7307789099137549E-2</v>
      </c>
      <c r="P1351">
        <v>133.3999939</v>
      </c>
      <c r="Q1351">
        <f t="shared" si="238"/>
        <v>4.8963758945386182E-3</v>
      </c>
      <c r="R1351">
        <v>459</v>
      </c>
      <c r="S1351">
        <f t="shared" si="239"/>
        <v>-5.9556036816459379E-3</v>
      </c>
      <c r="T1351">
        <v>4577.4501950000003</v>
      </c>
      <c r="U1351">
        <f t="shared" si="240"/>
        <v>1.4210584419482863E-4</v>
      </c>
      <c r="W1351">
        <f t="shared" si="241"/>
        <v>7.0006630969204906E-3</v>
      </c>
      <c r="X1351">
        <v>6.4933372454960446E-3</v>
      </c>
    </row>
    <row r="1352" spans="1:24" x14ac:dyDescent="0.35">
      <c r="A1352" s="1">
        <v>44810</v>
      </c>
      <c r="B1352">
        <v>2396.8916020000001</v>
      </c>
      <c r="C1352">
        <f t="shared" si="231"/>
        <v>1.0526068750464024E-2</v>
      </c>
      <c r="D1352">
        <v>3127.0500489999999</v>
      </c>
      <c r="E1352">
        <f t="shared" si="232"/>
        <v>-2.0265057760253669E-3</v>
      </c>
      <c r="F1352">
        <v>1489.349976</v>
      </c>
      <c r="G1352">
        <f t="shared" si="233"/>
        <v>-3.8126302218528529E-3</v>
      </c>
      <c r="H1352">
        <v>761.25</v>
      </c>
      <c r="I1352">
        <f t="shared" si="234"/>
        <v>2.8160419925561619E-2</v>
      </c>
      <c r="J1352">
        <v>1455.099976</v>
      </c>
      <c r="K1352">
        <f t="shared" si="235"/>
        <v>-4.2428473223160568E-3</v>
      </c>
      <c r="L1352">
        <v>327.14999390000003</v>
      </c>
      <c r="M1352">
        <f t="shared" si="236"/>
        <v>-5.1695671840218393E-3</v>
      </c>
      <c r="N1352">
        <v>887.75</v>
      </c>
      <c r="O1352">
        <f t="shared" si="237"/>
        <v>3.5609591757714831E-3</v>
      </c>
      <c r="P1352">
        <v>132.1000061</v>
      </c>
      <c r="Q1352">
        <f t="shared" si="238"/>
        <v>-9.7450364276215895E-3</v>
      </c>
      <c r="R1352">
        <v>457.75</v>
      </c>
      <c r="S1352">
        <f t="shared" si="239"/>
        <v>-2.7233115468409119E-3</v>
      </c>
      <c r="T1352">
        <v>4557.1000979999999</v>
      </c>
      <c r="U1352">
        <f t="shared" si="240"/>
        <v>-4.4457276721938666E-3</v>
      </c>
      <c r="W1352">
        <f t="shared" si="241"/>
        <v>1.0081821700924645E-3</v>
      </c>
      <c r="X1352">
        <v>6.4988499577182555E-3</v>
      </c>
    </row>
    <row r="1353" spans="1:24" x14ac:dyDescent="0.35">
      <c r="A1353" s="1">
        <v>44811</v>
      </c>
      <c r="B1353">
        <v>2382.954346</v>
      </c>
      <c r="C1353">
        <f t="shared" si="231"/>
        <v>-5.8147210280059536E-3</v>
      </c>
      <c r="D1353">
        <v>3149.6000979999999</v>
      </c>
      <c r="E1353">
        <f t="shared" si="232"/>
        <v>7.2112849639907051E-3</v>
      </c>
      <c r="F1353">
        <v>1482.3000489999999</v>
      </c>
      <c r="G1353">
        <f t="shared" si="233"/>
        <v>-4.7335596828183002E-3</v>
      </c>
      <c r="H1353">
        <v>753.09997559999999</v>
      </c>
      <c r="I1353">
        <f t="shared" si="234"/>
        <v>-1.0706107586206937E-2</v>
      </c>
      <c r="J1353">
        <v>1457.650024</v>
      </c>
      <c r="K1353">
        <f t="shared" si="235"/>
        <v>1.7524898921448262E-3</v>
      </c>
      <c r="L1353">
        <v>326.10000609999997</v>
      </c>
      <c r="M1353">
        <f t="shared" si="236"/>
        <v>-3.2094996777564111E-3</v>
      </c>
      <c r="N1353">
        <v>893.75</v>
      </c>
      <c r="O1353">
        <f t="shared" si="237"/>
        <v>6.758659532525968E-3</v>
      </c>
      <c r="P1353">
        <v>132.5</v>
      </c>
      <c r="Q1353">
        <f t="shared" si="238"/>
        <v>3.0279627670659615E-3</v>
      </c>
      <c r="R1353">
        <v>445.85000609999997</v>
      </c>
      <c r="S1353">
        <f t="shared" si="239"/>
        <v>-2.5996709776078708E-2</v>
      </c>
      <c r="T1353">
        <v>4426.2998049999997</v>
      </c>
      <c r="U1353">
        <f t="shared" si="240"/>
        <v>-2.8702527964528435E-2</v>
      </c>
      <c r="W1353">
        <f t="shared" si="241"/>
        <v>-6.0412728559667284E-3</v>
      </c>
      <c r="X1353">
        <v>6.5374317410005767E-3</v>
      </c>
    </row>
    <row r="1354" spans="1:24" x14ac:dyDescent="0.35">
      <c r="A1354" s="1">
        <v>44812</v>
      </c>
      <c r="B1354">
        <v>2386.3232419999999</v>
      </c>
      <c r="C1354">
        <f t="shared" si="231"/>
        <v>1.413747605217397E-3</v>
      </c>
      <c r="D1354">
        <v>3169.6499020000001</v>
      </c>
      <c r="E1354">
        <f t="shared" si="232"/>
        <v>6.3658253035780987E-3</v>
      </c>
      <c r="F1354">
        <v>1497.599976</v>
      </c>
      <c r="G1354">
        <f t="shared" si="233"/>
        <v>1.0321747618049271E-2</v>
      </c>
      <c r="H1354">
        <v>769.79998780000005</v>
      </c>
      <c r="I1354">
        <f t="shared" si="234"/>
        <v>2.2175026877002679E-2</v>
      </c>
      <c r="J1354">
        <v>1475.900024</v>
      </c>
      <c r="K1354">
        <f t="shared" si="235"/>
        <v>1.2520152093792314E-2</v>
      </c>
      <c r="L1354">
        <v>329.89999390000003</v>
      </c>
      <c r="M1354">
        <f t="shared" si="236"/>
        <v>1.165282958883096E-2</v>
      </c>
      <c r="N1354">
        <v>894.29998780000005</v>
      </c>
      <c r="O1354">
        <f t="shared" si="237"/>
        <v>6.1537096503494482E-4</v>
      </c>
      <c r="P1354">
        <v>131.8500061</v>
      </c>
      <c r="Q1354">
        <f t="shared" si="238"/>
        <v>-4.9056143396226659E-3</v>
      </c>
      <c r="R1354">
        <v>442.2000122</v>
      </c>
      <c r="S1354">
        <f t="shared" si="239"/>
        <v>-8.1865960526225079E-3</v>
      </c>
      <c r="T1354">
        <v>4406.0498049999997</v>
      </c>
      <c r="U1354">
        <f t="shared" si="240"/>
        <v>-4.5749273415970348E-3</v>
      </c>
      <c r="W1354">
        <f t="shared" si="241"/>
        <v>4.7397562317663452E-3</v>
      </c>
      <c r="X1354">
        <v>6.5561142536102015E-3</v>
      </c>
    </row>
    <row r="1355" spans="1:24" x14ac:dyDescent="0.35">
      <c r="A1355" s="1">
        <v>44813</v>
      </c>
      <c r="B1355">
        <v>2371.463135</v>
      </c>
      <c r="C1355">
        <f t="shared" si="231"/>
        <v>-6.2271978659292904E-3</v>
      </c>
      <c r="D1355">
        <v>3217.6499020000001</v>
      </c>
      <c r="E1355">
        <f t="shared" si="232"/>
        <v>1.5143628313559976E-2</v>
      </c>
      <c r="F1355">
        <v>1498.599976</v>
      </c>
      <c r="G1355">
        <f t="shared" si="233"/>
        <v>6.6773505343586947E-4</v>
      </c>
      <c r="H1355">
        <v>765.75</v>
      </c>
      <c r="I1355">
        <f t="shared" si="234"/>
        <v>-5.26109101608907E-3</v>
      </c>
      <c r="J1355">
        <v>1511.650024</v>
      </c>
      <c r="K1355">
        <f t="shared" si="235"/>
        <v>2.4222507906131785E-2</v>
      </c>
      <c r="L1355">
        <v>330.5</v>
      </c>
      <c r="M1355">
        <f t="shared" si="236"/>
        <v>1.8187514734597787E-3</v>
      </c>
      <c r="N1355">
        <v>890</v>
      </c>
      <c r="O1355">
        <f t="shared" si="237"/>
        <v>-4.8082163241197629E-3</v>
      </c>
      <c r="P1355">
        <v>134</v>
      </c>
      <c r="Q1355">
        <f t="shared" si="238"/>
        <v>1.6306361778772871E-2</v>
      </c>
      <c r="R1355">
        <v>445.89999390000003</v>
      </c>
      <c r="S1355">
        <f t="shared" si="239"/>
        <v>8.3672130210765694E-3</v>
      </c>
      <c r="T1355">
        <v>4386.1000979999999</v>
      </c>
      <c r="U1355">
        <f t="shared" si="240"/>
        <v>-4.5277987955018029E-3</v>
      </c>
      <c r="W1355">
        <f t="shared" si="241"/>
        <v>4.5701893544796927E-3</v>
      </c>
      <c r="X1355">
        <v>6.5673843094476098E-3</v>
      </c>
    </row>
    <row r="1356" spans="1:24" x14ac:dyDescent="0.35">
      <c r="A1356" s="1">
        <v>44816</v>
      </c>
      <c r="B1356">
        <v>2397.999268</v>
      </c>
      <c r="C1356">
        <f t="shared" si="231"/>
        <v>1.1189772511475349E-2</v>
      </c>
      <c r="D1356">
        <v>3242.9499510000001</v>
      </c>
      <c r="E1356">
        <f t="shared" si="232"/>
        <v>7.8628967633409541E-3</v>
      </c>
      <c r="F1356">
        <v>1493.5500489999999</v>
      </c>
      <c r="G1356">
        <f t="shared" si="233"/>
        <v>-3.3697631662046312E-3</v>
      </c>
      <c r="H1356">
        <v>769.15002440000001</v>
      </c>
      <c r="I1356">
        <f t="shared" si="234"/>
        <v>4.4401232778321642E-3</v>
      </c>
      <c r="J1356">
        <v>1536.1999510000001</v>
      </c>
      <c r="K1356">
        <f t="shared" si="235"/>
        <v>1.6240483319702514E-2</v>
      </c>
      <c r="L1356">
        <v>330.89999390000003</v>
      </c>
      <c r="M1356">
        <f t="shared" si="236"/>
        <v>1.2102689863844329E-3</v>
      </c>
      <c r="N1356">
        <v>887.70001219999995</v>
      </c>
      <c r="O1356">
        <f t="shared" si="237"/>
        <v>-2.5842559550562916E-3</v>
      </c>
      <c r="P1356">
        <v>134</v>
      </c>
      <c r="Q1356">
        <f t="shared" si="238"/>
        <v>0</v>
      </c>
      <c r="R1356">
        <v>451</v>
      </c>
      <c r="S1356">
        <f t="shared" si="239"/>
        <v>1.1437555886452344E-2</v>
      </c>
      <c r="T1356">
        <v>4443.9501950000003</v>
      </c>
      <c r="U1356">
        <f t="shared" si="240"/>
        <v>1.3189415587295805E-2</v>
      </c>
      <c r="W1356">
        <f t="shared" si="241"/>
        <v>5.9616497211222646E-3</v>
      </c>
      <c r="X1356">
        <v>6.5904716251223398E-3</v>
      </c>
    </row>
    <row r="1357" spans="1:24" x14ac:dyDescent="0.35">
      <c r="A1357" s="1">
        <v>44817</v>
      </c>
      <c r="B1357">
        <v>2418.0283199999999</v>
      </c>
      <c r="C1357">
        <f t="shared" si="231"/>
        <v>8.3524012151616756E-3</v>
      </c>
      <c r="D1357">
        <v>3229.3500979999999</v>
      </c>
      <c r="E1357">
        <f t="shared" si="232"/>
        <v>-4.1936672491065252E-3</v>
      </c>
      <c r="F1357">
        <v>1513.099976</v>
      </c>
      <c r="G1357">
        <f t="shared" si="233"/>
        <v>1.3089569387439992E-2</v>
      </c>
      <c r="H1357">
        <v>784.25</v>
      </c>
      <c r="I1357">
        <f t="shared" si="234"/>
        <v>1.9632029020319131E-2</v>
      </c>
      <c r="J1357">
        <v>1544.9499510000001</v>
      </c>
      <c r="K1357">
        <f t="shared" si="235"/>
        <v>5.6958731148923913E-3</v>
      </c>
      <c r="L1357">
        <v>334.39999390000003</v>
      </c>
      <c r="M1357">
        <f t="shared" si="236"/>
        <v>1.057721385470245E-2</v>
      </c>
      <c r="N1357">
        <v>890.15002440000001</v>
      </c>
      <c r="O1357">
        <f t="shared" si="237"/>
        <v>2.7599551271022538E-3</v>
      </c>
      <c r="P1357">
        <v>133.8999939</v>
      </c>
      <c r="Q1357">
        <f t="shared" si="238"/>
        <v>-7.4631417910453468E-4</v>
      </c>
      <c r="R1357">
        <v>456.7999878</v>
      </c>
      <c r="S1357">
        <f t="shared" si="239"/>
        <v>1.2860283370288217E-2</v>
      </c>
      <c r="T1357">
        <v>4493.25</v>
      </c>
      <c r="U1357">
        <f t="shared" si="240"/>
        <v>1.1093689811255691E-2</v>
      </c>
      <c r="W1357">
        <f t="shared" si="241"/>
        <v>7.9121033472950748E-3</v>
      </c>
      <c r="X1357">
        <v>6.6032052616989854E-3</v>
      </c>
    </row>
    <row r="1358" spans="1:24" x14ac:dyDescent="0.35">
      <c r="A1358" s="1">
        <v>44818</v>
      </c>
      <c r="B1358">
        <v>2389.046143</v>
      </c>
      <c r="C1358">
        <f t="shared" si="231"/>
        <v>-1.198587161295106E-2</v>
      </c>
      <c r="D1358">
        <v>3120.3999020000001</v>
      </c>
      <c r="E1358">
        <f t="shared" si="232"/>
        <v>-3.3737499092301837E-2</v>
      </c>
      <c r="F1358">
        <v>1528.650024</v>
      </c>
      <c r="G1358">
        <f t="shared" si="233"/>
        <v>1.0276946828793099E-2</v>
      </c>
      <c r="H1358">
        <v>783.34997559999999</v>
      </c>
      <c r="I1358">
        <f t="shared" si="234"/>
        <v>-1.1476243544787934E-3</v>
      </c>
      <c r="J1358">
        <v>1475.400024</v>
      </c>
      <c r="K1358">
        <f t="shared" si="235"/>
        <v>-4.5017592288334241E-2</v>
      </c>
      <c r="L1358">
        <v>335.35000609999997</v>
      </c>
      <c r="M1358">
        <f t="shared" si="236"/>
        <v>2.8409456259859134E-3</v>
      </c>
      <c r="N1358">
        <v>883.75</v>
      </c>
      <c r="O1358">
        <f t="shared" si="237"/>
        <v>-7.189826686028411E-3</v>
      </c>
      <c r="P1358">
        <v>133.1999969</v>
      </c>
      <c r="Q1358">
        <f t="shared" si="238"/>
        <v>-5.2277597601891879E-3</v>
      </c>
      <c r="R1358">
        <v>450.2000122</v>
      </c>
      <c r="S1358">
        <f t="shared" si="239"/>
        <v>-1.4448283223005842E-2</v>
      </c>
      <c r="T1358">
        <v>4478.25</v>
      </c>
      <c r="U1358">
        <f t="shared" si="240"/>
        <v>-3.3383408446002738E-3</v>
      </c>
      <c r="W1358">
        <f t="shared" si="241"/>
        <v>-1.0897490540711064E-2</v>
      </c>
      <c r="X1358">
        <v>6.6055665137634608E-3</v>
      </c>
    </row>
    <row r="1359" spans="1:24" x14ac:dyDescent="0.35">
      <c r="A1359" s="1">
        <v>44819</v>
      </c>
      <c r="B1359">
        <v>2365.3713379999999</v>
      </c>
      <c r="C1359">
        <f t="shared" si="231"/>
        <v>-9.9097311575032654E-3</v>
      </c>
      <c r="D1359">
        <v>3104.3500979999999</v>
      </c>
      <c r="E1359">
        <f t="shared" si="232"/>
        <v>-5.1435086860863732E-3</v>
      </c>
      <c r="F1359">
        <v>1520.6999510000001</v>
      </c>
      <c r="G1359">
        <f t="shared" si="233"/>
        <v>-5.2007149283241905E-3</v>
      </c>
      <c r="H1359">
        <v>785.09997559999999</v>
      </c>
      <c r="I1359">
        <f t="shared" si="234"/>
        <v>2.2339950909675554E-3</v>
      </c>
      <c r="J1359">
        <v>1432.8000489999999</v>
      </c>
      <c r="K1359">
        <f t="shared" si="235"/>
        <v>-2.8873508409269277E-2</v>
      </c>
      <c r="L1359">
        <v>334.10000609999997</v>
      </c>
      <c r="M1359">
        <f t="shared" si="236"/>
        <v>-3.7274488661475091E-3</v>
      </c>
      <c r="N1359">
        <v>874.29998780000005</v>
      </c>
      <c r="O1359">
        <f t="shared" si="237"/>
        <v>-1.0693083111739665E-2</v>
      </c>
      <c r="P1359">
        <v>132.6000061</v>
      </c>
      <c r="Q1359">
        <f t="shared" si="238"/>
        <v>-4.5044355402683589E-3</v>
      </c>
      <c r="R1359">
        <v>447.25</v>
      </c>
      <c r="S1359">
        <f t="shared" si="239"/>
        <v>-6.5526701911537977E-3</v>
      </c>
      <c r="T1359">
        <v>4525.8500979999999</v>
      </c>
      <c r="U1359">
        <f t="shared" si="240"/>
        <v>1.0629173896053112E-2</v>
      </c>
      <c r="W1359">
        <f t="shared" si="241"/>
        <v>-6.1741931903471761E-3</v>
      </c>
      <c r="X1359">
        <v>6.6155144017472243E-3</v>
      </c>
    </row>
    <row r="1360" spans="1:24" x14ac:dyDescent="0.35">
      <c r="A1360" s="1">
        <v>44820</v>
      </c>
      <c r="B1360">
        <v>2306.7607419999999</v>
      </c>
      <c r="C1360">
        <f t="shared" si="231"/>
        <v>-2.4778602436925312E-2</v>
      </c>
      <c r="D1360">
        <v>3008.6999510000001</v>
      </c>
      <c r="E1360">
        <f t="shared" si="232"/>
        <v>-3.0811649453334256E-2</v>
      </c>
      <c r="F1360">
        <v>1492.75</v>
      </c>
      <c r="G1360">
        <f t="shared" si="233"/>
        <v>-1.8379661932401814E-2</v>
      </c>
      <c r="H1360">
        <v>779.65002440000001</v>
      </c>
      <c r="I1360">
        <f t="shared" si="234"/>
        <v>-6.941728912722156E-3</v>
      </c>
      <c r="J1360">
        <v>1377.0500489999999</v>
      </c>
      <c r="K1360">
        <f t="shared" si="235"/>
        <v>-3.890982558167122E-2</v>
      </c>
      <c r="L1360">
        <v>331.2999878</v>
      </c>
      <c r="M1360">
        <f t="shared" si="236"/>
        <v>-8.3807789550350842E-3</v>
      </c>
      <c r="N1360">
        <v>868.04998780000005</v>
      </c>
      <c r="O1360">
        <f t="shared" si="237"/>
        <v>-7.1485761034114637E-3</v>
      </c>
      <c r="P1360">
        <v>131.25</v>
      </c>
      <c r="Q1360">
        <f t="shared" si="238"/>
        <v>-1.018104100977113E-2</v>
      </c>
      <c r="R1360">
        <v>432.5</v>
      </c>
      <c r="S1360">
        <f t="shared" si="239"/>
        <v>-3.2979318054779161E-2</v>
      </c>
      <c r="T1360">
        <v>4327.5498049999997</v>
      </c>
      <c r="U1360">
        <f t="shared" si="240"/>
        <v>-4.3815037773263898E-2</v>
      </c>
      <c r="W1360">
        <f t="shared" si="241"/>
        <v>-2.2232622021331548E-2</v>
      </c>
      <c r="X1360">
        <v>6.6241053480727069E-3</v>
      </c>
    </row>
    <row r="1361" spans="1:24" x14ac:dyDescent="0.35">
      <c r="A1361" s="1">
        <v>44823</v>
      </c>
      <c r="B1361">
        <v>2309.7604980000001</v>
      </c>
      <c r="C1361">
        <f t="shared" si="231"/>
        <v>1.300419217902693E-3</v>
      </c>
      <c r="D1361">
        <v>3028.8000489999999</v>
      </c>
      <c r="E1361">
        <f t="shared" si="232"/>
        <v>6.6806588650754062E-3</v>
      </c>
      <c r="F1361">
        <v>1502.599976</v>
      </c>
      <c r="G1361">
        <f t="shared" si="233"/>
        <v>6.5985436275330933E-3</v>
      </c>
      <c r="H1361">
        <v>782.75</v>
      </c>
      <c r="I1361">
        <f t="shared" si="234"/>
        <v>3.9761117206218444E-3</v>
      </c>
      <c r="J1361">
        <v>1390.3000489999999</v>
      </c>
      <c r="K1361">
        <f t="shared" si="235"/>
        <v>9.6220177397488005E-3</v>
      </c>
      <c r="L1361">
        <v>335.60000609999997</v>
      </c>
      <c r="M1361">
        <f t="shared" si="236"/>
        <v>1.2979228669926179E-2</v>
      </c>
      <c r="N1361">
        <v>874.84997559999999</v>
      </c>
      <c r="O1361">
        <f t="shared" si="237"/>
        <v>7.8336361909685515E-3</v>
      </c>
      <c r="P1361">
        <v>130.5500031</v>
      </c>
      <c r="Q1361">
        <f t="shared" si="238"/>
        <v>-5.3333097142856944E-3</v>
      </c>
      <c r="R1361">
        <v>425.4500122</v>
      </c>
      <c r="S1361">
        <f t="shared" si="239"/>
        <v>-1.6300549826589572E-2</v>
      </c>
      <c r="T1361">
        <v>4348</v>
      </c>
      <c r="U1361">
        <f t="shared" si="240"/>
        <v>4.7255828174115333E-3</v>
      </c>
      <c r="W1361">
        <f t="shared" si="241"/>
        <v>3.2082339308312832E-3</v>
      </c>
      <c r="X1361">
        <v>6.6248724106208199E-3</v>
      </c>
    </row>
    <row r="1362" spans="1:24" x14ac:dyDescent="0.35">
      <c r="A1362" s="1">
        <v>44824</v>
      </c>
      <c r="B1362">
        <v>2310.1296390000002</v>
      </c>
      <c r="C1362">
        <f t="shared" si="231"/>
        <v>1.5981786870100656E-4</v>
      </c>
      <c r="D1362">
        <v>3040.3000489999999</v>
      </c>
      <c r="E1362">
        <f t="shared" si="232"/>
        <v>3.7968831926680213E-3</v>
      </c>
      <c r="F1362">
        <v>1520.6999510000001</v>
      </c>
      <c r="G1362">
        <f t="shared" si="233"/>
        <v>1.2045770856581095E-2</v>
      </c>
      <c r="H1362">
        <v>792.15002440000001</v>
      </c>
      <c r="I1362">
        <f t="shared" si="234"/>
        <v>1.2008974001916251E-2</v>
      </c>
      <c r="J1362">
        <v>1388.5500489999999</v>
      </c>
      <c r="K1362">
        <f t="shared" si="235"/>
        <v>-1.258721094959836E-3</v>
      </c>
      <c r="L1362">
        <v>336</v>
      </c>
      <c r="M1362">
        <f t="shared" si="236"/>
        <v>1.1918769151655351E-3</v>
      </c>
      <c r="N1362">
        <v>911.95001219999995</v>
      </c>
      <c r="O1362">
        <f t="shared" si="237"/>
        <v>4.2407312836187261E-2</v>
      </c>
      <c r="P1362">
        <v>133.1999969</v>
      </c>
      <c r="Q1362">
        <f t="shared" si="238"/>
        <v>2.0298688143041588E-2</v>
      </c>
      <c r="R1362">
        <v>434.25</v>
      </c>
      <c r="S1362">
        <f t="shared" si="239"/>
        <v>2.0683952397827721E-2</v>
      </c>
      <c r="T1362">
        <v>4349.2998049999997</v>
      </c>
      <c r="U1362">
        <f t="shared" si="240"/>
        <v>2.9894319227219412E-4</v>
      </c>
      <c r="W1362">
        <f t="shared" si="241"/>
        <v>1.1163349830940085E-2</v>
      </c>
      <c r="X1362">
        <v>6.6270583937212968E-3</v>
      </c>
    </row>
    <row r="1363" spans="1:24" x14ac:dyDescent="0.35">
      <c r="A1363" s="1">
        <v>44825</v>
      </c>
      <c r="B1363">
        <v>2316.4985350000002</v>
      </c>
      <c r="C1363">
        <f t="shared" si="231"/>
        <v>2.756943113702004E-3</v>
      </c>
      <c r="D1363">
        <v>3001.1999510000001</v>
      </c>
      <c r="E1363">
        <f t="shared" si="232"/>
        <v>-1.2860604996161595E-2</v>
      </c>
      <c r="F1363">
        <v>1518.349976</v>
      </c>
      <c r="G1363">
        <f t="shared" si="233"/>
        <v>-1.5453245713954455E-3</v>
      </c>
      <c r="H1363">
        <v>780.20001219999995</v>
      </c>
      <c r="I1363">
        <f t="shared" si="234"/>
        <v>-1.5085541667503422E-2</v>
      </c>
      <c r="J1363">
        <v>1377.25</v>
      </c>
      <c r="K1363">
        <f t="shared" si="235"/>
        <v>-8.1380206699340762E-3</v>
      </c>
      <c r="L1363">
        <v>340.9500122</v>
      </c>
      <c r="M1363">
        <f t="shared" si="236"/>
        <v>1.4732179166666581E-2</v>
      </c>
      <c r="N1363">
        <v>905.29998780000005</v>
      </c>
      <c r="O1363">
        <f t="shared" si="237"/>
        <v>-7.2920931093112262E-3</v>
      </c>
      <c r="P1363">
        <v>130.8999939</v>
      </c>
      <c r="Q1363">
        <f t="shared" si="238"/>
        <v>-1.7267290191656182E-2</v>
      </c>
      <c r="R1363">
        <v>427.64999390000003</v>
      </c>
      <c r="S1363">
        <f t="shared" si="239"/>
        <v>-1.5198632354634367E-2</v>
      </c>
      <c r="T1363">
        <v>4308.7001950000003</v>
      </c>
      <c r="U1363">
        <f t="shared" si="240"/>
        <v>-9.3347462396879965E-3</v>
      </c>
      <c r="W1363">
        <f t="shared" si="241"/>
        <v>-6.9233131519915725E-3</v>
      </c>
      <c r="X1363">
        <v>6.6339116640543039E-3</v>
      </c>
    </row>
    <row r="1364" spans="1:24" x14ac:dyDescent="0.35">
      <c r="A1364" s="1">
        <v>44826</v>
      </c>
      <c r="B1364">
        <v>2294.6694339999999</v>
      </c>
      <c r="C1364">
        <f t="shared" si="231"/>
        <v>-9.4233174207469794E-3</v>
      </c>
      <c r="D1364">
        <v>3007.3999020000001</v>
      </c>
      <c r="E1364">
        <f t="shared" si="232"/>
        <v>2.065824037460251E-3</v>
      </c>
      <c r="F1364">
        <v>1486</v>
      </c>
      <c r="G1364">
        <f t="shared" si="233"/>
        <v>-2.1306007515621617E-2</v>
      </c>
      <c r="H1364">
        <v>784.09997559999999</v>
      </c>
      <c r="I1364">
        <f t="shared" si="234"/>
        <v>4.9986712881520123E-3</v>
      </c>
      <c r="J1364">
        <v>1367.9499510000001</v>
      </c>
      <c r="K1364">
        <f t="shared" si="235"/>
        <v>-6.7526222544925796E-3</v>
      </c>
      <c r="L1364">
        <v>345.0499878</v>
      </c>
      <c r="M1364">
        <f t="shared" si="236"/>
        <v>1.2025151644795784E-2</v>
      </c>
      <c r="N1364">
        <v>908</v>
      </c>
      <c r="O1364">
        <f t="shared" si="237"/>
        <v>2.9824502776822914E-3</v>
      </c>
      <c r="P1364">
        <v>128.6499939</v>
      </c>
      <c r="Q1364">
        <f t="shared" si="238"/>
        <v>-1.7188694460282927E-2</v>
      </c>
      <c r="R1364">
        <v>432.2000122</v>
      </c>
      <c r="S1364">
        <f t="shared" si="239"/>
        <v>1.0639584625047327E-2</v>
      </c>
      <c r="T1364">
        <v>4431.7001950000003</v>
      </c>
      <c r="U1364">
        <f t="shared" si="240"/>
        <v>2.8546892202603091E-2</v>
      </c>
      <c r="W1364">
        <f t="shared" si="241"/>
        <v>6.5879324245966559E-4</v>
      </c>
      <c r="X1364">
        <v>6.6421884765839878E-3</v>
      </c>
    </row>
    <row r="1365" spans="1:24" x14ac:dyDescent="0.35">
      <c r="A1365" s="1">
        <v>44827</v>
      </c>
      <c r="B1365">
        <v>2251.6577149999998</v>
      </c>
      <c r="C1365">
        <f t="shared" si="231"/>
        <v>-1.87441896260514E-2</v>
      </c>
      <c r="D1365">
        <v>2982.0500489999999</v>
      </c>
      <c r="E1365">
        <f t="shared" si="232"/>
        <v>-8.4291593489584926E-3</v>
      </c>
      <c r="F1365">
        <v>1446.150024</v>
      </c>
      <c r="G1365">
        <f t="shared" si="233"/>
        <v>-2.6816942126514087E-2</v>
      </c>
      <c r="H1365">
        <v>771.34997559999999</v>
      </c>
      <c r="I1365">
        <f t="shared" si="234"/>
        <v>-1.6260681541589883E-2</v>
      </c>
      <c r="J1365">
        <v>1365.4499510000001</v>
      </c>
      <c r="K1365">
        <f t="shared" si="235"/>
        <v>-1.8275522420776458E-3</v>
      </c>
      <c r="L1365">
        <v>346.39999390000003</v>
      </c>
      <c r="M1365">
        <f t="shared" si="236"/>
        <v>3.9124942696202591E-3</v>
      </c>
      <c r="N1365">
        <v>921.09997559999999</v>
      </c>
      <c r="O1365">
        <f t="shared" si="237"/>
        <v>1.442728590308362E-2</v>
      </c>
      <c r="P1365">
        <v>128.6000061</v>
      </c>
      <c r="Q1365">
        <f t="shared" si="238"/>
        <v>-3.885565671992719E-4</v>
      </c>
      <c r="R1365">
        <v>423.10000609999997</v>
      </c>
      <c r="S1365">
        <f t="shared" si="239"/>
        <v>-2.1055080618065825E-2</v>
      </c>
      <c r="T1365">
        <v>4367</v>
      </c>
      <c r="U1365">
        <f t="shared" si="240"/>
        <v>-1.4599407034121437E-2</v>
      </c>
      <c r="W1365">
        <f t="shared" si="241"/>
        <v>-8.978178893187418E-3</v>
      </c>
      <c r="X1365">
        <v>6.6452354843372424E-3</v>
      </c>
    </row>
    <row r="1366" spans="1:24" x14ac:dyDescent="0.35">
      <c r="A1366" s="1">
        <v>44830</v>
      </c>
      <c r="B1366">
        <v>2194.2932129999999</v>
      </c>
      <c r="C1366">
        <f t="shared" si="231"/>
        <v>-2.5476564052276385E-2</v>
      </c>
      <c r="D1366">
        <v>2994.3999020000001</v>
      </c>
      <c r="E1366">
        <f t="shared" si="232"/>
        <v>4.1413969574861653E-3</v>
      </c>
      <c r="F1366">
        <v>1426.650024</v>
      </c>
      <c r="G1366">
        <f t="shared" si="233"/>
        <v>-1.3484078191323245E-2</v>
      </c>
      <c r="H1366">
        <v>755.04998780000005</v>
      </c>
      <c r="I1366">
        <f t="shared" si="234"/>
        <v>-2.1131766792785389E-2</v>
      </c>
      <c r="J1366">
        <v>1380.25</v>
      </c>
      <c r="K1366">
        <f t="shared" si="235"/>
        <v>1.0838953847529087E-2</v>
      </c>
      <c r="L1366">
        <v>332.60000609999997</v>
      </c>
      <c r="M1366">
        <f t="shared" si="236"/>
        <v>-3.9838302664589209E-2</v>
      </c>
      <c r="N1366">
        <v>900.70001219999995</v>
      </c>
      <c r="O1366">
        <f t="shared" si="237"/>
        <v>-2.2147393269348004E-2</v>
      </c>
      <c r="P1366">
        <v>123.4499969</v>
      </c>
      <c r="Q1366">
        <f t="shared" si="238"/>
        <v>-4.0046725938685634E-2</v>
      </c>
      <c r="R1366">
        <v>397.5</v>
      </c>
      <c r="S1366">
        <f t="shared" si="239"/>
        <v>-6.0505804138299646E-2</v>
      </c>
      <c r="T1366">
        <v>4375.2998049999997</v>
      </c>
      <c r="U1366">
        <f t="shared" si="240"/>
        <v>1.900573620334356E-3</v>
      </c>
      <c r="W1366">
        <f t="shared" si="241"/>
        <v>-2.0574971062195791E-2</v>
      </c>
      <c r="X1366">
        <v>6.6697728297202543E-3</v>
      </c>
    </row>
    <row r="1367" spans="1:24" x14ac:dyDescent="0.35">
      <c r="A1367" s="1">
        <v>44831</v>
      </c>
      <c r="B1367">
        <v>2211.7380370000001</v>
      </c>
      <c r="C1367">
        <f t="shared" si="231"/>
        <v>7.9500879356728671E-3</v>
      </c>
      <c r="D1367">
        <v>3017.4499510000001</v>
      </c>
      <c r="E1367">
        <f t="shared" si="232"/>
        <v>7.6977189935800716E-3</v>
      </c>
      <c r="F1367">
        <v>1413.849976</v>
      </c>
      <c r="G1367">
        <f t="shared" si="233"/>
        <v>-8.9721009250128825E-3</v>
      </c>
      <c r="H1367">
        <v>760.59997559999999</v>
      </c>
      <c r="I1367">
        <f t="shared" si="234"/>
        <v>7.3504905498653628E-3</v>
      </c>
      <c r="J1367">
        <v>1393.5500489999999</v>
      </c>
      <c r="K1367">
        <f t="shared" si="235"/>
        <v>9.6359710197426729E-3</v>
      </c>
      <c r="L1367">
        <v>334.85000609999997</v>
      </c>
      <c r="M1367">
        <f t="shared" si="236"/>
        <v>6.7648826179622645E-3</v>
      </c>
      <c r="N1367">
        <v>897.15002440000001</v>
      </c>
      <c r="O1367">
        <f t="shared" si="237"/>
        <v>-3.9413653290943929E-3</v>
      </c>
      <c r="P1367">
        <v>124.4499969</v>
      </c>
      <c r="Q1367">
        <f t="shared" si="238"/>
        <v>8.1004457279172382E-3</v>
      </c>
      <c r="R1367">
        <v>398.7999878</v>
      </c>
      <c r="S1367">
        <f t="shared" si="239"/>
        <v>3.2704095597484439E-3</v>
      </c>
      <c r="T1367">
        <v>4283.2001950000003</v>
      </c>
      <c r="U1367">
        <f t="shared" si="240"/>
        <v>-2.1049896945290469E-2</v>
      </c>
      <c r="W1367">
        <f t="shared" si="241"/>
        <v>1.6806643205091176E-3</v>
      </c>
      <c r="X1367">
        <v>6.7067700843252091E-3</v>
      </c>
    </row>
    <row r="1368" spans="1:24" x14ac:dyDescent="0.35">
      <c r="A1368" s="1">
        <v>44832</v>
      </c>
      <c r="B1368">
        <v>2152.850586</v>
      </c>
      <c r="C1368">
        <f t="shared" si="231"/>
        <v>-2.6624966435842001E-2</v>
      </c>
      <c r="D1368">
        <v>3035.6499020000001</v>
      </c>
      <c r="E1368">
        <f t="shared" si="232"/>
        <v>6.0315668181898374E-3</v>
      </c>
      <c r="F1368">
        <v>1389.5500489999999</v>
      </c>
      <c r="G1368">
        <f t="shared" si="233"/>
        <v>-1.7187061861222541E-2</v>
      </c>
      <c r="H1368">
        <v>761.45001219999995</v>
      </c>
      <c r="I1368">
        <f t="shared" si="234"/>
        <v>1.1175869409270067E-3</v>
      </c>
      <c r="J1368">
        <v>1394.6999510000001</v>
      </c>
      <c r="K1368">
        <f t="shared" si="235"/>
        <v>8.2516017334666181E-4</v>
      </c>
      <c r="L1368">
        <v>324.9500122</v>
      </c>
      <c r="M1368">
        <f t="shared" si="236"/>
        <v>-2.9565458323579707E-2</v>
      </c>
      <c r="N1368">
        <v>917.84997559999999</v>
      </c>
      <c r="O1368">
        <f t="shared" si="237"/>
        <v>2.3073009682905266E-2</v>
      </c>
      <c r="P1368">
        <v>122.5500031</v>
      </c>
      <c r="Q1368">
        <f t="shared" si="238"/>
        <v>-1.5267126133612696E-2</v>
      </c>
      <c r="R1368">
        <v>399.10000609999997</v>
      </c>
      <c r="S1368">
        <f t="shared" si="239"/>
        <v>7.5230268098813724E-4</v>
      </c>
      <c r="T1368">
        <v>4318.1499020000001</v>
      </c>
      <c r="U1368">
        <f t="shared" si="240"/>
        <v>8.159718296800289E-3</v>
      </c>
      <c r="W1368">
        <f t="shared" si="241"/>
        <v>-4.8685268161099745E-3</v>
      </c>
      <c r="X1368">
        <v>6.7078522929787665E-3</v>
      </c>
    </row>
    <row r="1369" spans="1:24" x14ac:dyDescent="0.35">
      <c r="A1369" s="1">
        <v>44833</v>
      </c>
      <c r="B1369">
        <v>2146.251221</v>
      </c>
      <c r="C1369">
        <f t="shared" si="231"/>
        <v>-3.0654078099593418E-3</v>
      </c>
      <c r="D1369">
        <v>2997.3000489999999</v>
      </c>
      <c r="E1369">
        <f t="shared" si="232"/>
        <v>-1.2633160686525091E-2</v>
      </c>
      <c r="F1369">
        <v>1382.349976</v>
      </c>
      <c r="G1369">
        <f t="shared" si="233"/>
        <v>-5.1815859422851274E-3</v>
      </c>
      <c r="H1369">
        <v>764.65002440000001</v>
      </c>
      <c r="I1369">
        <f t="shared" si="234"/>
        <v>4.2025243269148138E-3</v>
      </c>
      <c r="J1369">
        <v>1398.650024</v>
      </c>
      <c r="K1369">
        <f t="shared" si="235"/>
        <v>2.8322027237239755E-3</v>
      </c>
      <c r="L1369">
        <v>333.0499878</v>
      </c>
      <c r="M1369">
        <f t="shared" si="236"/>
        <v>2.4926835808255499E-2</v>
      </c>
      <c r="N1369">
        <v>930.70001219999995</v>
      </c>
      <c r="O1369">
        <f t="shared" si="237"/>
        <v>1.4000149198238887E-2</v>
      </c>
      <c r="P1369">
        <v>126.6500015</v>
      </c>
      <c r="Q1369">
        <f t="shared" si="238"/>
        <v>3.3455718451956606E-2</v>
      </c>
      <c r="R1369">
        <v>402.25</v>
      </c>
      <c r="S1369">
        <f t="shared" si="239"/>
        <v>7.8927433020654636E-3</v>
      </c>
      <c r="T1369">
        <v>4240.5498049999997</v>
      </c>
      <c r="U1369">
        <f t="shared" si="240"/>
        <v>-1.7970681602336058E-2</v>
      </c>
      <c r="W1369">
        <f t="shared" si="241"/>
        <v>4.8459337770049623E-3</v>
      </c>
      <c r="X1369">
        <v>6.715576417675573E-3</v>
      </c>
    </row>
    <row r="1370" spans="1:24" x14ac:dyDescent="0.35">
      <c r="A1370" s="1">
        <v>44834</v>
      </c>
      <c r="B1370">
        <v>2194.6625979999999</v>
      </c>
      <c r="C1370">
        <f t="shared" si="231"/>
        <v>2.2556249019834551E-2</v>
      </c>
      <c r="D1370">
        <v>3004.5500489999999</v>
      </c>
      <c r="E1370">
        <f t="shared" si="232"/>
        <v>2.4188435863865543E-3</v>
      </c>
      <c r="F1370">
        <v>1421.349976</v>
      </c>
      <c r="G1370">
        <f t="shared" si="233"/>
        <v>2.8212826474559805E-2</v>
      </c>
      <c r="H1370">
        <v>799.90002440000001</v>
      </c>
      <c r="I1370">
        <f t="shared" si="234"/>
        <v>4.6099521186388159E-2</v>
      </c>
      <c r="J1370">
        <v>1413.4499510000001</v>
      </c>
      <c r="K1370">
        <f t="shared" si="235"/>
        <v>1.0581579913518047E-2</v>
      </c>
      <c r="L1370">
        <v>332.2000122</v>
      </c>
      <c r="M1370">
        <f t="shared" si="236"/>
        <v>-2.5520961751556159E-3</v>
      </c>
      <c r="N1370">
        <v>948.65002440000001</v>
      </c>
      <c r="O1370">
        <f t="shared" si="237"/>
        <v>1.9286571359948379E-2</v>
      </c>
      <c r="P1370">
        <v>126.8000031</v>
      </c>
      <c r="Q1370">
        <f t="shared" si="238"/>
        <v>1.1843789832091112E-3</v>
      </c>
      <c r="R1370">
        <v>404.60000609999997</v>
      </c>
      <c r="S1370">
        <f t="shared" si="239"/>
        <v>5.842153138595263E-3</v>
      </c>
      <c r="T1370">
        <v>4386.5498049999997</v>
      </c>
      <c r="U1370">
        <f t="shared" si="240"/>
        <v>3.4429497757072047E-2</v>
      </c>
      <c r="W1370">
        <f t="shared" si="241"/>
        <v>1.6805952524435629E-2</v>
      </c>
      <c r="X1370">
        <v>6.734489365604856E-3</v>
      </c>
    </row>
    <row r="1371" spans="1:24" x14ac:dyDescent="0.35">
      <c r="A1371" s="1">
        <v>44837</v>
      </c>
      <c r="B1371">
        <v>2187.0478520000001</v>
      </c>
      <c r="C1371">
        <f t="shared" si="231"/>
        <v>-3.4696659098938376E-3</v>
      </c>
      <c r="D1371">
        <v>2984.9499510000001</v>
      </c>
      <c r="E1371">
        <f t="shared" si="232"/>
        <v>-6.5234719609758018E-3</v>
      </c>
      <c r="F1371">
        <v>1413.1999510000001</v>
      </c>
      <c r="G1371">
        <f t="shared" si="233"/>
        <v>-5.734002981402142E-3</v>
      </c>
      <c r="H1371">
        <v>803.34997559999999</v>
      </c>
      <c r="I1371">
        <f t="shared" si="234"/>
        <v>4.3129779907029597E-3</v>
      </c>
      <c r="J1371">
        <v>1393.75</v>
      </c>
      <c r="K1371">
        <f t="shared" si="235"/>
        <v>-1.3937494557952013E-2</v>
      </c>
      <c r="L1371">
        <v>324.39999390000003</v>
      </c>
      <c r="M1371">
        <f t="shared" si="236"/>
        <v>-2.3479885651852439E-2</v>
      </c>
      <c r="N1371">
        <v>944.5</v>
      </c>
      <c r="O1371">
        <f t="shared" si="237"/>
        <v>-4.3746632512077221E-3</v>
      </c>
      <c r="P1371">
        <v>132.3999939</v>
      </c>
      <c r="Q1371">
        <f t="shared" si="238"/>
        <v>4.4163964219966267E-2</v>
      </c>
      <c r="R1371">
        <v>397.64999390000003</v>
      </c>
      <c r="S1371">
        <f t="shared" si="239"/>
        <v>-1.7177489113240907E-2</v>
      </c>
      <c r="T1371">
        <v>4443.75</v>
      </c>
      <c r="U1371">
        <f t="shared" si="240"/>
        <v>1.3039905516358363E-2</v>
      </c>
      <c r="W1371">
        <f t="shared" si="241"/>
        <v>-1.3179825699497268E-3</v>
      </c>
      <c r="X1371">
        <v>6.7354266755313081E-3</v>
      </c>
    </row>
    <row r="1372" spans="1:24" x14ac:dyDescent="0.35">
      <c r="A1372" s="1">
        <v>44838</v>
      </c>
      <c r="B1372">
        <v>2227.3828130000002</v>
      </c>
      <c r="C1372">
        <f t="shared" si="231"/>
        <v>1.8442651340762728E-2</v>
      </c>
      <c r="D1372">
        <v>3091.1499020000001</v>
      </c>
      <c r="E1372">
        <f t="shared" si="232"/>
        <v>3.5578469570125115E-2</v>
      </c>
      <c r="F1372">
        <v>1453</v>
      </c>
      <c r="G1372">
        <f t="shared" si="233"/>
        <v>2.8163069898096804E-2</v>
      </c>
      <c r="H1372">
        <v>808.70001219999995</v>
      </c>
      <c r="I1372">
        <f t="shared" si="234"/>
        <v>6.6596586325955442E-3</v>
      </c>
      <c r="J1372">
        <v>1429.400024</v>
      </c>
      <c r="K1372">
        <f t="shared" si="235"/>
        <v>2.5578492556053822E-2</v>
      </c>
      <c r="L1372">
        <v>332.85000609999997</v>
      </c>
      <c r="M1372">
        <f t="shared" si="236"/>
        <v>2.6048126876983657E-2</v>
      </c>
      <c r="N1372">
        <v>944.54998780000005</v>
      </c>
      <c r="O1372">
        <f t="shared" si="237"/>
        <v>5.2925145579640898E-5</v>
      </c>
      <c r="P1372">
        <v>133.8999939</v>
      </c>
      <c r="Q1372">
        <f t="shared" si="238"/>
        <v>1.1329305657921118E-2</v>
      </c>
      <c r="R1372">
        <v>407.89999390000003</v>
      </c>
      <c r="S1372">
        <f t="shared" si="239"/>
        <v>2.5776436960232019E-2</v>
      </c>
      <c r="T1372">
        <v>4479.5498049999997</v>
      </c>
      <c r="U1372">
        <f t="shared" si="240"/>
        <v>8.0562149085794399E-3</v>
      </c>
      <c r="W1372">
        <f t="shared" si="241"/>
        <v>1.8568535154692992E-2</v>
      </c>
      <c r="X1372">
        <v>6.7368927059430535E-3</v>
      </c>
    </row>
    <row r="1373" spans="1:24" x14ac:dyDescent="0.35">
      <c r="A1373" s="1">
        <v>44840</v>
      </c>
      <c r="B1373">
        <v>2235.5974120000001</v>
      </c>
      <c r="C1373">
        <f t="shared" si="231"/>
        <v>3.6880050218830451E-3</v>
      </c>
      <c r="D1373">
        <v>3101.9499510000001</v>
      </c>
      <c r="E1373">
        <f t="shared" si="232"/>
        <v>3.4938612951160852E-3</v>
      </c>
      <c r="F1373">
        <v>1437</v>
      </c>
      <c r="G1373">
        <f t="shared" si="233"/>
        <v>-1.1011699931176899E-2</v>
      </c>
      <c r="H1373">
        <v>788.59997559999999</v>
      </c>
      <c r="I1373">
        <f t="shared" si="234"/>
        <v>-2.4854749965094625E-2</v>
      </c>
      <c r="J1373">
        <v>1455.150024</v>
      </c>
      <c r="K1373">
        <f t="shared" si="235"/>
        <v>1.8014551257626188E-2</v>
      </c>
      <c r="L1373">
        <v>336.64999390000003</v>
      </c>
      <c r="M1373">
        <f t="shared" si="236"/>
        <v>1.141651714093217E-2</v>
      </c>
      <c r="N1373">
        <v>953.90002440000001</v>
      </c>
      <c r="O1373">
        <f t="shared" si="237"/>
        <v>9.8989325295293362E-3</v>
      </c>
      <c r="P1373">
        <v>132.6499939</v>
      </c>
      <c r="Q1373">
        <f t="shared" si="238"/>
        <v>-9.3353252945891363E-3</v>
      </c>
      <c r="R1373">
        <v>414.10000609999997</v>
      </c>
      <c r="S1373">
        <f t="shared" si="239"/>
        <v>1.5199834010097835E-2</v>
      </c>
      <c r="T1373">
        <v>4413.8500979999999</v>
      </c>
      <c r="U1373">
        <f t="shared" si="240"/>
        <v>-1.4666587014317112E-2</v>
      </c>
      <c r="W1373">
        <f t="shared" si="241"/>
        <v>1.8433390500068817E-4</v>
      </c>
      <c r="X1373">
        <v>6.7573824541574895E-3</v>
      </c>
    </row>
    <row r="1374" spans="1:24" x14ac:dyDescent="0.35">
      <c r="A1374" s="1">
        <v>44841</v>
      </c>
      <c r="B1374">
        <v>2245.0583499999998</v>
      </c>
      <c r="C1374">
        <f t="shared" si="231"/>
        <v>4.2319506854036071E-3</v>
      </c>
      <c r="D1374">
        <v>3064.8999020000001</v>
      </c>
      <c r="E1374">
        <f t="shared" si="232"/>
        <v>-1.1944115664424548E-2</v>
      </c>
      <c r="F1374">
        <v>1430.8000489999999</v>
      </c>
      <c r="G1374">
        <f t="shared" si="233"/>
        <v>-4.3145100904662392E-3</v>
      </c>
      <c r="H1374">
        <v>793.09997559999999</v>
      </c>
      <c r="I1374">
        <f t="shared" si="234"/>
        <v>5.7063151651459698E-3</v>
      </c>
      <c r="J1374">
        <v>1451.1999510000001</v>
      </c>
      <c r="K1374">
        <f t="shared" si="235"/>
        <v>-2.7145469091508501E-3</v>
      </c>
      <c r="L1374">
        <v>334.10000609999997</v>
      </c>
      <c r="M1374">
        <f t="shared" si="236"/>
        <v>-7.5745963053768239E-3</v>
      </c>
      <c r="N1374">
        <v>955.15002440000001</v>
      </c>
      <c r="O1374">
        <f t="shared" si="237"/>
        <v>1.3104098626963712E-3</v>
      </c>
      <c r="P1374">
        <v>134.0500031</v>
      </c>
      <c r="Q1374">
        <f t="shared" si="238"/>
        <v>1.0554159550549391E-2</v>
      </c>
      <c r="R1374">
        <v>412.14999390000003</v>
      </c>
      <c r="S1374">
        <f t="shared" si="239"/>
        <v>-4.7090368782294334E-3</v>
      </c>
      <c r="T1374">
        <v>4471.4501950000003</v>
      </c>
      <c r="U1374">
        <f t="shared" si="240"/>
        <v>1.3049853466047701E-2</v>
      </c>
      <c r="W1374">
        <f t="shared" si="241"/>
        <v>3.5958828821951454E-4</v>
      </c>
      <c r="X1374">
        <v>6.7643591222612638E-3</v>
      </c>
    </row>
    <row r="1375" spans="1:24" x14ac:dyDescent="0.35">
      <c r="A1375" s="1">
        <v>44844</v>
      </c>
      <c r="B1375">
        <v>2220.5527339999999</v>
      </c>
      <c r="C1375">
        <f t="shared" si="231"/>
        <v>-1.0915358168753109E-2</v>
      </c>
      <c r="D1375">
        <v>3118.5500489999999</v>
      </c>
      <c r="E1375">
        <f t="shared" si="232"/>
        <v>1.7504697939723979E-2</v>
      </c>
      <c r="F1375">
        <v>1415</v>
      </c>
      <c r="G1375">
        <f t="shared" si="233"/>
        <v>-1.104280714209005E-2</v>
      </c>
      <c r="H1375">
        <v>792.34997559999999</v>
      </c>
      <c r="I1375">
        <f t="shared" si="234"/>
        <v>-9.456563145555652E-4</v>
      </c>
      <c r="J1375">
        <v>1462.650024</v>
      </c>
      <c r="K1375">
        <f t="shared" si="235"/>
        <v>7.890072620323485E-3</v>
      </c>
      <c r="L1375">
        <v>327.85000609999997</v>
      </c>
      <c r="M1375">
        <f t="shared" si="236"/>
        <v>-1.8706973618340172E-2</v>
      </c>
      <c r="N1375">
        <v>946.04998780000005</v>
      </c>
      <c r="O1375">
        <f t="shared" si="237"/>
        <v>-9.5273374522670817E-3</v>
      </c>
      <c r="P1375">
        <v>133.25</v>
      </c>
      <c r="Q1375">
        <f t="shared" si="238"/>
        <v>-5.9679454046950298E-3</v>
      </c>
      <c r="R1375">
        <v>395.9500122</v>
      </c>
      <c r="S1375">
        <f t="shared" si="239"/>
        <v>-3.9306034064701789E-2</v>
      </c>
      <c r="T1375">
        <v>4471.75</v>
      </c>
      <c r="U1375">
        <f t="shared" si="240"/>
        <v>6.7048717289797111E-5</v>
      </c>
      <c r="W1375">
        <f t="shared" si="241"/>
        <v>-7.0950292888065543E-3</v>
      </c>
      <c r="X1375">
        <v>6.7681104470686433E-3</v>
      </c>
    </row>
    <row r="1376" spans="1:24" x14ac:dyDescent="0.35">
      <c r="A1376" s="1">
        <v>44845</v>
      </c>
      <c r="B1376">
        <v>2176.3408199999999</v>
      </c>
      <c r="C1376">
        <f t="shared" si="231"/>
        <v>-1.9910319319622172E-2</v>
      </c>
      <c r="D1376">
        <v>3069.5500489999999</v>
      </c>
      <c r="E1376">
        <f t="shared" si="232"/>
        <v>-1.5712430209581685E-2</v>
      </c>
      <c r="F1376">
        <v>1400.650024</v>
      </c>
      <c r="G1376">
        <f t="shared" si="233"/>
        <v>-1.0141325795053002E-2</v>
      </c>
      <c r="H1376">
        <v>780.29998780000005</v>
      </c>
      <c r="I1376">
        <f t="shared" si="234"/>
        <v>-1.5207910861453899E-2</v>
      </c>
      <c r="J1376">
        <v>1423.8000489999999</v>
      </c>
      <c r="K1376">
        <f t="shared" si="235"/>
        <v>-2.6561360792074273E-2</v>
      </c>
      <c r="L1376">
        <v>326.2999878</v>
      </c>
      <c r="M1376">
        <f t="shared" si="236"/>
        <v>-4.7278275771244216E-3</v>
      </c>
      <c r="N1376">
        <v>944.75</v>
      </c>
      <c r="O1376">
        <f t="shared" si="237"/>
        <v>-1.3741216814802115E-3</v>
      </c>
      <c r="P1376">
        <v>131.1000061</v>
      </c>
      <c r="Q1376">
        <f t="shared" si="238"/>
        <v>-1.6135038649155664E-2</v>
      </c>
      <c r="R1376">
        <v>393.35000609999997</v>
      </c>
      <c r="S1376">
        <f t="shared" si="239"/>
        <v>-6.5665008710410477E-3</v>
      </c>
      <c r="T1376">
        <v>4381.1000979999999</v>
      </c>
      <c r="U1376">
        <f t="shared" si="240"/>
        <v>-2.0271683792698614E-2</v>
      </c>
      <c r="W1376">
        <f t="shared" si="241"/>
        <v>-1.3660851954928501E-2</v>
      </c>
      <c r="X1376">
        <v>6.7774554702519909E-3</v>
      </c>
    </row>
    <row r="1377" spans="1:24" x14ac:dyDescent="0.35">
      <c r="A1377" s="1">
        <v>44846</v>
      </c>
      <c r="B1377">
        <v>2192.3549800000001</v>
      </c>
      <c r="C1377">
        <f t="shared" si="231"/>
        <v>7.3582960227709382E-3</v>
      </c>
      <c r="D1377">
        <v>3100.75</v>
      </c>
      <c r="E1377">
        <f t="shared" si="232"/>
        <v>1.0164340213369094E-2</v>
      </c>
      <c r="F1377">
        <v>1409.8000489999999</v>
      </c>
      <c r="G1377">
        <f t="shared" si="233"/>
        <v>6.5326989920502232E-3</v>
      </c>
      <c r="H1377">
        <v>775.54998780000005</v>
      </c>
      <c r="I1377">
        <f t="shared" si="234"/>
        <v>-6.0874023763505258E-3</v>
      </c>
      <c r="J1377">
        <v>1428.6999510000001</v>
      </c>
      <c r="K1377">
        <f t="shared" si="235"/>
        <v>3.4414256436088309E-3</v>
      </c>
      <c r="L1377">
        <v>330.10000609999997</v>
      </c>
      <c r="M1377">
        <f t="shared" si="236"/>
        <v>1.1645781311917069E-2</v>
      </c>
      <c r="N1377">
        <v>955.54998780000005</v>
      </c>
      <c r="O1377">
        <f t="shared" si="237"/>
        <v>1.1431582746758373E-2</v>
      </c>
      <c r="P1377">
        <v>131.3500061</v>
      </c>
      <c r="Q1377">
        <f t="shared" si="238"/>
        <v>1.906941177480137E-3</v>
      </c>
      <c r="R1377">
        <v>396.5499878</v>
      </c>
      <c r="S1377">
        <f t="shared" si="239"/>
        <v>8.1352018568077167E-3</v>
      </c>
      <c r="T1377">
        <v>4352.8999020000001</v>
      </c>
      <c r="U1377">
        <f t="shared" si="240"/>
        <v>-6.4367842252390783E-3</v>
      </c>
      <c r="W1377">
        <f t="shared" si="241"/>
        <v>4.8092081363172775E-3</v>
      </c>
      <c r="X1377">
        <v>6.8017066838809816E-3</v>
      </c>
    </row>
    <row r="1378" spans="1:24" x14ac:dyDescent="0.35">
      <c r="A1378" s="1">
        <v>44847</v>
      </c>
      <c r="B1378">
        <v>2199.3237300000001</v>
      </c>
      <c r="C1378">
        <f t="shared" si="231"/>
        <v>3.1786595070475432E-3</v>
      </c>
      <c r="D1378">
        <v>3103.3000489999999</v>
      </c>
      <c r="E1378">
        <f t="shared" si="232"/>
        <v>8.2239748447965333E-4</v>
      </c>
      <c r="F1378">
        <v>1393.599976</v>
      </c>
      <c r="G1378">
        <f t="shared" si="233"/>
        <v>-1.1491043011021995E-2</v>
      </c>
      <c r="H1378">
        <v>768.90002440000001</v>
      </c>
      <c r="I1378">
        <f t="shared" si="234"/>
        <v>-8.5745129322534197E-3</v>
      </c>
      <c r="J1378">
        <v>1419.900024</v>
      </c>
      <c r="K1378">
        <f t="shared" si="235"/>
        <v>-6.1593947657383463E-3</v>
      </c>
      <c r="L1378">
        <v>328.64999390000003</v>
      </c>
      <c r="M1378">
        <f t="shared" si="236"/>
        <v>-4.3926451778394382E-3</v>
      </c>
      <c r="N1378">
        <v>968.40002440000001</v>
      </c>
      <c r="O1378">
        <f t="shared" si="237"/>
        <v>1.3447791077455973E-2</v>
      </c>
      <c r="P1378">
        <v>129.8500061</v>
      </c>
      <c r="Q1378">
        <f t="shared" si="238"/>
        <v>-1.1419870044452218E-2</v>
      </c>
      <c r="R1378">
        <v>399</v>
      </c>
      <c r="S1378">
        <f t="shared" si="239"/>
        <v>6.1783186871151585E-3</v>
      </c>
      <c r="T1378">
        <v>4309.9501950000003</v>
      </c>
      <c r="U1378">
        <f t="shared" si="240"/>
        <v>-9.8669181389321459E-3</v>
      </c>
      <c r="W1378">
        <f t="shared" si="241"/>
        <v>-2.8277217314139234E-3</v>
      </c>
      <c r="X1378">
        <v>6.8280640823787375E-3</v>
      </c>
    </row>
    <row r="1379" spans="1:24" x14ac:dyDescent="0.35">
      <c r="A1379" s="1">
        <v>44848</v>
      </c>
      <c r="B1379">
        <v>2188.1552729999999</v>
      </c>
      <c r="C1379">
        <f t="shared" si="231"/>
        <v>-5.0781323584410121E-3</v>
      </c>
      <c r="D1379">
        <v>3099.1499020000001</v>
      </c>
      <c r="E1379">
        <f t="shared" si="232"/>
        <v>-1.3373334625947919E-3</v>
      </c>
      <c r="F1379">
        <v>1439</v>
      </c>
      <c r="G1379">
        <f t="shared" si="233"/>
        <v>3.2577514912356831E-2</v>
      </c>
      <c r="H1379">
        <v>765.95001219999995</v>
      </c>
      <c r="I1379">
        <f t="shared" si="234"/>
        <v>-3.8366655044679288E-3</v>
      </c>
      <c r="J1379">
        <v>1474.25</v>
      </c>
      <c r="K1379">
        <f t="shared" si="235"/>
        <v>3.8277325925307526E-2</v>
      </c>
      <c r="L1379">
        <v>332.10000609999997</v>
      </c>
      <c r="M1379">
        <f t="shared" si="236"/>
        <v>1.0497527047116595E-2</v>
      </c>
      <c r="N1379">
        <v>976.29998780000005</v>
      </c>
      <c r="O1379">
        <f t="shared" si="237"/>
        <v>8.1577480389829482E-3</v>
      </c>
      <c r="P1379">
        <v>127.5999985</v>
      </c>
      <c r="Q1379">
        <f t="shared" si="238"/>
        <v>-1.732774350635935E-2</v>
      </c>
      <c r="R1379">
        <v>396.25</v>
      </c>
      <c r="S1379">
        <f t="shared" si="239"/>
        <v>-6.8922305764410607E-3</v>
      </c>
      <c r="T1379">
        <v>4306.1499020000001</v>
      </c>
      <c r="U1379">
        <f t="shared" si="240"/>
        <v>-8.8174870429102992E-4</v>
      </c>
      <c r="W1379">
        <f t="shared" si="241"/>
        <v>5.4156261811168739E-3</v>
      </c>
      <c r="X1379">
        <v>6.8357870311626335E-3</v>
      </c>
    </row>
    <row r="1380" spans="1:24" x14ac:dyDescent="0.35">
      <c r="A1380" s="1">
        <v>44851</v>
      </c>
      <c r="B1380">
        <v>2223.2753910000001</v>
      </c>
      <c r="C1380">
        <f t="shared" si="231"/>
        <v>1.6050103223182122E-2</v>
      </c>
      <c r="D1380">
        <v>3111.75</v>
      </c>
      <c r="E1380">
        <f t="shared" si="232"/>
        <v>4.0656626489310455E-3</v>
      </c>
      <c r="F1380">
        <v>1446.5500489999999</v>
      </c>
      <c r="G1380">
        <f t="shared" si="233"/>
        <v>5.246733148019489E-3</v>
      </c>
      <c r="H1380">
        <v>766</v>
      </c>
      <c r="I1380">
        <f t="shared" si="234"/>
        <v>6.5262483456951514E-5</v>
      </c>
      <c r="J1380">
        <v>1489.9499510000001</v>
      </c>
      <c r="K1380">
        <f t="shared" si="235"/>
        <v>1.0649449550619083E-2</v>
      </c>
      <c r="L1380">
        <v>332.25</v>
      </c>
      <c r="M1380">
        <f t="shared" si="236"/>
        <v>4.516528071212278E-4</v>
      </c>
      <c r="N1380">
        <v>980</v>
      </c>
      <c r="O1380">
        <f t="shared" si="237"/>
        <v>3.7898312467847806E-3</v>
      </c>
      <c r="P1380">
        <v>127.8000031</v>
      </c>
      <c r="Q1380">
        <f t="shared" si="238"/>
        <v>1.5674341877049969E-3</v>
      </c>
      <c r="R1380">
        <v>396.10000609999997</v>
      </c>
      <c r="S1380">
        <f t="shared" si="239"/>
        <v>-3.7853350157734944E-4</v>
      </c>
      <c r="T1380">
        <v>4153.4501950000003</v>
      </c>
      <c r="U1380">
        <f t="shared" si="240"/>
        <v>-3.5460843322959623E-2</v>
      </c>
      <c r="W1380">
        <f t="shared" si="241"/>
        <v>6.0467524712827297E-4</v>
      </c>
      <c r="X1380">
        <v>6.8379405452410405E-3</v>
      </c>
    </row>
    <row r="1381" spans="1:24" x14ac:dyDescent="0.35">
      <c r="A1381" s="1">
        <v>44852</v>
      </c>
      <c r="B1381">
        <v>2262.5029300000001</v>
      </c>
      <c r="C1381">
        <f t="shared" si="231"/>
        <v>1.7644030586042581E-2</v>
      </c>
      <c r="D1381">
        <v>3144.6999510000001</v>
      </c>
      <c r="E1381">
        <f t="shared" si="232"/>
        <v>1.0588881176186948E-2</v>
      </c>
      <c r="F1381">
        <v>1443.849976</v>
      </c>
      <c r="G1381">
        <f t="shared" si="233"/>
        <v>-1.8665603736742753E-3</v>
      </c>
      <c r="H1381">
        <v>783.15002440000001</v>
      </c>
      <c r="I1381">
        <f t="shared" si="234"/>
        <v>2.2389065796344587E-2</v>
      </c>
      <c r="J1381">
        <v>1503.6999510000001</v>
      </c>
      <c r="K1381">
        <f t="shared" si="235"/>
        <v>9.2284979040884174E-3</v>
      </c>
      <c r="L1381">
        <v>340.2999878</v>
      </c>
      <c r="M1381">
        <f t="shared" si="236"/>
        <v>2.4228706696764579E-2</v>
      </c>
      <c r="N1381">
        <v>978.34997559999999</v>
      </c>
      <c r="O1381">
        <f t="shared" si="237"/>
        <v>-1.6836983673469419E-3</v>
      </c>
      <c r="P1381">
        <v>128.6999969</v>
      </c>
      <c r="Q1381">
        <f t="shared" si="238"/>
        <v>7.0422048370044621E-3</v>
      </c>
      <c r="R1381">
        <v>404.25</v>
      </c>
      <c r="S1381">
        <f t="shared" si="239"/>
        <v>2.0575596502117932E-2</v>
      </c>
      <c r="T1381">
        <v>4139.3500979999999</v>
      </c>
      <c r="U1381">
        <f t="shared" si="240"/>
        <v>-3.3947913994428758E-3</v>
      </c>
      <c r="W1381">
        <f t="shared" si="241"/>
        <v>1.0475193335808541E-2</v>
      </c>
      <c r="X1381">
        <v>6.8422965375257603E-3</v>
      </c>
    </row>
    <row r="1382" spans="1:24" x14ac:dyDescent="0.35">
      <c r="A1382" s="1">
        <v>44853</v>
      </c>
      <c r="B1382">
        <v>2301.8688959999999</v>
      </c>
      <c r="C1382">
        <f t="shared" si="231"/>
        <v>1.7399299456376749E-2</v>
      </c>
      <c r="D1382">
        <v>3121.8500979999999</v>
      </c>
      <c r="E1382">
        <f t="shared" si="232"/>
        <v>-7.2661472814709027E-3</v>
      </c>
      <c r="F1382">
        <v>1458.650024</v>
      </c>
      <c r="G1382">
        <f t="shared" si="233"/>
        <v>1.0250405683422725E-2</v>
      </c>
      <c r="H1382">
        <v>783.40002440000001</v>
      </c>
      <c r="I1382">
        <f t="shared" si="234"/>
        <v>3.1922363814196331E-4</v>
      </c>
      <c r="J1382">
        <v>1485.4499510000001</v>
      </c>
      <c r="K1382">
        <f t="shared" si="235"/>
        <v>-1.2136729796302315E-2</v>
      </c>
      <c r="L1382">
        <v>346.35000609999997</v>
      </c>
      <c r="M1382">
        <f t="shared" si="236"/>
        <v>1.7778485209807515E-2</v>
      </c>
      <c r="N1382">
        <v>976.90002440000001</v>
      </c>
      <c r="O1382">
        <f t="shared" si="237"/>
        <v>-1.4820373446738921E-3</v>
      </c>
      <c r="P1382">
        <v>127.8000031</v>
      </c>
      <c r="Q1382">
        <f t="shared" si="238"/>
        <v>-6.9929589873983788E-3</v>
      </c>
      <c r="R1382">
        <v>399.0499878</v>
      </c>
      <c r="S1382">
        <f t="shared" si="239"/>
        <v>-1.2863357328385949E-2</v>
      </c>
      <c r="T1382">
        <v>4167.8500979999999</v>
      </c>
      <c r="U1382">
        <f t="shared" si="240"/>
        <v>6.8851388080872766E-3</v>
      </c>
      <c r="W1382">
        <f t="shared" si="241"/>
        <v>1.1891322057604797E-3</v>
      </c>
      <c r="X1382">
        <v>6.8432482362706269E-3</v>
      </c>
    </row>
    <row r="1383" spans="1:24" x14ac:dyDescent="0.35">
      <c r="A1383" s="1">
        <v>44854</v>
      </c>
      <c r="B1383">
        <v>2308.0529790000001</v>
      </c>
      <c r="C1383">
        <f t="shared" si="231"/>
        <v>2.6865487477354399E-3</v>
      </c>
      <c r="D1383">
        <v>3157.3000489999999</v>
      </c>
      <c r="E1383">
        <f t="shared" si="232"/>
        <v>1.1355430237573128E-2</v>
      </c>
      <c r="F1383">
        <v>1448.8000489999999</v>
      </c>
      <c r="G1383">
        <f t="shared" si="233"/>
        <v>-6.7528021375469205E-3</v>
      </c>
      <c r="H1383">
        <v>792.90002440000001</v>
      </c>
      <c r="I1383">
        <f t="shared" si="234"/>
        <v>1.2126627143362656E-2</v>
      </c>
      <c r="J1383">
        <v>1500.900024</v>
      </c>
      <c r="K1383">
        <f t="shared" si="235"/>
        <v>1.0400938106059465E-2</v>
      </c>
      <c r="L1383">
        <v>349.7000122</v>
      </c>
      <c r="M1383">
        <f t="shared" si="236"/>
        <v>9.6723142514765215E-3</v>
      </c>
      <c r="N1383">
        <v>980.34997559999999</v>
      </c>
      <c r="O1383">
        <f t="shared" si="237"/>
        <v>3.531529443986825E-3</v>
      </c>
      <c r="P1383">
        <v>129.6000061</v>
      </c>
      <c r="Q1383">
        <f t="shared" si="238"/>
        <v>1.4084530174788501E-2</v>
      </c>
      <c r="R1383">
        <v>398.10000609999997</v>
      </c>
      <c r="S1383">
        <f t="shared" si="239"/>
        <v>-2.3806082672432893E-3</v>
      </c>
      <c r="T1383">
        <v>4226.25</v>
      </c>
      <c r="U1383">
        <f t="shared" si="240"/>
        <v>1.4011996743362731E-2</v>
      </c>
      <c r="W1383">
        <f t="shared" si="241"/>
        <v>6.8736504443555066E-3</v>
      </c>
      <c r="X1383">
        <v>6.8455857875769242E-3</v>
      </c>
    </row>
    <row r="1384" spans="1:24" x14ac:dyDescent="0.35">
      <c r="A1384" s="1">
        <v>44855</v>
      </c>
      <c r="B1384">
        <v>2281.2858890000002</v>
      </c>
      <c r="C1384">
        <f t="shared" si="231"/>
        <v>-1.1597259787163638E-2</v>
      </c>
      <c r="D1384">
        <v>3137.3999020000001</v>
      </c>
      <c r="E1384">
        <f t="shared" si="232"/>
        <v>-6.3029001650644068E-3</v>
      </c>
      <c r="F1384">
        <v>1438.599976</v>
      </c>
      <c r="G1384">
        <f t="shared" si="233"/>
        <v>-7.0403593698387112E-3</v>
      </c>
      <c r="H1384">
        <v>797.45001219999995</v>
      </c>
      <c r="I1384">
        <f t="shared" si="234"/>
        <v>5.7384129902668946E-3</v>
      </c>
      <c r="J1384">
        <v>1500.5</v>
      </c>
      <c r="K1384">
        <f t="shared" si="235"/>
        <v>-2.6652274875305082E-4</v>
      </c>
      <c r="L1384">
        <v>345.60000609999997</v>
      </c>
      <c r="M1384">
        <f t="shared" si="236"/>
        <v>-1.1724352178904551E-2</v>
      </c>
      <c r="N1384">
        <v>977.70001219999995</v>
      </c>
      <c r="O1384">
        <f t="shared" si="237"/>
        <v>-2.7030789676698586E-3</v>
      </c>
      <c r="P1384">
        <v>131.5500031</v>
      </c>
      <c r="Q1384">
        <f t="shared" si="238"/>
        <v>1.5046272439951602E-2</v>
      </c>
      <c r="R1384">
        <v>398.0499878</v>
      </c>
      <c r="S1384">
        <f t="shared" si="239"/>
        <v>-1.2564255019731352E-4</v>
      </c>
      <c r="T1384">
        <v>4215.5498049999997</v>
      </c>
      <c r="U1384">
        <f t="shared" si="240"/>
        <v>-2.5318414670216782E-3</v>
      </c>
      <c r="W1384">
        <f t="shared" si="241"/>
        <v>-2.1507271804394709E-3</v>
      </c>
      <c r="X1384">
        <v>6.8474203102237624E-3</v>
      </c>
    </row>
    <row r="1385" spans="1:24" x14ac:dyDescent="0.35">
      <c r="A1385" s="1">
        <v>44858</v>
      </c>
      <c r="B1385">
        <v>2288.900635</v>
      </c>
      <c r="C1385">
        <f t="shared" si="231"/>
        <v>3.3379183366348819E-3</v>
      </c>
      <c r="D1385">
        <v>3161.6999510000001</v>
      </c>
      <c r="E1385">
        <f t="shared" si="232"/>
        <v>7.7452826413710874E-3</v>
      </c>
      <c r="F1385">
        <v>1461.0500489999999</v>
      </c>
      <c r="G1385">
        <f t="shared" si="233"/>
        <v>1.5605500746928902E-2</v>
      </c>
      <c r="H1385">
        <v>802.09997559999999</v>
      </c>
      <c r="I1385">
        <f t="shared" si="234"/>
        <v>5.8310406029986606E-3</v>
      </c>
      <c r="J1385">
        <v>1517.849976</v>
      </c>
      <c r="K1385">
        <f t="shared" si="235"/>
        <v>1.1562796401199504E-2</v>
      </c>
      <c r="L1385">
        <v>347.7000122</v>
      </c>
      <c r="M1385">
        <f t="shared" si="236"/>
        <v>6.0764064321006117E-3</v>
      </c>
      <c r="N1385">
        <v>987</v>
      </c>
      <c r="O1385">
        <f t="shared" si="237"/>
        <v>9.5121076853352804E-3</v>
      </c>
      <c r="P1385">
        <v>132.8000031</v>
      </c>
      <c r="Q1385">
        <f t="shared" si="238"/>
        <v>9.5020902359825854E-3</v>
      </c>
      <c r="R1385">
        <v>401.60000609999997</v>
      </c>
      <c r="S1385">
        <f t="shared" si="239"/>
        <v>8.9185238256650479E-3</v>
      </c>
      <c r="T1385">
        <v>4229.9501950000003</v>
      </c>
      <c r="U1385">
        <f t="shared" si="240"/>
        <v>3.416017047864317E-3</v>
      </c>
      <c r="W1385">
        <f t="shared" si="241"/>
        <v>8.1507683956080889E-3</v>
      </c>
      <c r="X1385">
        <v>6.8498066979580828E-3</v>
      </c>
    </row>
    <row r="1386" spans="1:24" x14ac:dyDescent="0.35">
      <c r="A1386" s="1">
        <v>44859</v>
      </c>
      <c r="B1386">
        <v>2253.5498050000001</v>
      </c>
      <c r="C1386">
        <f t="shared" si="231"/>
        <v>-1.5444458120830507E-2</v>
      </c>
      <c r="D1386">
        <v>3162.1000979999999</v>
      </c>
      <c r="E1386">
        <f t="shared" si="232"/>
        <v>1.2656071297123539E-4</v>
      </c>
      <c r="F1386">
        <v>1450.900024</v>
      </c>
      <c r="G1386">
        <f t="shared" si="233"/>
        <v>-6.9470755002177809E-3</v>
      </c>
      <c r="H1386">
        <v>802.29998780000005</v>
      </c>
      <c r="I1386">
        <f t="shared" si="234"/>
        <v>2.4936068580538873E-4</v>
      </c>
      <c r="J1386">
        <v>1526.3000489999999</v>
      </c>
      <c r="K1386">
        <f t="shared" si="235"/>
        <v>5.5671332039470833E-3</v>
      </c>
      <c r="L1386">
        <v>346.2999878</v>
      </c>
      <c r="M1386">
        <f t="shared" si="236"/>
        <v>-4.026529625758779E-3</v>
      </c>
      <c r="N1386">
        <v>991.54998780000005</v>
      </c>
      <c r="O1386">
        <f t="shared" si="237"/>
        <v>4.6099167173252464E-3</v>
      </c>
      <c r="P1386">
        <v>130.75</v>
      </c>
      <c r="Q1386">
        <f t="shared" si="238"/>
        <v>-1.5436769970978981E-2</v>
      </c>
      <c r="R1386">
        <v>404.5499878</v>
      </c>
      <c r="S1386">
        <f t="shared" si="239"/>
        <v>7.3455718505777146E-3</v>
      </c>
      <c r="T1386">
        <v>4235.6000979999999</v>
      </c>
      <c r="U1386">
        <f t="shared" si="240"/>
        <v>1.3356901948107236E-3</v>
      </c>
      <c r="W1386">
        <f t="shared" si="241"/>
        <v>-2.2620599852348653E-3</v>
      </c>
      <c r="X1386">
        <v>6.869091874065248E-3</v>
      </c>
    </row>
    <row r="1387" spans="1:24" x14ac:dyDescent="0.35">
      <c r="A1387" s="1">
        <v>44861</v>
      </c>
      <c r="B1387">
        <v>2262.4106449999999</v>
      </c>
      <c r="C1387">
        <f t="shared" si="231"/>
        <v>3.9319477121562141E-3</v>
      </c>
      <c r="D1387">
        <v>3157.3999020000001</v>
      </c>
      <c r="E1387">
        <f t="shared" si="232"/>
        <v>-1.4864159433070068E-3</v>
      </c>
      <c r="F1387">
        <v>1454.400024</v>
      </c>
      <c r="G1387">
        <f t="shared" si="233"/>
        <v>2.412295776486939E-3</v>
      </c>
      <c r="H1387">
        <v>817.09997559999999</v>
      </c>
      <c r="I1387">
        <f t="shared" si="234"/>
        <v>1.8446950049922473E-2</v>
      </c>
      <c r="J1387">
        <v>1523.9499510000001</v>
      </c>
      <c r="K1387">
        <f t="shared" si="235"/>
        <v>-1.53973525817519E-3</v>
      </c>
      <c r="L1387">
        <v>345.7999878</v>
      </c>
      <c r="M1387">
        <f t="shared" si="236"/>
        <v>-1.4438348761616204E-3</v>
      </c>
      <c r="N1387">
        <v>1011.650024</v>
      </c>
      <c r="O1387">
        <f t="shared" si="237"/>
        <v>2.0271329178871644E-2</v>
      </c>
      <c r="P1387">
        <v>131.8000031</v>
      </c>
      <c r="Q1387">
        <f t="shared" si="238"/>
        <v>8.0306164435945959E-3</v>
      </c>
      <c r="R1387">
        <v>407.7000122</v>
      </c>
      <c r="S1387">
        <f t="shared" si="239"/>
        <v>7.7864899147082056E-3</v>
      </c>
      <c r="T1387">
        <v>4271.3999020000001</v>
      </c>
      <c r="U1387">
        <f t="shared" si="240"/>
        <v>8.452120873475355E-3</v>
      </c>
      <c r="W1387">
        <f t="shared" si="241"/>
        <v>6.486176387157162E-3</v>
      </c>
      <c r="X1387">
        <v>6.8692975140337903E-3</v>
      </c>
    </row>
    <row r="1388" spans="1:24" x14ac:dyDescent="0.35">
      <c r="A1388" s="1">
        <v>44862</v>
      </c>
      <c r="B1388">
        <v>2331.6357419999999</v>
      </c>
      <c r="C1388">
        <f t="shared" si="231"/>
        <v>3.059793638833419E-2</v>
      </c>
      <c r="D1388">
        <v>3163.25</v>
      </c>
      <c r="E1388">
        <f t="shared" si="232"/>
        <v>1.8528213661799242E-3</v>
      </c>
      <c r="F1388">
        <v>1458.6999510000001</v>
      </c>
      <c r="G1388">
        <f t="shared" si="233"/>
        <v>2.9564954132592636E-3</v>
      </c>
      <c r="H1388">
        <v>816.84997559999999</v>
      </c>
      <c r="I1388">
        <f t="shared" si="234"/>
        <v>-3.0596011193906314E-4</v>
      </c>
      <c r="J1388">
        <v>1513.25</v>
      </c>
      <c r="K1388">
        <f t="shared" si="235"/>
        <v>-7.0211958030372834E-3</v>
      </c>
      <c r="L1388">
        <v>345.7999878</v>
      </c>
      <c r="M1388">
        <f t="shared" si="236"/>
        <v>0</v>
      </c>
      <c r="N1388">
        <v>990</v>
      </c>
      <c r="O1388">
        <f t="shared" si="237"/>
        <v>-2.1400705269987719E-2</v>
      </c>
      <c r="P1388">
        <v>133.6999969</v>
      </c>
      <c r="Q1388">
        <f t="shared" si="238"/>
        <v>1.4415734107065425E-2</v>
      </c>
      <c r="R1388">
        <v>409.89999390000003</v>
      </c>
      <c r="S1388">
        <f t="shared" si="239"/>
        <v>5.3960795540051176E-3</v>
      </c>
      <c r="T1388">
        <v>4307.3500979999999</v>
      </c>
      <c r="U1388">
        <f t="shared" si="240"/>
        <v>8.4164903368486588E-3</v>
      </c>
      <c r="W1388">
        <f t="shared" si="241"/>
        <v>3.4907695980728511E-3</v>
      </c>
      <c r="X1388">
        <v>6.8724535472568862E-3</v>
      </c>
    </row>
    <row r="1389" spans="1:24" x14ac:dyDescent="0.35">
      <c r="A1389" s="1">
        <v>44865</v>
      </c>
      <c r="B1389">
        <v>2353.280029</v>
      </c>
      <c r="C1389">
        <f t="shared" si="231"/>
        <v>9.2828766561257048E-3</v>
      </c>
      <c r="D1389">
        <v>3193.1499020000001</v>
      </c>
      <c r="E1389">
        <f t="shared" si="232"/>
        <v>9.4522728206749562E-3</v>
      </c>
      <c r="F1389">
        <v>1496.6999510000001</v>
      </c>
      <c r="G1389">
        <f t="shared" si="233"/>
        <v>2.6050593868841565E-2</v>
      </c>
      <c r="H1389">
        <v>832</v>
      </c>
      <c r="I1389">
        <f t="shared" si="234"/>
        <v>1.8546887252915534E-2</v>
      </c>
      <c r="J1389">
        <v>1537.650024</v>
      </c>
      <c r="K1389">
        <f t="shared" si="235"/>
        <v>1.6124251775978982E-2</v>
      </c>
      <c r="L1389">
        <v>348.7000122</v>
      </c>
      <c r="M1389">
        <f t="shared" si="236"/>
        <v>8.3864213485087546E-3</v>
      </c>
      <c r="N1389">
        <v>1016.900024</v>
      </c>
      <c r="O1389">
        <f t="shared" si="237"/>
        <v>2.717174141414147E-2</v>
      </c>
      <c r="P1389">
        <v>134.0500031</v>
      </c>
      <c r="Q1389">
        <f t="shared" si="238"/>
        <v>2.6178474802940332E-3</v>
      </c>
      <c r="R1389">
        <v>412.75</v>
      </c>
      <c r="S1389">
        <f t="shared" si="239"/>
        <v>6.9529303303557111E-3</v>
      </c>
      <c r="T1389">
        <v>4320.8999020000001</v>
      </c>
      <c r="U1389">
        <f t="shared" si="240"/>
        <v>3.1457401167116483E-3</v>
      </c>
      <c r="W1389">
        <f t="shared" si="241"/>
        <v>1.2773156306454836E-2</v>
      </c>
      <c r="X1389">
        <v>6.8736504443555066E-3</v>
      </c>
    </row>
    <row r="1390" spans="1:24" x14ac:dyDescent="0.35">
      <c r="A1390" s="1">
        <v>44866</v>
      </c>
      <c r="B1390">
        <v>2335.0507809999999</v>
      </c>
      <c r="C1390">
        <f t="shared" si="231"/>
        <v>-7.7463148351903932E-3</v>
      </c>
      <c r="D1390">
        <v>3259.6999510000001</v>
      </c>
      <c r="E1390">
        <f t="shared" si="232"/>
        <v>2.0841504796976995E-2</v>
      </c>
      <c r="F1390">
        <v>1513.25</v>
      </c>
      <c r="G1390">
        <f t="shared" si="233"/>
        <v>1.1057693286448123E-2</v>
      </c>
      <c r="H1390">
        <v>835.54998780000005</v>
      </c>
      <c r="I1390">
        <f t="shared" si="234"/>
        <v>4.266812259615449E-3</v>
      </c>
      <c r="J1390">
        <v>1573</v>
      </c>
      <c r="K1390">
        <f t="shared" si="235"/>
        <v>2.2989611061196902E-2</v>
      </c>
      <c r="L1390">
        <v>349.5</v>
      </c>
      <c r="M1390">
        <f t="shared" si="236"/>
        <v>2.2942006653592362E-3</v>
      </c>
      <c r="N1390">
        <v>1036.599976</v>
      </c>
      <c r="O1390">
        <f t="shared" si="237"/>
        <v>1.9372555349649545E-2</v>
      </c>
      <c r="P1390">
        <v>135.1499939</v>
      </c>
      <c r="Q1390">
        <f t="shared" si="238"/>
        <v>8.2058245025136145E-3</v>
      </c>
      <c r="R1390">
        <v>421.35000609999997</v>
      </c>
      <c r="S1390">
        <f t="shared" si="239"/>
        <v>2.0835871835251263E-2</v>
      </c>
      <c r="T1390">
        <v>4247.5</v>
      </c>
      <c r="U1390">
        <f t="shared" si="240"/>
        <v>-1.6987179445195122E-2</v>
      </c>
      <c r="W1390">
        <f t="shared" si="241"/>
        <v>8.5130579476625622E-3</v>
      </c>
      <c r="X1390">
        <v>6.9124084082870189E-3</v>
      </c>
    </row>
    <row r="1391" spans="1:24" x14ac:dyDescent="0.35">
      <c r="A1391" s="1">
        <v>44867</v>
      </c>
      <c r="B1391">
        <v>2349.6340329999998</v>
      </c>
      <c r="C1391">
        <f t="shared" si="231"/>
        <v>6.2453682458052384E-3</v>
      </c>
      <c r="D1391">
        <v>3241.6999510000001</v>
      </c>
      <c r="E1391">
        <f t="shared" si="232"/>
        <v>-5.5219806333641763E-3</v>
      </c>
      <c r="F1391">
        <v>1514.1999510000001</v>
      </c>
      <c r="G1391">
        <f t="shared" si="233"/>
        <v>6.2775549314397772E-4</v>
      </c>
      <c r="H1391">
        <v>809.84997559999999</v>
      </c>
      <c r="I1391">
        <f t="shared" si="234"/>
        <v>-3.0758198282867633E-2</v>
      </c>
      <c r="J1391">
        <v>1553.3000489999999</v>
      </c>
      <c r="K1391">
        <f t="shared" si="235"/>
        <v>-1.2523808645899637E-2</v>
      </c>
      <c r="L1391">
        <v>354.64999390000003</v>
      </c>
      <c r="M1391">
        <f t="shared" si="236"/>
        <v>1.4735318741058823E-2</v>
      </c>
      <c r="N1391">
        <v>1051.9499510000001</v>
      </c>
      <c r="O1391">
        <f t="shared" si="237"/>
        <v>1.4808002465167114E-2</v>
      </c>
      <c r="P1391">
        <v>136.4499969</v>
      </c>
      <c r="Q1391">
        <f t="shared" si="238"/>
        <v>9.6189645480997399E-3</v>
      </c>
      <c r="R1391">
        <v>422.14999390000003</v>
      </c>
      <c r="S1391">
        <f t="shared" si="239"/>
        <v>1.8986300899925812E-3</v>
      </c>
      <c r="T1391">
        <v>4193.6499020000001</v>
      </c>
      <c r="U1391">
        <f t="shared" si="240"/>
        <v>-1.2678068981753943E-2</v>
      </c>
      <c r="W1391">
        <f t="shared" si="241"/>
        <v>-1.3548016960617916E-3</v>
      </c>
      <c r="X1391">
        <v>6.9231016217202847E-3</v>
      </c>
    </row>
    <row r="1392" spans="1:24" x14ac:dyDescent="0.35">
      <c r="A1392" s="1">
        <v>44868</v>
      </c>
      <c r="B1392">
        <v>2358.4025879999999</v>
      </c>
      <c r="C1392">
        <f t="shared" si="231"/>
        <v>3.7318811682365283E-3</v>
      </c>
      <c r="D1392">
        <v>3206.75</v>
      </c>
      <c r="E1392">
        <f t="shared" si="232"/>
        <v>-1.0781365187490177E-2</v>
      </c>
      <c r="F1392">
        <v>1507.5500489999999</v>
      </c>
      <c r="G1392">
        <f t="shared" si="233"/>
        <v>-4.3916934455112688E-3</v>
      </c>
      <c r="H1392">
        <v>818.65002440000001</v>
      </c>
      <c r="I1392">
        <f t="shared" si="234"/>
        <v>1.0866270377399623E-2</v>
      </c>
      <c r="J1392">
        <v>1530.75</v>
      </c>
      <c r="K1392">
        <f t="shared" si="235"/>
        <v>-1.4517510003632217E-2</v>
      </c>
      <c r="L1392">
        <v>353.7000122</v>
      </c>
      <c r="M1392">
        <f t="shared" si="236"/>
        <v>-2.6786457531080554E-3</v>
      </c>
      <c r="N1392">
        <v>1044.1999510000001</v>
      </c>
      <c r="O1392">
        <f t="shared" si="237"/>
        <v>-7.3672706506927588E-3</v>
      </c>
      <c r="P1392">
        <v>136.3999939</v>
      </c>
      <c r="Q1392">
        <f t="shared" si="238"/>
        <v>-3.664565858264579E-4</v>
      </c>
      <c r="R1392">
        <v>416.25</v>
      </c>
      <c r="S1392">
        <f t="shared" si="239"/>
        <v>-1.3976060607021168E-2</v>
      </c>
      <c r="T1392">
        <v>4194.2001950000003</v>
      </c>
      <c r="U1392">
        <f t="shared" si="240"/>
        <v>1.3122053887659746E-4</v>
      </c>
      <c r="W1392">
        <f t="shared" si="241"/>
        <v>-3.9349630148769353E-3</v>
      </c>
      <c r="X1392">
        <v>6.9399729015603654E-3</v>
      </c>
    </row>
    <row r="1393" spans="1:24" x14ac:dyDescent="0.35">
      <c r="A1393" s="1">
        <v>44869</v>
      </c>
      <c r="B1393">
        <v>2393.107422</v>
      </c>
      <c r="C1393">
        <f t="shared" si="231"/>
        <v>1.4715398539920654E-2</v>
      </c>
      <c r="D1393">
        <v>3217.3999020000001</v>
      </c>
      <c r="E1393">
        <f t="shared" si="232"/>
        <v>3.3210889529897702E-3</v>
      </c>
      <c r="F1393">
        <v>1497.150024</v>
      </c>
      <c r="G1393">
        <f t="shared" si="233"/>
        <v>-6.8986266869869306E-3</v>
      </c>
      <c r="H1393">
        <v>816.40002440000001</v>
      </c>
      <c r="I1393">
        <f t="shared" si="234"/>
        <v>-2.7484272069118187E-3</v>
      </c>
      <c r="J1393">
        <v>1514</v>
      </c>
      <c r="K1393">
        <f t="shared" si="235"/>
        <v>-1.0942348521966405E-2</v>
      </c>
      <c r="L1393">
        <v>353.60000609999997</v>
      </c>
      <c r="M1393">
        <f t="shared" si="236"/>
        <v>-2.8274271006667462E-4</v>
      </c>
      <c r="N1393">
        <v>1039.900024</v>
      </c>
      <c r="O1393">
        <f t="shared" si="237"/>
        <v>-4.1179153435911831E-3</v>
      </c>
      <c r="P1393">
        <v>137.8500061</v>
      </c>
      <c r="Q1393">
        <f t="shared" si="238"/>
        <v>1.0630588451954415E-2</v>
      </c>
      <c r="R1393">
        <v>425.35000609999997</v>
      </c>
      <c r="S1393">
        <f t="shared" si="239"/>
        <v>2.1861876516516388E-2</v>
      </c>
      <c r="T1393">
        <v>4167.3500979999999</v>
      </c>
      <c r="U1393">
        <f t="shared" si="240"/>
        <v>-6.4017204119176663E-3</v>
      </c>
      <c r="W1393">
        <f t="shared" si="241"/>
        <v>1.913717157994055E-3</v>
      </c>
      <c r="X1393">
        <v>6.9639293344664456E-3</v>
      </c>
    </row>
    <row r="1394" spans="1:24" x14ac:dyDescent="0.35">
      <c r="A1394" s="1">
        <v>44872</v>
      </c>
      <c r="B1394">
        <v>2405.8908689999998</v>
      </c>
      <c r="C1394">
        <f t="shared" si="231"/>
        <v>5.3417773404071944E-3</v>
      </c>
      <c r="D1394">
        <v>3233.6999510000001</v>
      </c>
      <c r="E1394">
        <f t="shared" si="232"/>
        <v>5.0662179077793912E-3</v>
      </c>
      <c r="F1394">
        <v>1508.8000489999999</v>
      </c>
      <c r="G1394">
        <f t="shared" si="233"/>
        <v>7.7814679980261481E-3</v>
      </c>
      <c r="H1394">
        <v>822.70001219999995</v>
      </c>
      <c r="I1394">
        <f t="shared" si="234"/>
        <v>7.7167903132169258E-3</v>
      </c>
      <c r="J1394">
        <v>1507.4499510000001</v>
      </c>
      <c r="K1394">
        <f t="shared" si="235"/>
        <v>-4.326320343461032E-3</v>
      </c>
      <c r="L1394">
        <v>353.5</v>
      </c>
      <c r="M1394">
        <f t="shared" si="236"/>
        <v>-2.8282267611634548E-4</v>
      </c>
      <c r="N1394">
        <v>1028.349976</v>
      </c>
      <c r="O1394">
        <f t="shared" si="237"/>
        <v>-1.1106883097831366E-2</v>
      </c>
      <c r="P1394">
        <v>138.5500031</v>
      </c>
      <c r="Q1394">
        <f t="shared" si="238"/>
        <v>5.0779613277072144E-3</v>
      </c>
      <c r="R1394">
        <v>435</v>
      </c>
      <c r="S1394">
        <f t="shared" si="239"/>
        <v>2.2687184110986802E-2</v>
      </c>
      <c r="T1394">
        <v>4173.5</v>
      </c>
      <c r="U1394">
        <f t="shared" si="240"/>
        <v>1.4757344248450543E-3</v>
      </c>
      <c r="W1394">
        <f t="shared" si="241"/>
        <v>3.943110730555999E-3</v>
      </c>
      <c r="X1394">
        <v>6.9694933618989372E-3</v>
      </c>
    </row>
    <row r="1395" spans="1:24" x14ac:dyDescent="0.35">
      <c r="A1395" s="1">
        <v>44874</v>
      </c>
      <c r="B1395">
        <v>2403.491211</v>
      </c>
      <c r="C1395">
        <f t="shared" si="231"/>
        <v>-9.9740933012359978E-4</v>
      </c>
      <c r="D1395">
        <v>3216.0500489999999</v>
      </c>
      <c r="E1395">
        <f t="shared" si="232"/>
        <v>-5.458113698688094E-3</v>
      </c>
      <c r="F1395">
        <v>1508.349976</v>
      </c>
      <c r="G1395">
        <f t="shared" si="233"/>
        <v>-2.9829863824448744E-4</v>
      </c>
      <c r="H1395">
        <v>819.04998780000005</v>
      </c>
      <c r="I1395">
        <f t="shared" si="234"/>
        <v>-4.4366407510305628E-3</v>
      </c>
      <c r="J1395">
        <v>1511.1999510000001</v>
      </c>
      <c r="K1395">
        <f t="shared" si="235"/>
        <v>2.4876447788613198E-3</v>
      </c>
      <c r="L1395">
        <v>360.7000122</v>
      </c>
      <c r="M1395">
        <f t="shared" si="236"/>
        <v>2.0367785572843022E-2</v>
      </c>
      <c r="N1395">
        <v>1013.549988</v>
      </c>
      <c r="O1395">
        <f t="shared" si="237"/>
        <v>-1.4391975830609582E-2</v>
      </c>
      <c r="P1395">
        <v>138.6499939</v>
      </c>
      <c r="Q1395">
        <f t="shared" si="238"/>
        <v>7.2169467890836891E-4</v>
      </c>
      <c r="R1395">
        <v>433.14999390000003</v>
      </c>
      <c r="S1395">
        <f t="shared" si="239"/>
        <v>-4.2528875862067883E-3</v>
      </c>
      <c r="T1395">
        <v>4158.7001950000003</v>
      </c>
      <c r="U1395">
        <f t="shared" si="240"/>
        <v>-3.5461375344434387E-3</v>
      </c>
      <c r="W1395">
        <f t="shared" si="241"/>
        <v>-9.8043383387338414E-4</v>
      </c>
      <c r="X1395">
        <v>6.9964092367908234E-3</v>
      </c>
    </row>
    <row r="1396" spans="1:24" x14ac:dyDescent="0.35">
      <c r="A1396" s="1">
        <v>44875</v>
      </c>
      <c r="B1396">
        <v>2374.4167480000001</v>
      </c>
      <c r="C1396">
        <f t="shared" si="231"/>
        <v>-1.2096762770313241E-2</v>
      </c>
      <c r="D1396">
        <v>3205.6499020000001</v>
      </c>
      <c r="E1396">
        <f t="shared" si="232"/>
        <v>-3.2338262283055919E-3</v>
      </c>
      <c r="F1396">
        <v>1524.75</v>
      </c>
      <c r="G1396">
        <f t="shared" si="233"/>
        <v>1.0872824119698921E-2</v>
      </c>
      <c r="H1396">
        <v>825.75</v>
      </c>
      <c r="I1396">
        <f t="shared" si="234"/>
        <v>8.1802237956152268E-3</v>
      </c>
      <c r="J1396">
        <v>1501.9499510000001</v>
      </c>
      <c r="K1396">
        <f t="shared" si="235"/>
        <v>-6.1209636712065141E-3</v>
      </c>
      <c r="L1396">
        <v>356</v>
      </c>
      <c r="M1396">
        <f t="shared" si="236"/>
        <v>-1.3030252400972886E-2</v>
      </c>
      <c r="N1396">
        <v>1010.650024</v>
      </c>
      <c r="O1396">
        <f t="shared" si="237"/>
        <v>-2.8611948441954471E-3</v>
      </c>
      <c r="P1396">
        <v>139.8500061</v>
      </c>
      <c r="Q1396">
        <f t="shared" si="238"/>
        <v>8.6549747767425966E-3</v>
      </c>
      <c r="R1396">
        <v>412.2000122</v>
      </c>
      <c r="S1396">
        <f t="shared" si="239"/>
        <v>-4.8366575078001017E-2</v>
      </c>
      <c r="T1396">
        <v>4138.8500979999999</v>
      </c>
      <c r="U1396">
        <f t="shared" si="240"/>
        <v>-4.7731493181129014E-3</v>
      </c>
      <c r="W1396">
        <f t="shared" si="241"/>
        <v>-6.2774701619050851E-3</v>
      </c>
      <c r="X1396">
        <v>7.0006630969204906E-3</v>
      </c>
    </row>
    <row r="1397" spans="1:24" x14ac:dyDescent="0.35">
      <c r="A1397" s="1">
        <v>44876</v>
      </c>
      <c r="B1397">
        <v>2429.150635</v>
      </c>
      <c r="C1397">
        <f t="shared" si="231"/>
        <v>2.3051508142411414E-2</v>
      </c>
      <c r="D1397">
        <v>3315.9499510000001</v>
      </c>
      <c r="E1397">
        <f t="shared" si="232"/>
        <v>3.440801471526389E-2</v>
      </c>
      <c r="F1397">
        <v>1611.150024</v>
      </c>
      <c r="G1397">
        <f t="shared" si="233"/>
        <v>5.6665042793900611E-2</v>
      </c>
      <c r="H1397">
        <v>826.90002440000001</v>
      </c>
      <c r="I1397">
        <f t="shared" si="234"/>
        <v>1.392702876173102E-3</v>
      </c>
      <c r="J1397">
        <v>1570.099976</v>
      </c>
      <c r="K1397">
        <f t="shared" si="235"/>
        <v>4.537436480797874E-2</v>
      </c>
      <c r="L1397">
        <v>356.35000609999997</v>
      </c>
      <c r="M1397">
        <f t="shared" si="236"/>
        <v>9.8316320224700604E-4</v>
      </c>
      <c r="N1397">
        <v>1013.549988</v>
      </c>
      <c r="O1397">
        <f t="shared" si="237"/>
        <v>2.8694047703301528E-3</v>
      </c>
      <c r="P1397">
        <v>140.4499969</v>
      </c>
      <c r="Q1397">
        <f t="shared" si="238"/>
        <v>4.2902450756490129E-3</v>
      </c>
      <c r="R1397">
        <v>423.5</v>
      </c>
      <c r="S1397">
        <f t="shared" si="239"/>
        <v>2.7413846350196724E-2</v>
      </c>
      <c r="T1397">
        <v>4128.3500979999999</v>
      </c>
      <c r="U1397">
        <f t="shared" si="240"/>
        <v>-2.536936528596212E-3</v>
      </c>
      <c r="W1397">
        <f t="shared" si="241"/>
        <v>1.9391135620555448E-2</v>
      </c>
      <c r="X1397">
        <v>7.0156984327259808E-3</v>
      </c>
    </row>
    <row r="1398" spans="1:24" x14ac:dyDescent="0.35">
      <c r="A1398" s="1">
        <v>44879</v>
      </c>
      <c r="B1398">
        <v>2417.3823240000002</v>
      </c>
      <c r="C1398">
        <f t="shared" si="231"/>
        <v>-4.8446196915242767E-3</v>
      </c>
      <c r="D1398">
        <v>3335.5</v>
      </c>
      <c r="E1398">
        <f t="shared" si="232"/>
        <v>5.8957611812278099E-3</v>
      </c>
      <c r="F1398">
        <v>1615.0500489999999</v>
      </c>
      <c r="G1398">
        <f t="shared" si="233"/>
        <v>2.4206467069511906E-3</v>
      </c>
      <c r="H1398">
        <v>821.90002440000001</v>
      </c>
      <c r="I1398">
        <f t="shared" si="234"/>
        <v>-6.0466801940513015E-3</v>
      </c>
      <c r="J1398">
        <v>1585.3000489999999</v>
      </c>
      <c r="K1398">
        <f t="shared" si="235"/>
        <v>9.680958685652552E-3</v>
      </c>
      <c r="L1398">
        <v>347.2000122</v>
      </c>
      <c r="M1398">
        <f t="shared" si="236"/>
        <v>-2.567698538900054E-2</v>
      </c>
      <c r="N1398">
        <v>1016.900024</v>
      </c>
      <c r="O1398">
        <f t="shared" si="237"/>
        <v>3.3052499034709193E-3</v>
      </c>
      <c r="P1398">
        <v>139.25</v>
      </c>
      <c r="Q1398">
        <f t="shared" si="238"/>
        <v>-8.5439439408061535E-3</v>
      </c>
      <c r="R1398">
        <v>433.7000122</v>
      </c>
      <c r="S1398">
        <f t="shared" si="239"/>
        <v>2.4085034710743747E-2</v>
      </c>
      <c r="T1398">
        <v>4098.3500979999999</v>
      </c>
      <c r="U1398">
        <f t="shared" si="240"/>
        <v>-7.2668255569056095E-3</v>
      </c>
      <c r="W1398">
        <f t="shared" si="241"/>
        <v>-6.9914035842416622E-4</v>
      </c>
      <c r="X1398">
        <v>7.0517171361135222E-3</v>
      </c>
    </row>
    <row r="1399" spans="1:24" x14ac:dyDescent="0.35">
      <c r="A1399" s="1">
        <v>44880</v>
      </c>
      <c r="B1399">
        <v>2406.5371089999999</v>
      </c>
      <c r="C1399">
        <f t="shared" si="231"/>
        <v>-4.4863466123368223E-3</v>
      </c>
      <c r="D1399">
        <v>3332.6000979999999</v>
      </c>
      <c r="E1399">
        <f t="shared" si="232"/>
        <v>-8.6940548643388293E-4</v>
      </c>
      <c r="F1399">
        <v>1619</v>
      </c>
      <c r="G1399">
        <f t="shared" si="233"/>
        <v>2.4457142999658732E-3</v>
      </c>
      <c r="H1399">
        <v>835.25</v>
      </c>
      <c r="I1399">
        <f t="shared" si="234"/>
        <v>1.624282175894276E-2</v>
      </c>
      <c r="J1399">
        <v>1594</v>
      </c>
      <c r="K1399">
        <f t="shared" si="235"/>
        <v>5.487889188856121E-3</v>
      </c>
      <c r="L1399">
        <v>345.25</v>
      </c>
      <c r="M1399">
        <f t="shared" si="236"/>
        <v>-5.6163943879031786E-3</v>
      </c>
      <c r="N1399">
        <v>1016.049988</v>
      </c>
      <c r="O1399">
        <f t="shared" si="237"/>
        <v>-8.359091158798293E-4</v>
      </c>
      <c r="P1399">
        <v>142.3500061</v>
      </c>
      <c r="Q1399">
        <f t="shared" si="238"/>
        <v>2.2262162298025245E-2</v>
      </c>
      <c r="R1399">
        <v>437.14999390000003</v>
      </c>
      <c r="S1399">
        <f t="shared" si="239"/>
        <v>7.9547650517681756E-3</v>
      </c>
      <c r="T1399">
        <v>4053.8000489999999</v>
      </c>
      <c r="U1399">
        <f t="shared" si="240"/>
        <v>-1.0870239958694738E-2</v>
      </c>
      <c r="W1399">
        <f t="shared" si="241"/>
        <v>3.1715057036309727E-3</v>
      </c>
      <c r="X1399">
        <v>7.0779723773686911E-3</v>
      </c>
    </row>
    <row r="1400" spans="1:24" x14ac:dyDescent="0.35">
      <c r="A1400" s="1">
        <v>44881</v>
      </c>
      <c r="B1400">
        <v>2392.7382809999999</v>
      </c>
      <c r="C1400">
        <f t="shared" si="231"/>
        <v>-5.7338937132508372E-3</v>
      </c>
      <c r="D1400">
        <v>3355.3500979999999</v>
      </c>
      <c r="E1400">
        <f t="shared" si="232"/>
        <v>6.826501629659365E-3</v>
      </c>
      <c r="F1400">
        <v>1632.900024</v>
      </c>
      <c r="G1400">
        <f t="shared" si="233"/>
        <v>8.5855614576899608E-3</v>
      </c>
      <c r="H1400">
        <v>841.20001219999995</v>
      </c>
      <c r="I1400">
        <f t="shared" si="234"/>
        <v>7.1236302903321391E-3</v>
      </c>
      <c r="J1400">
        <v>1602.8000489999999</v>
      </c>
      <c r="K1400">
        <f t="shared" si="235"/>
        <v>5.5207333751567944E-3</v>
      </c>
      <c r="L1400">
        <v>344.10000609999997</v>
      </c>
      <c r="M1400">
        <f t="shared" si="236"/>
        <v>-3.3309019551051033E-3</v>
      </c>
      <c r="N1400">
        <v>1018.650024</v>
      </c>
      <c r="O1400">
        <f t="shared" si="237"/>
        <v>2.5589646481054551E-3</v>
      </c>
      <c r="P1400">
        <v>142.8999939</v>
      </c>
      <c r="Q1400">
        <f t="shared" si="238"/>
        <v>3.8636303226684543E-3</v>
      </c>
      <c r="R1400">
        <v>431.5499878</v>
      </c>
      <c r="S1400">
        <f t="shared" si="239"/>
        <v>-1.2810262331333977E-2</v>
      </c>
      <c r="T1400">
        <v>4011.6999510000001</v>
      </c>
      <c r="U1400">
        <f t="shared" si="240"/>
        <v>-1.0385341529211667E-2</v>
      </c>
      <c r="W1400">
        <f t="shared" si="241"/>
        <v>2.2186221947105805E-4</v>
      </c>
      <c r="X1400">
        <v>7.0950580040406216E-3</v>
      </c>
    </row>
    <row r="1401" spans="1:24" x14ac:dyDescent="0.35">
      <c r="A1401" s="1">
        <v>44882</v>
      </c>
      <c r="B1401">
        <v>2398.9223630000001</v>
      </c>
      <c r="C1401">
        <f t="shared" si="231"/>
        <v>2.584520860098305E-3</v>
      </c>
      <c r="D1401">
        <v>3349</v>
      </c>
      <c r="E1401">
        <f t="shared" si="232"/>
        <v>-1.8925291890657947E-3</v>
      </c>
      <c r="F1401">
        <v>1618.150024</v>
      </c>
      <c r="G1401">
        <f t="shared" si="233"/>
        <v>-9.033008624660277E-3</v>
      </c>
      <c r="H1401">
        <v>846.15002440000001</v>
      </c>
      <c r="I1401">
        <f t="shared" si="234"/>
        <v>5.8844652023413158E-3</v>
      </c>
      <c r="J1401">
        <v>1587.400024</v>
      </c>
      <c r="K1401">
        <f t="shared" si="235"/>
        <v>-9.608200979035475E-3</v>
      </c>
      <c r="L1401">
        <v>343.7000122</v>
      </c>
      <c r="M1401">
        <f t="shared" si="236"/>
        <v>-1.1624350273441442E-3</v>
      </c>
      <c r="N1401">
        <v>1013.349976</v>
      </c>
      <c r="O1401">
        <f t="shared" si="237"/>
        <v>-5.2030117067960457E-3</v>
      </c>
      <c r="P1401">
        <v>143.1999969</v>
      </c>
      <c r="Q1401">
        <f t="shared" si="238"/>
        <v>2.0993912722624408E-3</v>
      </c>
      <c r="R1401">
        <v>423.14999390000003</v>
      </c>
      <c r="S1401">
        <f t="shared" si="239"/>
        <v>-1.946470660982369E-2</v>
      </c>
      <c r="T1401">
        <v>3949.1999510000001</v>
      </c>
      <c r="U1401">
        <f t="shared" si="240"/>
        <v>-1.557943035705367E-2</v>
      </c>
      <c r="W1401">
        <f t="shared" si="241"/>
        <v>-5.137494515907704E-3</v>
      </c>
      <c r="X1401">
        <v>7.1003331621519398E-3</v>
      </c>
    </row>
    <row r="1402" spans="1:24" x14ac:dyDescent="0.35">
      <c r="A1402" s="1">
        <v>44883</v>
      </c>
      <c r="B1402">
        <v>2397.6301269999999</v>
      </c>
      <c r="C1402">
        <f t="shared" si="231"/>
        <v>-5.3867353939052176E-4</v>
      </c>
      <c r="D1402">
        <v>3343.4499510000001</v>
      </c>
      <c r="E1402">
        <f t="shared" si="232"/>
        <v>-1.6572257390266021E-3</v>
      </c>
      <c r="F1402">
        <v>1613.900024</v>
      </c>
      <c r="G1402">
        <f t="shared" si="233"/>
        <v>-2.6264560992275143E-3</v>
      </c>
      <c r="H1402">
        <v>837.29998780000005</v>
      </c>
      <c r="I1402">
        <f t="shared" si="234"/>
        <v>-1.0459181403765228E-2</v>
      </c>
      <c r="J1402">
        <v>1593.400024</v>
      </c>
      <c r="K1402">
        <f t="shared" si="235"/>
        <v>3.7797655973828004E-3</v>
      </c>
      <c r="L1402">
        <v>341.0499878</v>
      </c>
      <c r="M1402">
        <f t="shared" si="236"/>
        <v>-7.7102831129897131E-3</v>
      </c>
      <c r="N1402">
        <v>1009.599976</v>
      </c>
      <c r="O1402">
        <f t="shared" si="237"/>
        <v>-3.7005971172984209E-3</v>
      </c>
      <c r="P1402">
        <v>141.75</v>
      </c>
      <c r="Q1402">
        <f t="shared" si="238"/>
        <v>-1.0125676895178737E-2</v>
      </c>
      <c r="R1402">
        <v>423.7999878</v>
      </c>
      <c r="S1402">
        <f t="shared" si="239"/>
        <v>1.5360839167437579E-3</v>
      </c>
      <c r="T1402">
        <v>3910.6000979999999</v>
      </c>
      <c r="U1402">
        <f t="shared" si="240"/>
        <v>-9.7740943682089743E-3</v>
      </c>
      <c r="W1402">
        <f t="shared" si="241"/>
        <v>-4.1276338760959158E-3</v>
      </c>
      <c r="X1402">
        <v>7.1230540858025944E-3</v>
      </c>
    </row>
    <row r="1403" spans="1:24" x14ac:dyDescent="0.35">
      <c r="A1403" s="1">
        <v>44886</v>
      </c>
      <c r="B1403">
        <v>2354.4799800000001</v>
      </c>
      <c r="C1403">
        <f t="shared" si="231"/>
        <v>-1.7996999000838731E-2</v>
      </c>
      <c r="D1403">
        <v>3283.5</v>
      </c>
      <c r="E1403">
        <f t="shared" si="232"/>
        <v>-1.7930566294874439E-2</v>
      </c>
      <c r="F1403">
        <v>1597.349976</v>
      </c>
      <c r="G1403">
        <f t="shared" si="233"/>
        <v>-1.0254692207625871E-2</v>
      </c>
      <c r="H1403">
        <v>851.20001219999995</v>
      </c>
      <c r="I1403">
        <f t="shared" si="234"/>
        <v>1.6601008721524257E-2</v>
      </c>
      <c r="J1403">
        <v>1568.1999510000001</v>
      </c>
      <c r="K1403">
        <f t="shared" si="235"/>
        <v>-1.5815283431927396E-2</v>
      </c>
      <c r="L1403">
        <v>337.2000122</v>
      </c>
      <c r="M1403">
        <f t="shared" si="236"/>
        <v>-1.1288596210880741E-2</v>
      </c>
      <c r="N1403">
        <v>1003.150024</v>
      </c>
      <c r="O1403">
        <f t="shared" si="237"/>
        <v>-6.3886213880020026E-3</v>
      </c>
      <c r="P1403">
        <v>135.4499969</v>
      </c>
      <c r="Q1403">
        <f t="shared" si="238"/>
        <v>-4.4444466313932951E-2</v>
      </c>
      <c r="R1403">
        <v>421.10000609999997</v>
      </c>
      <c r="S1403">
        <f t="shared" si="239"/>
        <v>-6.3708866864673475E-3</v>
      </c>
      <c r="T1403">
        <v>3882.3000489999999</v>
      </c>
      <c r="U1403">
        <f t="shared" si="240"/>
        <v>-7.2367535137314309E-3</v>
      </c>
      <c r="W1403">
        <f t="shared" si="241"/>
        <v>-1.2112585632675666E-2</v>
      </c>
      <c r="X1403">
        <v>7.1337001402656305E-3</v>
      </c>
    </row>
    <row r="1404" spans="1:24" x14ac:dyDescent="0.35">
      <c r="A1404" s="1">
        <v>44887</v>
      </c>
      <c r="B1404">
        <v>2367.5402829999998</v>
      </c>
      <c r="C1404">
        <f t="shared" si="231"/>
        <v>5.5470010834408612E-3</v>
      </c>
      <c r="D1404">
        <v>3314.9499510000001</v>
      </c>
      <c r="E1404">
        <f t="shared" si="232"/>
        <v>9.578179077204263E-3</v>
      </c>
      <c r="F1404">
        <v>1595</v>
      </c>
      <c r="G1404">
        <f t="shared" si="233"/>
        <v>-1.4711716501130123E-3</v>
      </c>
      <c r="H1404">
        <v>847.59997559999999</v>
      </c>
      <c r="I1404">
        <f t="shared" si="234"/>
        <v>-4.2293662457726366E-3</v>
      </c>
      <c r="J1404">
        <v>1585.0500489999999</v>
      </c>
      <c r="K1404">
        <f t="shared" si="235"/>
        <v>1.0744865786569413E-2</v>
      </c>
      <c r="L1404">
        <v>340.25</v>
      </c>
      <c r="M1404">
        <f t="shared" si="236"/>
        <v>9.0450405980144755E-3</v>
      </c>
      <c r="N1404">
        <v>1010.099976</v>
      </c>
      <c r="O1404">
        <f t="shared" si="237"/>
        <v>6.9281282298010449E-3</v>
      </c>
      <c r="P1404">
        <v>135.1999969</v>
      </c>
      <c r="Q1404">
        <f t="shared" si="238"/>
        <v>-1.8456995623600259E-3</v>
      </c>
      <c r="R1404">
        <v>424.7000122</v>
      </c>
      <c r="S1404">
        <f t="shared" si="239"/>
        <v>8.5490525952287566E-3</v>
      </c>
      <c r="T1404">
        <v>3955.1999510000001</v>
      </c>
      <c r="U1404">
        <f t="shared" si="240"/>
        <v>1.8777503304716836E-2</v>
      </c>
      <c r="W1404">
        <f t="shared" si="241"/>
        <v>6.1623533216729988E-3</v>
      </c>
      <c r="X1404">
        <v>7.1396188488855533E-3</v>
      </c>
    </row>
    <row r="1405" spans="1:24" x14ac:dyDescent="0.35">
      <c r="A1405" s="1">
        <v>44888</v>
      </c>
      <c r="B1405">
        <v>2360.15625</v>
      </c>
      <c r="C1405">
        <f t="shared" si="231"/>
        <v>-3.1188626664646613E-3</v>
      </c>
      <c r="D1405">
        <v>3308.3000489999999</v>
      </c>
      <c r="E1405">
        <f t="shared" si="232"/>
        <v>-2.0060339064830179E-3</v>
      </c>
      <c r="F1405">
        <v>1599.150024</v>
      </c>
      <c r="G1405">
        <f t="shared" si="233"/>
        <v>2.6018959247648965E-3</v>
      </c>
      <c r="H1405">
        <v>843.25</v>
      </c>
      <c r="I1405">
        <f t="shared" si="234"/>
        <v>-5.1321091614245917E-3</v>
      </c>
      <c r="J1405">
        <v>1583.150024</v>
      </c>
      <c r="K1405">
        <f t="shared" si="235"/>
        <v>-1.1987160917718009E-3</v>
      </c>
      <c r="L1405">
        <v>339.7999878</v>
      </c>
      <c r="M1405">
        <f t="shared" si="236"/>
        <v>-1.3225927994121589E-3</v>
      </c>
      <c r="N1405">
        <v>1017.650024</v>
      </c>
      <c r="O1405">
        <f t="shared" si="237"/>
        <v>7.4745551721506764E-3</v>
      </c>
      <c r="P1405">
        <v>136.5</v>
      </c>
      <c r="Q1405">
        <f t="shared" si="238"/>
        <v>9.6154077648502589E-3</v>
      </c>
      <c r="R1405">
        <v>424.0499878</v>
      </c>
      <c r="S1405">
        <f t="shared" si="239"/>
        <v>-1.5305495204316344E-3</v>
      </c>
      <c r="T1405">
        <v>3954.75</v>
      </c>
      <c r="U1405">
        <f t="shared" si="240"/>
        <v>-1.1376188449996327E-4</v>
      </c>
      <c r="W1405">
        <f t="shared" si="241"/>
        <v>5.2692328312780039E-4</v>
      </c>
      <c r="X1405">
        <v>7.150403246884398E-3</v>
      </c>
    </row>
    <row r="1406" spans="1:24" x14ac:dyDescent="0.35">
      <c r="A1406" s="1">
        <v>44889</v>
      </c>
      <c r="B1406">
        <v>2380.5085450000001</v>
      </c>
      <c r="C1406">
        <f t="shared" si="231"/>
        <v>8.6232828864614142E-3</v>
      </c>
      <c r="D1406">
        <v>3380.1499020000001</v>
      </c>
      <c r="E1406">
        <f t="shared" si="232"/>
        <v>2.1718058197810253E-2</v>
      </c>
      <c r="F1406">
        <v>1625.150024</v>
      </c>
      <c r="G1406">
        <f t="shared" si="233"/>
        <v>1.6258637157110067E-2</v>
      </c>
      <c r="H1406">
        <v>848.34997559999999</v>
      </c>
      <c r="I1406">
        <f t="shared" si="234"/>
        <v>6.0479995256448316E-3</v>
      </c>
      <c r="J1406">
        <v>1629.8000489999999</v>
      </c>
      <c r="K1406">
        <f t="shared" si="235"/>
        <v>2.9466585157945868E-2</v>
      </c>
      <c r="L1406">
        <v>340.75</v>
      </c>
      <c r="M1406">
        <f t="shared" si="236"/>
        <v>2.7957982169179996E-3</v>
      </c>
      <c r="N1406">
        <v>1035.099976</v>
      </c>
      <c r="O1406">
        <f t="shared" si="237"/>
        <v>1.7147301713226204E-2</v>
      </c>
      <c r="P1406">
        <v>139.4499969</v>
      </c>
      <c r="Q1406">
        <f t="shared" si="238"/>
        <v>2.1611698901098819E-2</v>
      </c>
      <c r="R1406">
        <v>423.39999390000003</v>
      </c>
      <c r="S1406">
        <f t="shared" si="239"/>
        <v>-1.5328237677170176E-3</v>
      </c>
      <c r="T1406">
        <v>3968.0500489999999</v>
      </c>
      <c r="U1406">
        <f t="shared" si="240"/>
        <v>3.3630568303937292E-3</v>
      </c>
      <c r="W1406">
        <f t="shared" si="241"/>
        <v>1.2549959481889219E-2</v>
      </c>
      <c r="X1406">
        <v>7.1656829616893684E-3</v>
      </c>
    </row>
    <row r="1407" spans="1:24" x14ac:dyDescent="0.35">
      <c r="A1407" s="1">
        <v>44890</v>
      </c>
      <c r="B1407">
        <v>2416.0439449999999</v>
      </c>
      <c r="C1407">
        <f t="shared" si="231"/>
        <v>1.4927650679783522E-2</v>
      </c>
      <c r="D1407">
        <v>3389.6499020000001</v>
      </c>
      <c r="E1407">
        <f t="shared" si="232"/>
        <v>2.8105262415667465E-3</v>
      </c>
      <c r="F1407">
        <v>1617.650024</v>
      </c>
      <c r="G1407">
        <f t="shared" si="233"/>
        <v>-4.614958551051318E-3</v>
      </c>
      <c r="H1407">
        <v>846.84997559999999</v>
      </c>
      <c r="I1407">
        <f t="shared" si="234"/>
        <v>-1.7681382013822189E-3</v>
      </c>
      <c r="J1407">
        <v>1635.650024</v>
      </c>
      <c r="K1407">
        <f t="shared" si="235"/>
        <v>3.5893820248622532E-3</v>
      </c>
      <c r="L1407">
        <v>340.2999878</v>
      </c>
      <c r="M1407">
        <f t="shared" si="236"/>
        <v>-1.3206520909757602E-3</v>
      </c>
      <c r="N1407">
        <v>1033.849976</v>
      </c>
      <c r="O1407">
        <f t="shared" si="237"/>
        <v>-1.2076128190345869E-3</v>
      </c>
      <c r="P1407">
        <v>140.5500031</v>
      </c>
      <c r="Q1407">
        <f t="shared" si="238"/>
        <v>7.8881765826701589E-3</v>
      </c>
      <c r="R1407">
        <v>433.2000122</v>
      </c>
      <c r="S1407">
        <f t="shared" si="239"/>
        <v>2.3146004820950861E-2</v>
      </c>
      <c r="T1407">
        <v>3904.4499510000001</v>
      </c>
      <c r="U1407">
        <f t="shared" si="240"/>
        <v>-1.602804833977034E-2</v>
      </c>
      <c r="W1407">
        <f t="shared" si="241"/>
        <v>2.7422330347619314E-3</v>
      </c>
      <c r="X1407">
        <v>7.1765586368226827E-3</v>
      </c>
    </row>
    <row r="1408" spans="1:24" x14ac:dyDescent="0.35">
      <c r="A1408" s="1">
        <v>44893</v>
      </c>
      <c r="B1408">
        <v>2499.0678710000002</v>
      </c>
      <c r="C1408">
        <f t="shared" si="231"/>
        <v>3.4363582736902654E-2</v>
      </c>
      <c r="D1408">
        <v>3395.25</v>
      </c>
      <c r="E1408">
        <f t="shared" si="232"/>
        <v>1.6521169329892782E-3</v>
      </c>
      <c r="F1408">
        <v>1600.25</v>
      </c>
      <c r="G1408">
        <f t="shared" si="233"/>
        <v>-1.0756358756126128E-2</v>
      </c>
      <c r="H1408">
        <v>837.40002440000001</v>
      </c>
      <c r="I1408">
        <f t="shared" si="234"/>
        <v>-1.1158943699921098E-2</v>
      </c>
      <c r="J1408">
        <v>1623.400024</v>
      </c>
      <c r="K1408">
        <f t="shared" si="235"/>
        <v>-7.489377201879921E-3</v>
      </c>
      <c r="L1408">
        <v>340.0499878</v>
      </c>
      <c r="M1408">
        <f t="shared" si="236"/>
        <v>-7.3464592701344422E-4</v>
      </c>
      <c r="N1408">
        <v>1034.75</v>
      </c>
      <c r="O1408">
        <f t="shared" si="237"/>
        <v>8.7055571010630217E-4</v>
      </c>
      <c r="P1408">
        <v>139.6000061</v>
      </c>
      <c r="Q1408">
        <f t="shared" si="238"/>
        <v>-6.7591389473259378E-3</v>
      </c>
      <c r="R1408">
        <v>433.25</v>
      </c>
      <c r="S1408">
        <f t="shared" si="239"/>
        <v>1.1539196350929259E-4</v>
      </c>
      <c r="T1408">
        <v>3907.6999510000001</v>
      </c>
      <c r="U1408">
        <f t="shared" si="240"/>
        <v>8.3238357279169506E-4</v>
      </c>
      <c r="W1408">
        <f t="shared" si="241"/>
        <v>9.3556638403269319E-5</v>
      </c>
      <c r="X1408">
        <v>7.1891546575907576E-3</v>
      </c>
    </row>
    <row r="1409" spans="1:24" x14ac:dyDescent="0.35">
      <c r="A1409" s="1">
        <v>44894</v>
      </c>
      <c r="B1409">
        <v>2503.3596189999998</v>
      </c>
      <c r="C1409">
        <f t="shared" si="231"/>
        <v>1.7173395127849655E-3</v>
      </c>
      <c r="D1409">
        <v>3397.3500979999999</v>
      </c>
      <c r="E1409">
        <f t="shared" si="232"/>
        <v>6.1854001914429801E-4</v>
      </c>
      <c r="F1409">
        <v>1597.849976</v>
      </c>
      <c r="G1409">
        <f t="shared" si="233"/>
        <v>-1.499780659272032E-3</v>
      </c>
      <c r="H1409">
        <v>835.84997559999999</v>
      </c>
      <c r="I1409">
        <f t="shared" si="234"/>
        <v>-1.8510255013554078E-3</v>
      </c>
      <c r="J1409">
        <v>1629.0500489999999</v>
      </c>
      <c r="K1409">
        <f t="shared" si="235"/>
        <v>3.4803652312869193E-3</v>
      </c>
      <c r="L1409">
        <v>342.2999878</v>
      </c>
      <c r="M1409">
        <f t="shared" si="236"/>
        <v>6.6166742559137237E-3</v>
      </c>
      <c r="N1409">
        <v>1049.849976</v>
      </c>
      <c r="O1409">
        <f t="shared" si="237"/>
        <v>1.4592873640975945E-2</v>
      </c>
      <c r="P1409">
        <v>140.25</v>
      </c>
      <c r="Q1409">
        <f t="shared" si="238"/>
        <v>4.6561165587226672E-3</v>
      </c>
      <c r="R1409">
        <v>433.14999390000003</v>
      </c>
      <c r="S1409">
        <f t="shared" si="239"/>
        <v>-2.3082769763405064E-4</v>
      </c>
      <c r="T1409">
        <v>3965.1000979999999</v>
      </c>
      <c r="U1409">
        <f t="shared" si="240"/>
        <v>1.4688985264928345E-2</v>
      </c>
      <c r="W1409">
        <f t="shared" si="241"/>
        <v>4.2789260625495373E-3</v>
      </c>
      <c r="X1409">
        <v>7.2295668861737331E-3</v>
      </c>
    </row>
    <row r="1410" spans="1:24" x14ac:dyDescent="0.35">
      <c r="A1410" s="1">
        <v>44895</v>
      </c>
      <c r="B1410">
        <v>2521.0351559999999</v>
      </c>
      <c r="C1410">
        <f t="shared" si="231"/>
        <v>7.0607262599613474E-3</v>
      </c>
      <c r="D1410">
        <v>3390.8000489999999</v>
      </c>
      <c r="E1410">
        <f t="shared" si="232"/>
        <v>-1.9279876406779195E-3</v>
      </c>
      <c r="F1410">
        <v>1608.4499510000001</v>
      </c>
      <c r="G1410">
        <f t="shared" si="233"/>
        <v>6.6338987759888557E-3</v>
      </c>
      <c r="H1410">
        <v>848.75</v>
      </c>
      <c r="I1410">
        <f t="shared" si="234"/>
        <v>1.5433420801071351E-2</v>
      </c>
      <c r="J1410">
        <v>1634.9499510000001</v>
      </c>
      <c r="K1410">
        <f t="shared" si="235"/>
        <v>3.6216824667982817E-3</v>
      </c>
      <c r="L1410">
        <v>340</v>
      </c>
      <c r="M1410">
        <f t="shared" si="236"/>
        <v>-6.7192167162560823E-3</v>
      </c>
      <c r="N1410">
        <v>1046.0500489999999</v>
      </c>
      <c r="O1410">
        <f t="shared" si="237"/>
        <v>-3.6194952487192955E-3</v>
      </c>
      <c r="P1410">
        <v>141.1000061</v>
      </c>
      <c r="Q1410">
        <f t="shared" si="238"/>
        <v>6.0606495543671368E-3</v>
      </c>
      <c r="R1410">
        <v>439.39999390000003</v>
      </c>
      <c r="S1410">
        <f t="shared" si="239"/>
        <v>1.4429181780025502E-2</v>
      </c>
      <c r="T1410">
        <v>4025.5</v>
      </c>
      <c r="U1410">
        <f t="shared" si="240"/>
        <v>1.5232882022440108E-2</v>
      </c>
      <c r="W1410">
        <f t="shared" si="241"/>
        <v>5.6205742054999293E-3</v>
      </c>
      <c r="X1410">
        <v>7.2304715844501606E-3</v>
      </c>
    </row>
    <row r="1411" spans="1:24" x14ac:dyDescent="0.35">
      <c r="A1411" s="1">
        <v>44896</v>
      </c>
      <c r="B1411">
        <v>2513.6049800000001</v>
      </c>
      <c r="C1411">
        <f t="shared" si="231"/>
        <v>-2.9472718705711998E-3</v>
      </c>
      <c r="D1411">
        <v>3475.6499020000001</v>
      </c>
      <c r="E1411">
        <f t="shared" si="232"/>
        <v>2.5023549538116807E-2</v>
      </c>
      <c r="F1411">
        <v>1619.5</v>
      </c>
      <c r="G1411">
        <f t="shared" si="233"/>
        <v>6.8699986549969339E-3</v>
      </c>
      <c r="H1411">
        <v>848.59997559999999</v>
      </c>
      <c r="I1411">
        <f t="shared" si="234"/>
        <v>-1.767592341679336E-4</v>
      </c>
      <c r="J1411">
        <v>1657.099976</v>
      </c>
      <c r="K1411">
        <f t="shared" si="235"/>
        <v>1.3547830614907941E-2</v>
      </c>
      <c r="L1411">
        <v>339.5499878</v>
      </c>
      <c r="M1411">
        <f t="shared" si="236"/>
        <v>-1.3235652941177012E-3</v>
      </c>
      <c r="N1411">
        <v>1046.4499510000001</v>
      </c>
      <c r="O1411">
        <f t="shared" si="237"/>
        <v>3.8229719541860163E-4</v>
      </c>
      <c r="P1411">
        <v>140.0500031</v>
      </c>
      <c r="Q1411">
        <f t="shared" si="238"/>
        <v>-7.4415517690045174E-3</v>
      </c>
      <c r="R1411">
        <v>438.25</v>
      </c>
      <c r="S1411">
        <f t="shared" si="239"/>
        <v>-2.6171914336934332E-3</v>
      </c>
      <c r="T1411">
        <v>4044.1499020000001</v>
      </c>
      <c r="U1411">
        <f t="shared" si="240"/>
        <v>4.63294050428531E-3</v>
      </c>
      <c r="W1411">
        <f t="shared" si="241"/>
        <v>3.5950276906170815E-3</v>
      </c>
      <c r="X1411">
        <v>7.2311352139368887E-3</v>
      </c>
    </row>
    <row r="1412" spans="1:24" x14ac:dyDescent="0.35">
      <c r="A1412" s="1">
        <v>44897</v>
      </c>
      <c r="B1412">
        <v>2512.5434570000002</v>
      </c>
      <c r="C1412">
        <f t="shared" ref="C1412:C1475" si="242">B1412/B1411 - 1</f>
        <v>-4.2231098698719549E-4</v>
      </c>
      <c r="D1412">
        <v>3439.1499020000001</v>
      </c>
      <c r="E1412">
        <f t="shared" ref="E1412:E1475" si="243">D1412/D1411 - 1</f>
        <v>-1.0501633084217366E-2</v>
      </c>
      <c r="F1412">
        <v>1607.099976</v>
      </c>
      <c r="G1412">
        <f t="shared" ref="G1412:G1475" si="244">F1412/F1411 - 1</f>
        <v>-7.6566989811670538E-3</v>
      </c>
      <c r="H1412">
        <v>848.65002440000001</v>
      </c>
      <c r="I1412">
        <f t="shared" ref="I1412:I1475" si="245">H1412/H1411 - 1</f>
        <v>5.8978083241845169E-5</v>
      </c>
      <c r="J1412">
        <v>1637.900024</v>
      </c>
      <c r="K1412">
        <f t="shared" ref="K1412:K1475" si="246">J1412/J1411 -1</f>
        <v>-1.1586477749125246E-2</v>
      </c>
      <c r="L1412">
        <v>337.14999390000003</v>
      </c>
      <c r="M1412">
        <f t="shared" ref="M1412:M1475" si="247">L1412/L1411 -1</f>
        <v>-7.0681607605110885E-3</v>
      </c>
      <c r="N1412">
        <v>1040</v>
      </c>
      <c r="O1412">
        <f t="shared" ref="O1412:O1475" si="248">N1412/N1411-1</f>
        <v>-6.1636497701934578E-3</v>
      </c>
      <c r="P1412">
        <v>140.8999939</v>
      </c>
      <c r="Q1412">
        <f t="shared" ref="Q1412:Q1475" si="249">P1412/P1411 -1</f>
        <v>6.0691951530560395E-3</v>
      </c>
      <c r="R1412">
        <v>435.39999390000003</v>
      </c>
      <c r="S1412">
        <f t="shared" ref="S1412:S1475" si="250">R1412/R1411 - 1</f>
        <v>-6.5031513976040456E-3</v>
      </c>
      <c r="T1412">
        <v>4005.75</v>
      </c>
      <c r="U1412">
        <f t="shared" ref="U1412:U1475" si="251">T1412/T1411 - 1</f>
        <v>-9.4951727632572869E-3</v>
      </c>
      <c r="W1412">
        <f t="shared" ref="W1412:W1475" si="252">0.1*C1412+0.1*E1412+0.1*G1412+0.1*I1412+0.1*K1412+0.1*M1412+0.1*O1412+0.1*Q1412+0.1*S1412+0.1*U1412</f>
        <v>-5.3269082256764862E-3</v>
      </c>
      <c r="X1412">
        <v>7.2363078143380397E-3</v>
      </c>
    </row>
    <row r="1413" spans="1:24" x14ac:dyDescent="0.35">
      <c r="A1413" s="1">
        <v>44900</v>
      </c>
      <c r="B1413">
        <v>2475.9003910000001</v>
      </c>
      <c r="C1413">
        <f t="shared" si="242"/>
        <v>-1.4584052625204014E-2</v>
      </c>
      <c r="D1413">
        <v>3425.8999020000001</v>
      </c>
      <c r="E1413">
        <f t="shared" si="243"/>
        <v>-3.8526962701725953E-3</v>
      </c>
      <c r="F1413">
        <v>1612.9499510000001</v>
      </c>
      <c r="G1413">
        <f t="shared" si="244"/>
        <v>3.6400815676449483E-3</v>
      </c>
      <c r="H1413">
        <v>844.09997559999999</v>
      </c>
      <c r="I1413">
        <f t="shared" si="245"/>
        <v>-5.3615137797432544E-3</v>
      </c>
      <c r="J1413">
        <v>1639.75</v>
      </c>
      <c r="K1413">
        <f t="shared" si="246"/>
        <v>1.1294804157107041E-3</v>
      </c>
      <c r="L1413">
        <v>336.75</v>
      </c>
      <c r="M1413">
        <f t="shared" si="247"/>
        <v>-1.1863974706719516E-3</v>
      </c>
      <c r="N1413">
        <v>1039.400024</v>
      </c>
      <c r="O1413">
        <f t="shared" si="248"/>
        <v>-5.7689999999999131E-4</v>
      </c>
      <c r="P1413">
        <v>143.75</v>
      </c>
      <c r="Q1413">
        <f t="shared" si="249"/>
        <v>2.0227155595355928E-2</v>
      </c>
      <c r="R1413">
        <v>428.75</v>
      </c>
      <c r="S1413">
        <f t="shared" si="250"/>
        <v>-1.5273298100980992E-2</v>
      </c>
      <c r="T1413">
        <v>4028.1499020000001</v>
      </c>
      <c r="U1413">
        <f t="shared" si="251"/>
        <v>5.5919370904324861E-3</v>
      </c>
      <c r="W1413">
        <f t="shared" si="252"/>
        <v>-1.0246203577628731E-3</v>
      </c>
      <c r="X1413">
        <v>7.2363210432411671E-3</v>
      </c>
    </row>
    <row r="1414" spans="1:24" x14ac:dyDescent="0.35">
      <c r="A1414" s="1">
        <v>44901</v>
      </c>
      <c r="B1414">
        <v>2483.053711</v>
      </c>
      <c r="C1414">
        <f t="shared" si="242"/>
        <v>2.8891792359670987E-3</v>
      </c>
      <c r="D1414">
        <v>3385.3500979999999</v>
      </c>
      <c r="E1414">
        <f t="shared" si="243"/>
        <v>-1.1836248915599534E-2</v>
      </c>
      <c r="F1414">
        <v>1611.150024</v>
      </c>
      <c r="G1414">
        <f t="shared" si="244"/>
        <v>-1.1159224121517486E-3</v>
      </c>
      <c r="H1414">
        <v>833.34997559999999</v>
      </c>
      <c r="I1414">
        <f t="shared" si="245"/>
        <v>-1.2735458252274845E-2</v>
      </c>
      <c r="J1414">
        <v>1612.900024</v>
      </c>
      <c r="K1414">
        <f t="shared" si="246"/>
        <v>-1.6374432687909724E-2</v>
      </c>
      <c r="L1414">
        <v>337.2999878</v>
      </c>
      <c r="M1414">
        <f t="shared" si="247"/>
        <v>1.6332228656272818E-3</v>
      </c>
      <c r="N1414">
        <v>1033.5500489999999</v>
      </c>
      <c r="O1414">
        <f t="shared" si="248"/>
        <v>-5.6282228833198777E-3</v>
      </c>
      <c r="P1414">
        <v>142.4499969</v>
      </c>
      <c r="Q1414">
        <f t="shared" si="249"/>
        <v>-9.043499826086987E-3</v>
      </c>
      <c r="R1414">
        <v>427.10000609999997</v>
      </c>
      <c r="S1414">
        <f t="shared" si="250"/>
        <v>-3.8483822740524865E-3</v>
      </c>
      <c r="T1414">
        <v>4063.3999020000001</v>
      </c>
      <c r="U1414">
        <f t="shared" si="251"/>
        <v>8.750915645541868E-3</v>
      </c>
      <c r="W1414">
        <f t="shared" si="252"/>
        <v>-4.7308849504258954E-3</v>
      </c>
      <c r="X1414">
        <v>7.2728754188515106E-3</v>
      </c>
    </row>
    <row r="1415" spans="1:24" x14ac:dyDescent="0.35">
      <c r="A1415" s="1">
        <v>44902</v>
      </c>
      <c r="B1415">
        <v>2446.4106449999999</v>
      </c>
      <c r="C1415">
        <f t="shared" si="242"/>
        <v>-1.4757258708367971E-2</v>
      </c>
      <c r="D1415">
        <v>3380.6000979999999</v>
      </c>
      <c r="E1415">
        <f t="shared" si="243"/>
        <v>-1.4031045128261033E-3</v>
      </c>
      <c r="F1415">
        <v>1610.4499510000001</v>
      </c>
      <c r="G1415">
        <f t="shared" si="244"/>
        <v>-4.3451757413748293E-4</v>
      </c>
      <c r="H1415">
        <v>834</v>
      </c>
      <c r="I1415">
        <f t="shared" si="245"/>
        <v>7.8001370256486346E-4</v>
      </c>
      <c r="J1415">
        <v>1605.5</v>
      </c>
      <c r="K1415">
        <f t="shared" si="246"/>
        <v>-4.5880239877782447E-3</v>
      </c>
      <c r="L1415">
        <v>340.10000609999997</v>
      </c>
      <c r="M1415">
        <f t="shared" si="247"/>
        <v>8.3012700897582281E-3</v>
      </c>
      <c r="N1415">
        <v>1017.75</v>
      </c>
      <c r="O1415">
        <f t="shared" si="248"/>
        <v>-1.5287163902016232E-2</v>
      </c>
      <c r="P1415">
        <v>140.6499939</v>
      </c>
      <c r="Q1415">
        <f t="shared" si="249"/>
        <v>-1.2636033971019422E-2</v>
      </c>
      <c r="R1415">
        <v>420.10000609999997</v>
      </c>
      <c r="S1415">
        <f t="shared" si="250"/>
        <v>-1.6389604074042219E-2</v>
      </c>
      <c r="T1415">
        <v>4083.1499020000001</v>
      </c>
      <c r="U1415">
        <f t="shared" si="251"/>
        <v>4.8604617995582355E-3</v>
      </c>
      <c r="W1415">
        <f t="shared" si="252"/>
        <v>-5.1553961138306355E-3</v>
      </c>
      <c r="X1415">
        <v>7.2818524720988705E-3</v>
      </c>
    </row>
    <row r="1416" spans="1:24" x14ac:dyDescent="0.35">
      <c r="A1416" s="1">
        <v>44903</v>
      </c>
      <c r="B1416">
        <v>2445.256836</v>
      </c>
      <c r="C1416">
        <f t="shared" si="242"/>
        <v>-4.7163341214118137E-4</v>
      </c>
      <c r="D1416">
        <v>3350.5500489999999</v>
      </c>
      <c r="E1416">
        <f t="shared" si="243"/>
        <v>-8.8889688602262762E-3</v>
      </c>
      <c r="F1416">
        <v>1619.5</v>
      </c>
      <c r="G1416">
        <f t="shared" si="244"/>
        <v>5.6195779287524505E-3</v>
      </c>
      <c r="H1416">
        <v>832.59997559999999</v>
      </c>
      <c r="I1416">
        <f t="shared" si="245"/>
        <v>-1.678686330935264E-3</v>
      </c>
      <c r="J1416">
        <v>1620.150024</v>
      </c>
      <c r="K1416">
        <f t="shared" si="246"/>
        <v>9.1248981625662307E-3</v>
      </c>
      <c r="L1416">
        <v>338.39999390000003</v>
      </c>
      <c r="M1416">
        <f t="shared" si="247"/>
        <v>-4.9985656263119571E-3</v>
      </c>
      <c r="N1416">
        <v>980.79998780000005</v>
      </c>
      <c r="O1416">
        <f t="shared" si="248"/>
        <v>-3.6305588012773171E-2</v>
      </c>
      <c r="P1416">
        <v>142.6499939</v>
      </c>
      <c r="Q1416">
        <f t="shared" si="249"/>
        <v>1.4219694893282231E-2</v>
      </c>
      <c r="R1416">
        <v>417.2000122</v>
      </c>
      <c r="S1416">
        <f t="shared" si="250"/>
        <v>-6.9031036845775828E-3</v>
      </c>
      <c r="T1416">
        <v>4037.1999510000001</v>
      </c>
      <c r="U1416">
        <f t="shared" si="251"/>
        <v>-1.1253554756217254E-2</v>
      </c>
      <c r="W1416">
        <f t="shared" si="252"/>
        <v>-4.1535929698581775E-3</v>
      </c>
      <c r="X1416">
        <v>7.290461632525458E-3</v>
      </c>
    </row>
    <row r="1417" spans="1:24" x14ac:dyDescent="0.35">
      <c r="A1417" s="1">
        <v>44904</v>
      </c>
      <c r="B1417">
        <v>2408.1984859999998</v>
      </c>
      <c r="C1417">
        <f t="shared" si="242"/>
        <v>-1.5155197382300756E-2</v>
      </c>
      <c r="D1417">
        <v>3292.75</v>
      </c>
      <c r="E1417">
        <f t="shared" si="243"/>
        <v>-1.7250913478296104E-2</v>
      </c>
      <c r="F1417">
        <v>1631.0500489999999</v>
      </c>
      <c r="G1417">
        <f t="shared" si="244"/>
        <v>7.131861068230938E-3</v>
      </c>
      <c r="H1417">
        <v>834.90002440000001</v>
      </c>
      <c r="I1417">
        <f t="shared" si="245"/>
        <v>2.7624896317617331E-3</v>
      </c>
      <c r="J1417">
        <v>1569.3000489999999</v>
      </c>
      <c r="K1417">
        <f t="shared" si="246"/>
        <v>-3.1385966883768046E-2</v>
      </c>
      <c r="L1417">
        <v>341.39999390000003</v>
      </c>
      <c r="M1417">
        <f t="shared" si="247"/>
        <v>8.8652483867552867E-3</v>
      </c>
      <c r="N1417">
        <v>992.84997559999999</v>
      </c>
      <c r="O1417">
        <f t="shared" si="248"/>
        <v>1.2285876784143168E-2</v>
      </c>
      <c r="P1417">
        <v>140.6999969</v>
      </c>
      <c r="Q1417">
        <f t="shared" si="249"/>
        <v>-1.3669800794853026E-2</v>
      </c>
      <c r="R1417">
        <v>413.2999878</v>
      </c>
      <c r="S1417">
        <f t="shared" si="250"/>
        <v>-9.3480927275965131E-3</v>
      </c>
      <c r="T1417">
        <v>4002.3999020000001</v>
      </c>
      <c r="U1417">
        <f t="shared" si="251"/>
        <v>-8.6198477713198551E-3</v>
      </c>
      <c r="W1417">
        <f t="shared" si="252"/>
        <v>-6.4384343167243185E-3</v>
      </c>
      <c r="X1417">
        <v>7.2935501357397799E-3</v>
      </c>
    </row>
    <row r="1418" spans="1:24" x14ac:dyDescent="0.35">
      <c r="A1418" s="1">
        <v>44907</v>
      </c>
      <c r="B1418">
        <v>2411.8903810000002</v>
      </c>
      <c r="C1418">
        <f t="shared" si="242"/>
        <v>1.5330526206469575E-3</v>
      </c>
      <c r="D1418">
        <v>3286.4499510000001</v>
      </c>
      <c r="E1418">
        <f t="shared" si="243"/>
        <v>-1.9133092399969964E-3</v>
      </c>
      <c r="F1418">
        <v>1643.75</v>
      </c>
      <c r="G1418">
        <f t="shared" si="244"/>
        <v>7.7863649909373223E-3</v>
      </c>
      <c r="H1418">
        <v>828.40002440000001</v>
      </c>
      <c r="I1418">
        <f t="shared" si="245"/>
        <v>-7.785363289061098E-3</v>
      </c>
      <c r="J1418">
        <v>1547.1999510000001</v>
      </c>
      <c r="K1418">
        <f t="shared" si="246"/>
        <v>-1.4082774045717228E-2</v>
      </c>
      <c r="L1418">
        <v>343.2000122</v>
      </c>
      <c r="M1418">
        <f t="shared" si="247"/>
        <v>5.2724614298829131E-3</v>
      </c>
      <c r="N1418">
        <v>987.40002440000001</v>
      </c>
      <c r="O1418">
        <f t="shared" si="248"/>
        <v>-5.4891991075555202E-3</v>
      </c>
      <c r="P1418">
        <v>142.3500061</v>
      </c>
      <c r="Q1418">
        <f t="shared" si="249"/>
        <v>1.1727144536987533E-2</v>
      </c>
      <c r="R1418">
        <v>414.14999390000003</v>
      </c>
      <c r="S1418">
        <f t="shared" si="250"/>
        <v>2.0566322891142352E-3</v>
      </c>
      <c r="T1418">
        <v>4057.3500979999999</v>
      </c>
      <c r="U1418">
        <f t="shared" si="251"/>
        <v>1.3729311749318462E-2</v>
      </c>
      <c r="W1418">
        <f t="shared" si="252"/>
        <v>1.2834321934556583E-3</v>
      </c>
      <c r="X1418">
        <v>7.3589653923712087E-3</v>
      </c>
    </row>
    <row r="1419" spans="1:24" x14ac:dyDescent="0.35">
      <c r="A1419" s="1">
        <v>44908</v>
      </c>
      <c r="B1419">
        <v>2422.874268</v>
      </c>
      <c r="C1419">
        <f t="shared" si="242"/>
        <v>4.5540573014954955E-3</v>
      </c>
      <c r="D1419">
        <v>3332.1000979999999</v>
      </c>
      <c r="E1419">
        <f t="shared" si="243"/>
        <v>1.3890412962506593E-2</v>
      </c>
      <c r="F1419">
        <v>1648.3000489999999</v>
      </c>
      <c r="G1419">
        <f t="shared" si="244"/>
        <v>2.768090646387833E-3</v>
      </c>
      <c r="H1419">
        <v>838.04998780000005</v>
      </c>
      <c r="I1419">
        <f t="shared" si="245"/>
        <v>1.1648917329510455E-2</v>
      </c>
      <c r="J1419">
        <v>1572.150024</v>
      </c>
      <c r="K1419">
        <f t="shared" si="246"/>
        <v>1.612595255310989E-2</v>
      </c>
      <c r="L1419">
        <v>345.60000609999997</v>
      </c>
      <c r="M1419">
        <f t="shared" si="247"/>
        <v>6.9929889705289128E-3</v>
      </c>
      <c r="N1419">
        <v>994.65002440000001</v>
      </c>
      <c r="O1419">
        <f t="shared" si="248"/>
        <v>7.3425155163486799E-3</v>
      </c>
      <c r="P1419">
        <v>144.3500061</v>
      </c>
      <c r="Q1419">
        <f t="shared" si="249"/>
        <v>1.4049876461508681E-2</v>
      </c>
      <c r="R1419">
        <v>418.5</v>
      </c>
      <c r="S1419">
        <f t="shared" si="250"/>
        <v>1.0503455665993089E-2</v>
      </c>
      <c r="T1419">
        <v>4108.9501950000003</v>
      </c>
      <c r="U1419">
        <f t="shared" si="251"/>
        <v>1.271768414203045E-2</v>
      </c>
      <c r="W1419">
        <f t="shared" si="252"/>
        <v>1.0059395154942008E-2</v>
      </c>
      <c r="X1419">
        <v>7.3667302665178071E-3</v>
      </c>
    </row>
    <row r="1420" spans="1:24" x14ac:dyDescent="0.35">
      <c r="A1420" s="1">
        <v>44909</v>
      </c>
      <c r="B1420">
        <v>2414.1057129999999</v>
      </c>
      <c r="C1420">
        <f t="shared" si="242"/>
        <v>-3.6190714127474211E-3</v>
      </c>
      <c r="D1420">
        <v>3365.3500979999999</v>
      </c>
      <c r="E1420">
        <f t="shared" si="243"/>
        <v>9.9786918226008048E-3</v>
      </c>
      <c r="F1420">
        <v>1662.25</v>
      </c>
      <c r="G1420">
        <f t="shared" si="244"/>
        <v>8.4632352031193125E-3</v>
      </c>
      <c r="H1420">
        <v>829.20001219999995</v>
      </c>
      <c r="I1420">
        <f t="shared" si="245"/>
        <v>-1.0560200141798926E-2</v>
      </c>
      <c r="J1420">
        <v>1579.400024</v>
      </c>
      <c r="K1420">
        <f t="shared" si="246"/>
        <v>4.6115191866702432E-3</v>
      </c>
      <c r="L1420">
        <v>345.39999390000003</v>
      </c>
      <c r="M1420">
        <f t="shared" si="247"/>
        <v>-5.7873899441451826E-4</v>
      </c>
      <c r="N1420">
        <v>1000.25</v>
      </c>
      <c r="O1420">
        <f t="shared" si="248"/>
        <v>5.6300964787872054E-3</v>
      </c>
      <c r="P1420">
        <v>147.6000061</v>
      </c>
      <c r="Q1420">
        <f t="shared" si="249"/>
        <v>2.2514720212401862E-2</v>
      </c>
      <c r="R1420">
        <v>417.89999390000003</v>
      </c>
      <c r="S1420">
        <f t="shared" si="250"/>
        <v>-1.4337063321385735E-3</v>
      </c>
      <c r="T1420">
        <v>4201.1000979999999</v>
      </c>
      <c r="U1420">
        <f t="shared" si="251"/>
        <v>2.2426629340052129E-2</v>
      </c>
      <c r="W1420">
        <f t="shared" si="252"/>
        <v>5.7433175362532115E-3</v>
      </c>
      <c r="X1420">
        <v>7.3839661361838069E-3</v>
      </c>
    </row>
    <row r="1421" spans="1:24" x14ac:dyDescent="0.35">
      <c r="A1421" s="1">
        <v>44910</v>
      </c>
      <c r="B1421">
        <v>2379.8161620000001</v>
      </c>
      <c r="C1421">
        <f t="shared" si="242"/>
        <v>-1.4203831595008487E-2</v>
      </c>
      <c r="D1421">
        <v>3305.1000979999999</v>
      </c>
      <c r="E1421">
        <f t="shared" si="243"/>
        <v>-1.7903040767082823E-2</v>
      </c>
      <c r="F1421">
        <v>1631.8000489999999</v>
      </c>
      <c r="G1421">
        <f t="shared" si="244"/>
        <v>-1.8318514663859253E-2</v>
      </c>
      <c r="H1421">
        <v>826.34997559999999</v>
      </c>
      <c r="I1421">
        <f t="shared" si="245"/>
        <v>-3.437091845233331E-3</v>
      </c>
      <c r="J1421">
        <v>1540.5</v>
      </c>
      <c r="K1421">
        <f t="shared" si="246"/>
        <v>-2.4629621000942792E-2</v>
      </c>
      <c r="L1421">
        <v>338.85000609999997</v>
      </c>
      <c r="M1421">
        <f t="shared" si="247"/>
        <v>-1.8963485569418959E-2</v>
      </c>
      <c r="N1421">
        <v>1002.200012</v>
      </c>
      <c r="O1421">
        <f t="shared" si="248"/>
        <v>1.9495246188452331E-3</v>
      </c>
      <c r="P1421">
        <v>147.4499969</v>
      </c>
      <c r="Q1421">
        <f t="shared" si="249"/>
        <v>-1.0163224512224067E-3</v>
      </c>
      <c r="R1421">
        <v>416.7000122</v>
      </c>
      <c r="S1421">
        <f t="shared" si="250"/>
        <v>-2.8714566104711681E-3</v>
      </c>
      <c r="T1421">
        <v>4182</v>
      </c>
      <c r="U1421">
        <f t="shared" si="251"/>
        <v>-4.5464515375610581E-3</v>
      </c>
      <c r="W1421">
        <f t="shared" si="252"/>
        <v>-1.0394029142195504E-2</v>
      </c>
      <c r="X1421">
        <v>7.4030739243339362E-3</v>
      </c>
    </row>
    <row r="1422" spans="1:24" x14ac:dyDescent="0.35">
      <c r="A1422" s="1">
        <v>44911</v>
      </c>
      <c r="B1422">
        <v>2368.0478520000001</v>
      </c>
      <c r="C1422">
        <f t="shared" si="242"/>
        <v>-4.9450500370203931E-3</v>
      </c>
      <c r="D1422">
        <v>3240.25</v>
      </c>
      <c r="E1422">
        <f t="shared" si="243"/>
        <v>-1.9621220561290231E-2</v>
      </c>
      <c r="F1422">
        <v>1639.650024</v>
      </c>
      <c r="G1422">
        <f t="shared" si="244"/>
        <v>4.8106230936877381E-3</v>
      </c>
      <c r="H1422">
        <v>822.75</v>
      </c>
      <c r="I1422">
        <f t="shared" si="245"/>
        <v>-4.3564781343232717E-3</v>
      </c>
      <c r="J1422">
        <v>1522.1999510000001</v>
      </c>
      <c r="K1422">
        <f t="shared" si="246"/>
        <v>-1.187929178838032E-2</v>
      </c>
      <c r="L1422">
        <v>335.10000609999997</v>
      </c>
      <c r="M1422">
        <f t="shared" si="247"/>
        <v>-1.1066843536940429E-2</v>
      </c>
      <c r="N1422">
        <v>993.65002440000001</v>
      </c>
      <c r="O1422">
        <f t="shared" si="248"/>
        <v>-8.5312188162296465E-3</v>
      </c>
      <c r="P1422">
        <v>147.1999969</v>
      </c>
      <c r="Q1422">
        <f t="shared" si="249"/>
        <v>-1.6954900322551092E-3</v>
      </c>
      <c r="R1422">
        <v>421.60000609999997</v>
      </c>
      <c r="S1422">
        <f t="shared" si="250"/>
        <v>1.1759044292151799E-2</v>
      </c>
      <c r="T1422">
        <v>3990</v>
      </c>
      <c r="U1422">
        <f t="shared" si="251"/>
        <v>-4.5911047345767564E-2</v>
      </c>
      <c r="W1422">
        <f t="shared" si="252"/>
        <v>-9.1436972866367431E-3</v>
      </c>
      <c r="X1422">
        <v>7.4092048045273371E-3</v>
      </c>
    </row>
    <row r="1423" spans="1:24" x14ac:dyDescent="0.35">
      <c r="A1423" s="1">
        <v>44914</v>
      </c>
      <c r="B1423">
        <v>2399.1530760000001</v>
      </c>
      <c r="C1423">
        <f t="shared" si="242"/>
        <v>1.3135386590152454E-2</v>
      </c>
      <c r="D1423">
        <v>3202.0500489999999</v>
      </c>
      <c r="E1423">
        <f t="shared" si="243"/>
        <v>-1.1789198672941925E-2</v>
      </c>
      <c r="F1423">
        <v>1644.75</v>
      </c>
      <c r="G1423">
        <f t="shared" si="244"/>
        <v>3.1104052238895008E-3</v>
      </c>
      <c r="H1423">
        <v>840.40002440000001</v>
      </c>
      <c r="I1423">
        <f t="shared" si="245"/>
        <v>2.1452475721665198E-2</v>
      </c>
      <c r="J1423">
        <v>1507.349976</v>
      </c>
      <c r="K1423">
        <f t="shared" si="246"/>
        <v>-9.7556007607570994E-3</v>
      </c>
      <c r="L1423">
        <v>340.5</v>
      </c>
      <c r="M1423">
        <f t="shared" si="247"/>
        <v>1.6114574162044537E-2</v>
      </c>
      <c r="N1423">
        <v>987.95001219999995</v>
      </c>
      <c r="O1423">
        <f t="shared" si="248"/>
        <v>-5.7364384441512817E-3</v>
      </c>
      <c r="P1423">
        <v>145.8000031</v>
      </c>
      <c r="Q1423">
        <f t="shared" si="249"/>
        <v>-9.5108276459481278E-3</v>
      </c>
      <c r="R1423">
        <v>418</v>
      </c>
      <c r="S1423">
        <f t="shared" si="250"/>
        <v>-8.538913775883783E-3</v>
      </c>
      <c r="T1423">
        <v>4090.1999510000001</v>
      </c>
      <c r="U1423">
        <f t="shared" si="251"/>
        <v>2.511276967418552E-2</v>
      </c>
      <c r="W1423">
        <f t="shared" si="252"/>
        <v>3.3594632072254998E-3</v>
      </c>
      <c r="X1423">
        <v>7.4119685783146086E-3</v>
      </c>
    </row>
    <row r="1424" spans="1:24" x14ac:dyDescent="0.35">
      <c r="A1424" s="1">
        <v>44915</v>
      </c>
      <c r="B1424">
        <v>2419.920654</v>
      </c>
      <c r="C1424">
        <f t="shared" si="242"/>
        <v>8.6562121474236253E-3</v>
      </c>
      <c r="D1424">
        <v>3243.9499510000001</v>
      </c>
      <c r="E1424">
        <f t="shared" si="243"/>
        <v>1.3085336381011725E-2</v>
      </c>
      <c r="F1424">
        <v>1633.400024</v>
      </c>
      <c r="G1424">
        <f t="shared" si="244"/>
        <v>-6.9007302021583117E-3</v>
      </c>
      <c r="H1424">
        <v>828.95001219999995</v>
      </c>
      <c r="I1424">
        <f t="shared" si="245"/>
        <v>-1.3624478662021433E-2</v>
      </c>
      <c r="J1424">
        <v>1507.3000489999999</v>
      </c>
      <c r="K1424">
        <f t="shared" si="246"/>
        <v>-3.3122367595450619E-5</v>
      </c>
      <c r="L1424">
        <v>340.14999390000003</v>
      </c>
      <c r="M1424">
        <f t="shared" si="247"/>
        <v>-1.0279180616739048E-3</v>
      </c>
      <c r="N1424">
        <v>988.34997559999999</v>
      </c>
      <c r="O1424">
        <f t="shared" si="248"/>
        <v>4.0484173800403589E-4</v>
      </c>
      <c r="P1424">
        <v>145.8500061</v>
      </c>
      <c r="Q1424">
        <f t="shared" si="249"/>
        <v>3.4295609696055607E-4</v>
      </c>
      <c r="R1424">
        <v>410.5</v>
      </c>
      <c r="S1424">
        <f t="shared" si="250"/>
        <v>-1.7942583732057371E-2</v>
      </c>
      <c r="T1424">
        <v>4089.5500489999999</v>
      </c>
      <c r="U1424">
        <f t="shared" si="251"/>
        <v>-1.5889247659917061E-4</v>
      </c>
      <c r="W1424">
        <f t="shared" si="252"/>
        <v>-1.71983791387057E-3</v>
      </c>
      <c r="X1424">
        <v>7.4267104880836442E-3</v>
      </c>
    </row>
    <row r="1425" spans="1:24" x14ac:dyDescent="0.35">
      <c r="A1425" s="1">
        <v>44916</v>
      </c>
      <c r="B1425">
        <v>2385.4926759999998</v>
      </c>
      <c r="C1425">
        <f t="shared" si="242"/>
        <v>-1.4226903656156087E-2</v>
      </c>
      <c r="D1425">
        <v>3268.5500489999999</v>
      </c>
      <c r="E1425">
        <f t="shared" si="243"/>
        <v>7.5833777868294927E-3</v>
      </c>
      <c r="F1425">
        <v>1617.599976</v>
      </c>
      <c r="G1425">
        <f t="shared" si="244"/>
        <v>-9.6731038128110569E-3</v>
      </c>
      <c r="H1425">
        <v>814</v>
      </c>
      <c r="I1425">
        <f t="shared" si="245"/>
        <v>-1.8034877833372875E-2</v>
      </c>
      <c r="J1425">
        <v>1509.5500489999999</v>
      </c>
      <c r="K1425">
        <f t="shared" si="246"/>
        <v>1.4927353060809612E-3</v>
      </c>
      <c r="L1425">
        <v>335.14999390000003</v>
      </c>
      <c r="M1425">
        <f t="shared" si="247"/>
        <v>-1.4699397588317842E-2</v>
      </c>
      <c r="N1425">
        <v>1005.599976</v>
      </c>
      <c r="O1425">
        <f t="shared" si="248"/>
        <v>1.7453332145354716E-2</v>
      </c>
      <c r="P1425">
        <v>143.5</v>
      </c>
      <c r="Q1425">
        <f t="shared" si="249"/>
        <v>-1.611248544198729E-2</v>
      </c>
      <c r="R1425">
        <v>402.60000609999997</v>
      </c>
      <c r="S1425">
        <f t="shared" si="250"/>
        <v>-1.9244808526187596E-2</v>
      </c>
      <c r="T1425">
        <v>3993.1999510000001</v>
      </c>
      <c r="U1425">
        <f t="shared" si="251"/>
        <v>-2.3560073075413301E-2</v>
      </c>
      <c r="W1425">
        <f t="shared" si="252"/>
        <v>-8.9022204695980885E-3</v>
      </c>
      <c r="X1425">
        <v>7.4610638701048896E-3</v>
      </c>
    </row>
    <row r="1426" spans="1:24" x14ac:dyDescent="0.35">
      <c r="A1426" s="1">
        <v>44917</v>
      </c>
      <c r="B1426">
        <v>2379.3085940000001</v>
      </c>
      <c r="C1426">
        <f t="shared" si="242"/>
        <v>-2.5923709857575972E-3</v>
      </c>
      <c r="D1426">
        <v>3259.6999510000001</v>
      </c>
      <c r="E1426">
        <f t="shared" si="243"/>
        <v>-2.7076525882501201E-3</v>
      </c>
      <c r="F1426">
        <v>1612.0500489999999</v>
      </c>
      <c r="G1426">
        <f t="shared" si="244"/>
        <v>-3.430963824396116E-3</v>
      </c>
      <c r="H1426">
        <v>816.59997559999999</v>
      </c>
      <c r="I1426">
        <f t="shared" si="245"/>
        <v>3.1940732186732657E-3</v>
      </c>
      <c r="J1426">
        <v>1522.0500489999999</v>
      </c>
      <c r="K1426">
        <f t="shared" si="246"/>
        <v>8.2806131590540399E-3</v>
      </c>
      <c r="L1426">
        <v>332.4500122</v>
      </c>
      <c r="M1426">
        <f t="shared" si="247"/>
        <v>-8.0560398303501923E-3</v>
      </c>
      <c r="N1426">
        <v>1010.650024</v>
      </c>
      <c r="O1426">
        <f t="shared" si="248"/>
        <v>5.0219253386298845E-3</v>
      </c>
      <c r="P1426">
        <v>142.25</v>
      </c>
      <c r="Q1426">
        <f t="shared" si="249"/>
        <v>-8.7108013937282625E-3</v>
      </c>
      <c r="R1426">
        <v>394.4500122</v>
      </c>
      <c r="S1426">
        <f t="shared" si="250"/>
        <v>-2.0243402326167947E-2</v>
      </c>
      <c r="T1426">
        <v>3921.5500489999999</v>
      </c>
      <c r="U1426">
        <f t="shared" si="251"/>
        <v>-1.7942978783733854E-2</v>
      </c>
      <c r="W1426">
        <f t="shared" si="252"/>
        <v>-4.7187598016026899E-3</v>
      </c>
      <c r="X1426">
        <v>7.5489367234690902E-3</v>
      </c>
    </row>
    <row r="1427" spans="1:24" x14ac:dyDescent="0.35">
      <c r="A1427" s="1">
        <v>44918</v>
      </c>
      <c r="B1427">
        <v>2309.5297850000002</v>
      </c>
      <c r="C1427">
        <f t="shared" si="242"/>
        <v>-2.9327347102416246E-2</v>
      </c>
      <c r="D1427">
        <v>3228.3500979999999</v>
      </c>
      <c r="E1427">
        <f t="shared" si="243"/>
        <v>-9.6174045069340464E-3</v>
      </c>
      <c r="F1427">
        <v>1597.650024</v>
      </c>
      <c r="G1427">
        <f t="shared" si="244"/>
        <v>-8.9327406484263072E-3</v>
      </c>
      <c r="H1427">
        <v>808.65002440000001</v>
      </c>
      <c r="I1427">
        <f t="shared" si="245"/>
        <v>-9.7354291422293571E-3</v>
      </c>
      <c r="J1427">
        <v>1497.099976</v>
      </c>
      <c r="K1427">
        <f t="shared" si="246"/>
        <v>-1.6392412993509908E-2</v>
      </c>
      <c r="L1427">
        <v>326.7000122</v>
      </c>
      <c r="M1427">
        <f t="shared" si="247"/>
        <v>-1.7295833325284504E-2</v>
      </c>
      <c r="N1427">
        <v>1001.549988</v>
      </c>
      <c r="O1427">
        <f t="shared" si="248"/>
        <v>-9.0041416750612502E-3</v>
      </c>
      <c r="P1427">
        <v>139.8000031</v>
      </c>
      <c r="Q1427">
        <f t="shared" si="249"/>
        <v>-1.7223176801405948E-2</v>
      </c>
      <c r="R1427">
        <v>378.35000609999997</v>
      </c>
      <c r="S1427">
        <f t="shared" si="250"/>
        <v>-4.0816340732768852E-2</v>
      </c>
      <c r="T1427">
        <v>3875.6000979999999</v>
      </c>
      <c r="U1427">
        <f t="shared" si="251"/>
        <v>-1.1717293015734209E-2</v>
      </c>
      <c r="W1427">
        <f t="shared" si="252"/>
        <v>-1.7006211994377067E-2</v>
      </c>
      <c r="X1427">
        <v>7.5582677418024385E-3</v>
      </c>
    </row>
    <row r="1428" spans="1:24" x14ac:dyDescent="0.35">
      <c r="A1428" s="1">
        <v>44921</v>
      </c>
      <c r="B1428">
        <v>2329.6972660000001</v>
      </c>
      <c r="C1428">
        <f t="shared" si="242"/>
        <v>8.7322887676029026E-3</v>
      </c>
      <c r="D1428">
        <v>3252.8999020000001</v>
      </c>
      <c r="E1428">
        <f t="shared" si="243"/>
        <v>7.6044429057460228E-3</v>
      </c>
      <c r="F1428">
        <v>1629.4499510000001</v>
      </c>
      <c r="G1428">
        <f t="shared" si="244"/>
        <v>1.9904188353080832E-2</v>
      </c>
      <c r="H1428">
        <v>811</v>
      </c>
      <c r="I1428">
        <f t="shared" si="245"/>
        <v>2.9060477698539255E-3</v>
      </c>
      <c r="J1428">
        <v>1502.400024</v>
      </c>
      <c r="K1428">
        <f t="shared" si="246"/>
        <v>3.5402097955814504E-3</v>
      </c>
      <c r="L1428">
        <v>334.60000609999997</v>
      </c>
      <c r="M1428">
        <f t="shared" si="247"/>
        <v>2.4181186424822476E-2</v>
      </c>
      <c r="N1428">
        <v>1000.049988</v>
      </c>
      <c r="O1428">
        <f t="shared" si="248"/>
        <v>-1.4976786161171596E-3</v>
      </c>
      <c r="P1428">
        <v>141.3000031</v>
      </c>
      <c r="Q1428">
        <f t="shared" si="249"/>
        <v>1.0729613495981338E-2</v>
      </c>
      <c r="R1428">
        <v>384.7999878</v>
      </c>
      <c r="S1428">
        <f t="shared" si="250"/>
        <v>1.7047658506698316E-2</v>
      </c>
      <c r="T1428">
        <v>4036.6000979999999</v>
      </c>
      <c r="U1428">
        <f t="shared" si="251"/>
        <v>4.1541953743649662E-2</v>
      </c>
      <c r="W1428">
        <f t="shared" si="252"/>
        <v>1.3468991114689976E-2</v>
      </c>
      <c r="X1428">
        <v>7.5741673186778607E-3</v>
      </c>
    </row>
    <row r="1429" spans="1:24" x14ac:dyDescent="0.35">
      <c r="A1429" s="1">
        <v>44922</v>
      </c>
      <c r="B1429">
        <v>2348.7573240000002</v>
      </c>
      <c r="C1429">
        <f t="shared" si="242"/>
        <v>8.1813453954580062E-3</v>
      </c>
      <c r="D1429">
        <v>3259.5</v>
      </c>
      <c r="E1429">
        <f t="shared" si="243"/>
        <v>2.0289889633375857E-3</v>
      </c>
      <c r="F1429">
        <v>1631.099976</v>
      </c>
      <c r="G1429">
        <f t="shared" si="244"/>
        <v>1.012626990468446E-3</v>
      </c>
      <c r="H1429">
        <v>814.79998780000005</v>
      </c>
      <c r="I1429">
        <f t="shared" si="245"/>
        <v>4.6855583230580589E-3</v>
      </c>
      <c r="J1429">
        <v>1514.849976</v>
      </c>
      <c r="K1429">
        <f t="shared" si="246"/>
        <v>8.2867091328000519E-3</v>
      </c>
      <c r="L1429">
        <v>333.14999390000003</v>
      </c>
      <c r="M1429">
        <f t="shared" si="247"/>
        <v>-4.3335689586526671E-3</v>
      </c>
      <c r="N1429">
        <v>1000.150024</v>
      </c>
      <c r="O1429">
        <f t="shared" si="248"/>
        <v>1.0003099965039119E-4</v>
      </c>
      <c r="P1429">
        <v>144.8000031</v>
      </c>
      <c r="Q1429">
        <f t="shared" si="249"/>
        <v>2.4769992379426897E-2</v>
      </c>
      <c r="R1429">
        <v>394.14999390000003</v>
      </c>
      <c r="S1429">
        <f t="shared" si="250"/>
        <v>2.4298353421101648E-2</v>
      </c>
      <c r="T1429">
        <v>4074.6000979999999</v>
      </c>
      <c r="U1429">
        <f t="shared" si="251"/>
        <v>9.4138629236093507E-3</v>
      </c>
      <c r="W1429">
        <f t="shared" si="252"/>
        <v>7.8443899570257766E-3</v>
      </c>
      <c r="X1429">
        <v>7.5841736405441122E-3</v>
      </c>
    </row>
    <row r="1430" spans="1:24" x14ac:dyDescent="0.35">
      <c r="A1430" s="1">
        <v>44923</v>
      </c>
      <c r="B1430">
        <v>2348.5266109999998</v>
      </c>
      <c r="C1430">
        <f t="shared" si="242"/>
        <v>-9.8227687314822454E-5</v>
      </c>
      <c r="D1430">
        <v>3257.1000979999999</v>
      </c>
      <c r="E1430">
        <f t="shared" si="243"/>
        <v>-7.3627918392393799E-4</v>
      </c>
      <c r="F1430">
        <v>1629.8000489999999</v>
      </c>
      <c r="G1430">
        <f t="shared" si="244"/>
        <v>-7.9696341065971232E-4</v>
      </c>
      <c r="H1430">
        <v>803.79998780000005</v>
      </c>
      <c r="I1430">
        <f t="shared" si="245"/>
        <v>-1.3500245661147492E-2</v>
      </c>
      <c r="J1430">
        <v>1510.150024</v>
      </c>
      <c r="K1430">
        <f t="shared" si="246"/>
        <v>-3.1025857837159165E-3</v>
      </c>
      <c r="L1430">
        <v>334.39999390000003</v>
      </c>
      <c r="M1430">
        <f t="shared" si="247"/>
        <v>3.7520637036998483E-3</v>
      </c>
      <c r="N1430">
        <v>995</v>
      </c>
      <c r="O1430">
        <f t="shared" si="248"/>
        <v>-5.1492514886947172E-3</v>
      </c>
      <c r="P1430">
        <v>143.8999939</v>
      </c>
      <c r="Q1430">
        <f t="shared" si="249"/>
        <v>-6.2155330161038913E-3</v>
      </c>
      <c r="R1430">
        <v>391.2999878</v>
      </c>
      <c r="S1430">
        <f t="shared" si="250"/>
        <v>-7.2307653028230723E-3</v>
      </c>
      <c r="T1430">
        <v>4017.75</v>
      </c>
      <c r="U1430">
        <f t="shared" si="251"/>
        <v>-1.3952313511184644E-2</v>
      </c>
      <c r="W1430">
        <f t="shared" si="252"/>
        <v>-4.7030101341868358E-3</v>
      </c>
      <c r="X1430">
        <v>7.5959164833497624E-3</v>
      </c>
    </row>
    <row r="1431" spans="1:24" x14ac:dyDescent="0.35">
      <c r="A1431" s="1">
        <v>44924</v>
      </c>
      <c r="B1431">
        <v>2347.4650879999999</v>
      </c>
      <c r="C1431">
        <f t="shared" si="242"/>
        <v>-4.5199530421669021E-4</v>
      </c>
      <c r="D1431">
        <v>3268.75</v>
      </c>
      <c r="E1431">
        <f t="shared" si="243"/>
        <v>3.576771253408495E-3</v>
      </c>
      <c r="F1431">
        <v>1641.3000489999999</v>
      </c>
      <c r="G1431">
        <f t="shared" si="244"/>
        <v>7.0560802885335505E-3</v>
      </c>
      <c r="H1431">
        <v>820.75</v>
      </c>
      <c r="I1431">
        <f t="shared" si="245"/>
        <v>2.1087350655966119E-2</v>
      </c>
      <c r="J1431">
        <v>1517.5500489999999</v>
      </c>
      <c r="K1431">
        <f t="shared" si="246"/>
        <v>4.9001919560276441E-3</v>
      </c>
      <c r="L1431">
        <v>335.35000609999997</v>
      </c>
      <c r="M1431">
        <f t="shared" si="247"/>
        <v>2.8409456259859134E-3</v>
      </c>
      <c r="N1431">
        <v>1000.549988</v>
      </c>
      <c r="O1431">
        <f t="shared" si="248"/>
        <v>5.5778773869346043E-3</v>
      </c>
      <c r="P1431">
        <v>144.6499939</v>
      </c>
      <c r="Q1431">
        <f t="shared" si="249"/>
        <v>5.2119529658993802E-3</v>
      </c>
      <c r="R1431">
        <v>385.89999390000003</v>
      </c>
      <c r="S1431">
        <f t="shared" si="250"/>
        <v>-1.3800138176237264E-2</v>
      </c>
      <c r="T1431">
        <v>4178.2998049999997</v>
      </c>
      <c r="U1431">
        <f t="shared" si="251"/>
        <v>3.9960128181195875E-2</v>
      </c>
      <c r="W1431">
        <f t="shared" si="252"/>
        <v>7.5959164833497624E-3</v>
      </c>
      <c r="X1431">
        <v>7.5996823020177068E-3</v>
      </c>
    </row>
    <row r="1432" spans="1:24" x14ac:dyDescent="0.35">
      <c r="A1432" s="1">
        <v>44925</v>
      </c>
      <c r="B1432">
        <v>2351.0646969999998</v>
      </c>
      <c r="C1432">
        <f t="shared" si="242"/>
        <v>1.5334025704580867E-3</v>
      </c>
      <c r="D1432">
        <v>3256.6999510000001</v>
      </c>
      <c r="E1432">
        <f t="shared" si="243"/>
        <v>-3.6864394646271004E-3</v>
      </c>
      <c r="F1432">
        <v>1628.150024</v>
      </c>
      <c r="G1432">
        <f t="shared" si="244"/>
        <v>-8.0119567461244268E-3</v>
      </c>
      <c r="H1432">
        <v>806.09997559999999</v>
      </c>
      <c r="I1432">
        <f t="shared" si="245"/>
        <v>-1.7849557599756372E-2</v>
      </c>
      <c r="J1432">
        <v>1508.1999510000001</v>
      </c>
      <c r="K1432">
        <f t="shared" si="246"/>
        <v>-6.1613111252318831E-3</v>
      </c>
      <c r="L1432">
        <v>331.5499878</v>
      </c>
      <c r="M1432">
        <f t="shared" si="247"/>
        <v>-1.1331499122939737E-2</v>
      </c>
      <c r="N1432">
        <v>1001.400024</v>
      </c>
      <c r="O1432">
        <f t="shared" si="248"/>
        <v>8.4956874738373322E-4</v>
      </c>
      <c r="P1432">
        <v>146.75</v>
      </c>
      <c r="Q1432">
        <f t="shared" si="249"/>
        <v>1.4517844373030497E-2</v>
      </c>
      <c r="R1432">
        <v>387.9500122</v>
      </c>
      <c r="S1432">
        <f t="shared" si="250"/>
        <v>5.3123045669993818E-3</v>
      </c>
      <c r="T1432">
        <v>4068.75</v>
      </c>
      <c r="U1432">
        <f t="shared" si="251"/>
        <v>-2.6218751672368201E-2</v>
      </c>
      <c r="W1432">
        <f t="shared" si="252"/>
        <v>-5.1046395473176021E-3</v>
      </c>
      <c r="X1432">
        <v>7.6001712745899846E-3</v>
      </c>
    </row>
    <row r="1433" spans="1:24" x14ac:dyDescent="0.35">
      <c r="A1433" s="1">
        <v>44928</v>
      </c>
      <c r="B1433">
        <v>2377.554932</v>
      </c>
      <c r="C1433">
        <f t="shared" si="242"/>
        <v>1.1267335617689334E-2</v>
      </c>
      <c r="D1433">
        <v>3261.4499510000001</v>
      </c>
      <c r="E1433">
        <f t="shared" si="243"/>
        <v>1.4585316644051272E-3</v>
      </c>
      <c r="F1433">
        <v>1628.6999510000001</v>
      </c>
      <c r="G1433">
        <f t="shared" si="244"/>
        <v>3.3776187199818786E-4</v>
      </c>
      <c r="H1433">
        <v>813.5</v>
      </c>
      <c r="I1433">
        <f t="shared" si="245"/>
        <v>9.180033028151291E-3</v>
      </c>
      <c r="J1433">
        <v>1524</v>
      </c>
      <c r="K1433">
        <f t="shared" si="246"/>
        <v>1.0476097011887564E-2</v>
      </c>
      <c r="L1433">
        <v>332.85000609999997</v>
      </c>
      <c r="M1433">
        <f t="shared" si="247"/>
        <v>3.9210325677472291E-3</v>
      </c>
      <c r="N1433">
        <v>997</v>
      </c>
      <c r="O1433">
        <f t="shared" si="248"/>
        <v>-4.3938724730847589E-3</v>
      </c>
      <c r="P1433">
        <v>150.4499969</v>
      </c>
      <c r="Q1433">
        <f t="shared" si="249"/>
        <v>2.5212926064736019E-2</v>
      </c>
      <c r="R1433">
        <v>394.7999878</v>
      </c>
      <c r="S1433">
        <f t="shared" si="250"/>
        <v>1.7656851100880111E-2</v>
      </c>
      <c r="T1433">
        <v>4072.75</v>
      </c>
      <c r="U1433">
        <f t="shared" si="251"/>
        <v>9.8310291858672016E-4</v>
      </c>
      <c r="W1433">
        <f t="shared" si="252"/>
        <v>7.6099799372996817E-3</v>
      </c>
      <c r="X1433">
        <v>7.6099799372996817E-3</v>
      </c>
    </row>
    <row r="1434" spans="1:24" x14ac:dyDescent="0.35">
      <c r="A1434" s="1">
        <v>44929</v>
      </c>
      <c r="B1434">
        <v>2360.15625</v>
      </c>
      <c r="C1434">
        <f t="shared" si="242"/>
        <v>-7.3178885441625985E-3</v>
      </c>
      <c r="D1434">
        <v>3311.3500979999999</v>
      </c>
      <c r="E1434">
        <f t="shared" si="243"/>
        <v>1.5299988578607371E-2</v>
      </c>
      <c r="F1434">
        <v>1639.349976</v>
      </c>
      <c r="G1434">
        <f t="shared" si="244"/>
        <v>6.5389729971201405E-3</v>
      </c>
      <c r="H1434">
        <v>817.59997559999999</v>
      </c>
      <c r="I1434">
        <f t="shared" si="245"/>
        <v>5.0399208358942182E-3</v>
      </c>
      <c r="J1434">
        <v>1522.5500489999999</v>
      </c>
      <c r="K1434">
        <f t="shared" si="246"/>
        <v>-9.5141141732291157E-4</v>
      </c>
      <c r="L1434">
        <v>331.10000609999997</v>
      </c>
      <c r="M1434">
        <f t="shared" si="247"/>
        <v>-5.257623457799343E-3</v>
      </c>
      <c r="N1434">
        <v>1009.099976</v>
      </c>
      <c r="O1434">
        <f t="shared" si="248"/>
        <v>1.2136385155466334E-2</v>
      </c>
      <c r="P1434">
        <v>149.5500031</v>
      </c>
      <c r="Q1434">
        <f t="shared" si="249"/>
        <v>-5.9820127520388011E-3</v>
      </c>
      <c r="R1434">
        <v>393.89999390000003</v>
      </c>
      <c r="S1434">
        <f t="shared" si="250"/>
        <v>-2.2796198779415633E-3</v>
      </c>
      <c r="T1434">
        <v>4060.8999020000001</v>
      </c>
      <c r="U1434">
        <f t="shared" si="251"/>
        <v>-2.9096060401447854E-3</v>
      </c>
      <c r="W1434">
        <f t="shared" si="252"/>
        <v>1.431710547767806E-3</v>
      </c>
      <c r="X1434">
        <v>7.6412430204891102E-3</v>
      </c>
    </row>
    <row r="1435" spans="1:24" x14ac:dyDescent="0.35">
      <c r="A1435" s="1">
        <v>44930</v>
      </c>
      <c r="B1435">
        <v>2324.6208499999998</v>
      </c>
      <c r="C1435">
        <f t="shared" si="242"/>
        <v>-1.5056376034425778E-2</v>
      </c>
      <c r="D1435">
        <v>3314.6499020000001</v>
      </c>
      <c r="E1435">
        <f t="shared" si="243"/>
        <v>9.9651317509241721E-4</v>
      </c>
      <c r="F1435">
        <v>1610.0500489999999</v>
      </c>
      <c r="G1435">
        <f t="shared" si="244"/>
        <v>-1.7872893176533067E-2</v>
      </c>
      <c r="H1435">
        <v>811.79998780000005</v>
      </c>
      <c r="I1435">
        <f t="shared" si="245"/>
        <v>-7.093918753781292E-3</v>
      </c>
      <c r="J1435">
        <v>1494.8000489999999</v>
      </c>
      <c r="K1435">
        <f t="shared" si="246"/>
        <v>-1.8226001843568929E-2</v>
      </c>
      <c r="L1435">
        <v>327</v>
      </c>
      <c r="M1435">
        <f t="shared" si="247"/>
        <v>-1.2382984066637737E-2</v>
      </c>
      <c r="N1435">
        <v>1004.099976</v>
      </c>
      <c r="O1435">
        <f t="shared" si="248"/>
        <v>-4.9549104339687844E-3</v>
      </c>
      <c r="P1435">
        <v>146.25</v>
      </c>
      <c r="Q1435">
        <f t="shared" si="249"/>
        <v>-2.2066218867233145E-2</v>
      </c>
      <c r="R1435">
        <v>385.60000609999997</v>
      </c>
      <c r="S1435">
        <f t="shared" si="250"/>
        <v>-2.1071307257006899E-2</v>
      </c>
      <c r="T1435">
        <v>3924.1999510000001</v>
      </c>
      <c r="U1435">
        <f t="shared" si="251"/>
        <v>-3.366247735697081E-2</v>
      </c>
      <c r="W1435">
        <f t="shared" si="252"/>
        <v>-1.5139057461503404E-2</v>
      </c>
      <c r="X1435">
        <v>7.6715972226875781E-3</v>
      </c>
    </row>
    <row r="1436" spans="1:24" x14ac:dyDescent="0.35">
      <c r="A1436" s="1">
        <v>44931</v>
      </c>
      <c r="B1436">
        <v>2320.4672850000002</v>
      </c>
      <c r="C1436">
        <f t="shared" si="242"/>
        <v>-1.7867709480450245E-3</v>
      </c>
      <c r="D1436">
        <v>3311.1000979999999</v>
      </c>
      <c r="E1436">
        <f t="shared" si="243"/>
        <v>-1.0709438718877751E-3</v>
      </c>
      <c r="F1436">
        <v>1599.6999510000001</v>
      </c>
      <c r="G1436">
        <f t="shared" si="244"/>
        <v>-6.4284324617289723E-3</v>
      </c>
      <c r="H1436">
        <v>807.09997559999999</v>
      </c>
      <c r="I1436">
        <f t="shared" si="245"/>
        <v>-5.7896184659194105E-3</v>
      </c>
      <c r="J1436">
        <v>1475.1999510000001</v>
      </c>
      <c r="K1436">
        <f t="shared" si="246"/>
        <v>-1.3112187153801691E-2</v>
      </c>
      <c r="L1436">
        <v>333.4500122</v>
      </c>
      <c r="M1436">
        <f t="shared" si="247"/>
        <v>1.9724807951070344E-2</v>
      </c>
      <c r="N1436">
        <v>1016.200012</v>
      </c>
      <c r="O1436">
        <f t="shared" si="248"/>
        <v>1.205062871149809E-2</v>
      </c>
      <c r="P1436">
        <v>146.5</v>
      </c>
      <c r="Q1436">
        <f t="shared" si="249"/>
        <v>1.7094017094017033E-3</v>
      </c>
      <c r="R1436">
        <v>386.89999390000003</v>
      </c>
      <c r="S1436">
        <f t="shared" si="250"/>
        <v>3.3713376022688202E-3</v>
      </c>
      <c r="T1436">
        <v>3857.8000489999999</v>
      </c>
      <c r="U1436">
        <f t="shared" si="251"/>
        <v>-1.6920621484407206E-2</v>
      </c>
      <c r="W1436">
        <f t="shared" si="252"/>
        <v>-8.2523984115511211E-4</v>
      </c>
      <c r="X1436">
        <v>7.6748885883156535E-3</v>
      </c>
    </row>
    <row r="1437" spans="1:24" x14ac:dyDescent="0.35">
      <c r="A1437" s="1">
        <v>44932</v>
      </c>
      <c r="B1437">
        <v>2341.5578609999998</v>
      </c>
      <c r="C1437">
        <f t="shared" si="242"/>
        <v>9.0889348608074183E-3</v>
      </c>
      <c r="D1437">
        <v>3211.5500489999999</v>
      </c>
      <c r="E1437">
        <f t="shared" si="243"/>
        <v>-3.0065551041519756E-2</v>
      </c>
      <c r="F1437">
        <v>1594.400024</v>
      </c>
      <c r="G1437">
        <f t="shared" si="244"/>
        <v>-3.3130756781526438E-3</v>
      </c>
      <c r="H1437">
        <v>796</v>
      </c>
      <c r="I1437">
        <f t="shared" si="245"/>
        <v>-1.3752912818202234E-2</v>
      </c>
      <c r="J1437">
        <v>1448.5</v>
      </c>
      <c r="K1437">
        <f t="shared" si="246"/>
        <v>-1.809920816625632E-2</v>
      </c>
      <c r="L1437">
        <v>335.0499878</v>
      </c>
      <c r="M1437">
        <f t="shared" si="247"/>
        <v>4.7982472378509389E-3</v>
      </c>
      <c r="N1437">
        <v>1008.700012</v>
      </c>
      <c r="O1437">
        <f t="shared" si="248"/>
        <v>-7.380436834712456E-3</v>
      </c>
      <c r="P1437">
        <v>147.3500061</v>
      </c>
      <c r="Q1437">
        <f t="shared" si="249"/>
        <v>5.8020894197952089E-3</v>
      </c>
      <c r="R1437">
        <v>382</v>
      </c>
      <c r="S1437">
        <f t="shared" si="250"/>
        <v>-1.2664755692052276E-2</v>
      </c>
      <c r="T1437">
        <v>3842.5</v>
      </c>
      <c r="U1437">
        <f t="shared" si="251"/>
        <v>-3.9660036304800528E-3</v>
      </c>
      <c r="W1437">
        <f t="shared" si="252"/>
        <v>-6.9552672342922178E-3</v>
      </c>
      <c r="X1437">
        <v>7.6772482634570715E-3</v>
      </c>
    </row>
    <row r="1438" spans="1:24" x14ac:dyDescent="0.35">
      <c r="A1438" s="1">
        <v>44935</v>
      </c>
      <c r="B1438">
        <v>2396.8454590000001</v>
      </c>
      <c r="C1438">
        <f t="shared" si="242"/>
        <v>2.3611459242945498E-2</v>
      </c>
      <c r="D1438">
        <v>3319.9499510000001</v>
      </c>
      <c r="E1438">
        <f t="shared" si="243"/>
        <v>3.3753141114445162E-2</v>
      </c>
      <c r="F1438">
        <v>1597.5</v>
      </c>
      <c r="G1438">
        <f t="shared" si="244"/>
        <v>1.9442899857857743E-3</v>
      </c>
      <c r="H1438">
        <v>819.40002440000001</v>
      </c>
      <c r="I1438">
        <f t="shared" si="245"/>
        <v>2.939701557788954E-2</v>
      </c>
      <c r="J1438">
        <v>1484.4499510000001</v>
      </c>
      <c r="K1438">
        <f t="shared" si="246"/>
        <v>2.4818744218156663E-2</v>
      </c>
      <c r="L1438">
        <v>338.0499878</v>
      </c>
      <c r="M1438">
        <f t="shared" si="247"/>
        <v>8.9538878055139826E-3</v>
      </c>
      <c r="N1438">
        <v>1016.849976</v>
      </c>
      <c r="O1438">
        <f t="shared" si="248"/>
        <v>8.0796707673678192E-3</v>
      </c>
      <c r="P1438">
        <v>148.1499939</v>
      </c>
      <c r="Q1438">
        <f t="shared" si="249"/>
        <v>5.4291670640114198E-3</v>
      </c>
      <c r="R1438">
        <v>389.4500122</v>
      </c>
      <c r="S1438">
        <f t="shared" si="250"/>
        <v>1.9502649738219802E-2</v>
      </c>
      <c r="T1438">
        <v>3879.5500489999999</v>
      </c>
      <c r="U1438">
        <f t="shared" si="251"/>
        <v>9.6421728041640176E-3</v>
      </c>
      <c r="W1438">
        <f t="shared" si="252"/>
        <v>1.6513219831849967E-2</v>
      </c>
      <c r="X1438">
        <v>7.7259510649098761E-3</v>
      </c>
    </row>
    <row r="1439" spans="1:24" x14ac:dyDescent="0.35">
      <c r="A1439" s="1">
        <v>44936</v>
      </c>
      <c r="B1439">
        <v>2361.4023440000001</v>
      </c>
      <c r="C1439">
        <f t="shared" si="242"/>
        <v>-1.4787401026175262E-2</v>
      </c>
      <c r="D1439">
        <v>3286.3999020000001</v>
      </c>
      <c r="E1439">
        <f t="shared" si="243"/>
        <v>-1.0105588787534092E-2</v>
      </c>
      <c r="F1439">
        <v>1568.3000489999999</v>
      </c>
      <c r="G1439">
        <f t="shared" si="244"/>
        <v>-1.8278529577464786E-2</v>
      </c>
      <c r="H1439">
        <v>792.84997559999999</v>
      </c>
      <c r="I1439">
        <f t="shared" si="245"/>
        <v>-3.2401815974366199E-2</v>
      </c>
      <c r="J1439">
        <v>1469.75</v>
      </c>
      <c r="K1439">
        <f t="shared" si="246"/>
        <v>-9.9026248679502382E-3</v>
      </c>
      <c r="L1439">
        <v>333.39999390000003</v>
      </c>
      <c r="M1439">
        <f t="shared" si="247"/>
        <v>-1.3755344084647736E-2</v>
      </c>
      <c r="N1439">
        <v>1011.849976</v>
      </c>
      <c r="O1439">
        <f t="shared" si="248"/>
        <v>-4.9171462044662606E-3</v>
      </c>
      <c r="P1439">
        <v>149.3500061</v>
      </c>
      <c r="Q1439">
        <f t="shared" si="249"/>
        <v>8.099981433748793E-3</v>
      </c>
      <c r="R1439">
        <v>412.89999390000003</v>
      </c>
      <c r="S1439">
        <f t="shared" si="250"/>
        <v>6.0213072192580652E-2</v>
      </c>
      <c r="T1439">
        <v>3877.3999020000001</v>
      </c>
      <c r="U1439">
        <f t="shared" si="251"/>
        <v>-5.5422586971243248E-4</v>
      </c>
      <c r="W1439">
        <f t="shared" si="252"/>
        <v>-3.6389622765987555E-3</v>
      </c>
      <c r="X1439">
        <v>7.7471485863088727E-3</v>
      </c>
    </row>
    <row r="1440" spans="1:24" x14ac:dyDescent="0.35">
      <c r="A1440" s="1">
        <v>44937</v>
      </c>
      <c r="B1440">
        <v>2331.6357419999999</v>
      </c>
      <c r="C1440">
        <f t="shared" si="242"/>
        <v>-1.2605476604032773E-2</v>
      </c>
      <c r="D1440">
        <v>3328.6999510000001</v>
      </c>
      <c r="E1440">
        <f t="shared" si="243"/>
        <v>1.2871242168141839E-2</v>
      </c>
      <c r="F1440">
        <v>1590.900024</v>
      </c>
      <c r="G1440">
        <f t="shared" si="244"/>
        <v>1.4410491802516079E-2</v>
      </c>
      <c r="H1440">
        <v>765.54998780000005</v>
      </c>
      <c r="I1440">
        <f t="shared" si="245"/>
        <v>-3.4432728309463978E-2</v>
      </c>
      <c r="J1440">
        <v>1471.25</v>
      </c>
      <c r="K1440">
        <f t="shared" si="246"/>
        <v>1.0205817315869226E-3</v>
      </c>
      <c r="L1440">
        <v>331.7999878</v>
      </c>
      <c r="M1440">
        <f t="shared" si="247"/>
        <v>-4.7990585761076288E-3</v>
      </c>
      <c r="N1440">
        <v>1028</v>
      </c>
      <c r="O1440">
        <f t="shared" si="248"/>
        <v>1.5960887861897755E-2</v>
      </c>
      <c r="P1440">
        <v>146.8000031</v>
      </c>
      <c r="Q1440">
        <f t="shared" si="249"/>
        <v>-1.7074006667884611E-2</v>
      </c>
      <c r="R1440">
        <v>418.2000122</v>
      </c>
      <c r="S1440">
        <f t="shared" si="250"/>
        <v>1.2836082291838302E-2</v>
      </c>
      <c r="T1440">
        <v>3872.8999020000001</v>
      </c>
      <c r="U1440">
        <f t="shared" si="251"/>
        <v>-1.1605715463289812E-3</v>
      </c>
      <c r="W1440">
        <f t="shared" si="252"/>
        <v>-1.2972555847837078E-3</v>
      </c>
      <c r="X1440">
        <v>7.7604438525276116E-3</v>
      </c>
    </row>
    <row r="1441" spans="1:24" x14ac:dyDescent="0.35">
      <c r="A1441" s="1">
        <v>44938</v>
      </c>
      <c r="B1441">
        <v>2281.2858890000002</v>
      </c>
      <c r="C1441">
        <f t="shared" si="242"/>
        <v>-2.1594219068202802E-2</v>
      </c>
      <c r="D1441">
        <v>3334.3500979999999</v>
      </c>
      <c r="E1441">
        <f t="shared" si="243"/>
        <v>1.6974035158388023E-3</v>
      </c>
      <c r="F1441">
        <v>1599.400024</v>
      </c>
      <c r="G1441">
        <f t="shared" si="244"/>
        <v>5.3428875930421338E-3</v>
      </c>
      <c r="H1441">
        <v>756.90002440000001</v>
      </c>
      <c r="I1441">
        <f t="shared" si="245"/>
        <v>-1.1299018402257333E-2</v>
      </c>
      <c r="J1441">
        <v>1480.599976</v>
      </c>
      <c r="K1441">
        <f t="shared" si="246"/>
        <v>6.3551238742565186E-3</v>
      </c>
      <c r="L1441">
        <v>329.85000609999997</v>
      </c>
      <c r="M1441">
        <f t="shared" si="247"/>
        <v>-5.8769794204315273E-3</v>
      </c>
      <c r="N1441">
        <v>1032.849976</v>
      </c>
      <c r="O1441">
        <f t="shared" si="248"/>
        <v>4.7178754863812511E-3</v>
      </c>
      <c r="P1441">
        <v>146.1499939</v>
      </c>
      <c r="Q1441">
        <f t="shared" si="249"/>
        <v>-4.4278554923272706E-3</v>
      </c>
      <c r="R1441">
        <v>412.25</v>
      </c>
      <c r="S1441">
        <f t="shared" si="250"/>
        <v>-1.4227671034008682E-2</v>
      </c>
      <c r="T1441">
        <v>3911.8000489999999</v>
      </c>
      <c r="U1441">
        <f t="shared" si="251"/>
        <v>1.0044191170526018E-2</v>
      </c>
      <c r="W1441">
        <f t="shared" si="252"/>
        <v>-2.9268261777182897E-3</v>
      </c>
      <c r="X1441">
        <v>7.7626265976144197E-3</v>
      </c>
    </row>
    <row r="1442" spans="1:24" x14ac:dyDescent="0.35">
      <c r="A1442" s="1">
        <v>44939</v>
      </c>
      <c r="B1442">
        <v>2277.5939939999998</v>
      </c>
      <c r="C1442">
        <f t="shared" si="242"/>
        <v>-1.6183394715244548E-3</v>
      </c>
      <c r="D1442">
        <v>3374.5500489999999</v>
      </c>
      <c r="E1442">
        <f t="shared" si="243"/>
        <v>1.2056307771674213E-2</v>
      </c>
      <c r="F1442">
        <v>1600.650024</v>
      </c>
      <c r="G1442">
        <f t="shared" si="244"/>
        <v>7.8154306692690412E-4</v>
      </c>
      <c r="H1442">
        <v>764.29998780000005</v>
      </c>
      <c r="I1442">
        <f t="shared" si="245"/>
        <v>9.7766721646839194E-3</v>
      </c>
      <c r="J1442">
        <v>1503.650024</v>
      </c>
      <c r="K1442">
        <f t="shared" si="246"/>
        <v>1.5568045639357875E-2</v>
      </c>
      <c r="L1442">
        <v>328.75</v>
      </c>
      <c r="M1442">
        <f t="shared" si="247"/>
        <v>-3.3348676054487658E-3</v>
      </c>
      <c r="N1442">
        <v>1031.599976</v>
      </c>
      <c r="O1442">
        <f t="shared" si="248"/>
        <v>-1.2102435291144742E-3</v>
      </c>
      <c r="P1442">
        <v>146.9499969</v>
      </c>
      <c r="Q1442">
        <f t="shared" si="249"/>
        <v>5.4738490139616403E-3</v>
      </c>
      <c r="R1442">
        <v>411.5</v>
      </c>
      <c r="S1442">
        <f t="shared" si="250"/>
        <v>-1.8192844147968401E-3</v>
      </c>
      <c r="T1442">
        <v>3863.6999510000001</v>
      </c>
      <c r="U1442">
        <f t="shared" si="251"/>
        <v>-1.2296154557361882E-2</v>
      </c>
      <c r="W1442">
        <f t="shared" si="252"/>
        <v>2.3377528078358132E-3</v>
      </c>
      <c r="X1442">
        <v>7.7652166928194296E-3</v>
      </c>
    </row>
    <row r="1443" spans="1:24" x14ac:dyDescent="0.35">
      <c r="A1443" s="1">
        <v>44942</v>
      </c>
      <c r="B1443">
        <v>2255.9035640000002</v>
      </c>
      <c r="C1443">
        <f t="shared" si="242"/>
        <v>-9.5233962054431798E-3</v>
      </c>
      <c r="D1443">
        <v>3334.0500489999999</v>
      </c>
      <c r="E1443">
        <f t="shared" si="243"/>
        <v>-1.2001600039093119E-2</v>
      </c>
      <c r="F1443">
        <v>1585.3000489999999</v>
      </c>
      <c r="G1443">
        <f t="shared" si="244"/>
        <v>-9.5898383593190362E-3</v>
      </c>
      <c r="H1443">
        <v>759.15002440000001</v>
      </c>
      <c r="I1443">
        <f t="shared" si="245"/>
        <v>-6.7381440300999795E-3</v>
      </c>
      <c r="J1443">
        <v>1525.5</v>
      </c>
      <c r="K1443">
        <f t="shared" si="246"/>
        <v>1.45312909594979E-2</v>
      </c>
      <c r="L1443">
        <v>330.2000122</v>
      </c>
      <c r="M1443">
        <f t="shared" si="247"/>
        <v>4.4106834980988108E-3</v>
      </c>
      <c r="N1443">
        <v>1035.4499510000001</v>
      </c>
      <c r="O1443">
        <f t="shared" si="248"/>
        <v>3.7320425451425887E-3</v>
      </c>
      <c r="P1443">
        <v>147.6000061</v>
      </c>
      <c r="Q1443">
        <f t="shared" si="249"/>
        <v>4.4233359218259771E-3</v>
      </c>
      <c r="R1443">
        <v>413</v>
      </c>
      <c r="S1443">
        <f t="shared" si="250"/>
        <v>3.6452004860267895E-3</v>
      </c>
      <c r="T1443">
        <v>3678.3500979999999</v>
      </c>
      <c r="U1443">
        <f t="shared" si="251"/>
        <v>-4.7972113608881095E-2</v>
      </c>
      <c r="W1443">
        <f t="shared" si="252"/>
        <v>-5.5082538832244348E-3</v>
      </c>
      <c r="X1443">
        <v>7.7672021080277941E-3</v>
      </c>
    </row>
    <row r="1444" spans="1:24" x14ac:dyDescent="0.35">
      <c r="A1444" s="1">
        <v>44943</v>
      </c>
      <c r="B1444">
        <v>2287.9316410000001</v>
      </c>
      <c r="C1444">
        <f t="shared" si="242"/>
        <v>1.4197449532465933E-2</v>
      </c>
      <c r="D1444">
        <v>3378.3999020000001</v>
      </c>
      <c r="E1444">
        <f t="shared" si="243"/>
        <v>1.330209575387209E-2</v>
      </c>
      <c r="F1444">
        <v>1608.900024</v>
      </c>
      <c r="G1444">
        <f t="shared" si="244"/>
        <v>1.4886755989748979E-2</v>
      </c>
      <c r="H1444">
        <v>765.70001219999995</v>
      </c>
      <c r="I1444">
        <f t="shared" si="245"/>
        <v>8.6280545208132775E-3</v>
      </c>
      <c r="J1444">
        <v>1539.5</v>
      </c>
      <c r="K1444">
        <f t="shared" si="246"/>
        <v>9.1773189118322662E-3</v>
      </c>
      <c r="L1444">
        <v>332.25</v>
      </c>
      <c r="M1444">
        <f t="shared" si="247"/>
        <v>6.2083213938779469E-3</v>
      </c>
      <c r="N1444">
        <v>1032.6999510000001</v>
      </c>
      <c r="O1444">
        <f t="shared" si="248"/>
        <v>-2.6558502391584859E-3</v>
      </c>
      <c r="P1444">
        <v>147.8500061</v>
      </c>
      <c r="Q1444">
        <f t="shared" si="249"/>
        <v>1.6937668676695328E-3</v>
      </c>
      <c r="R1444">
        <v>415.2999878</v>
      </c>
      <c r="S1444">
        <f t="shared" si="250"/>
        <v>5.5689777239709137E-3</v>
      </c>
      <c r="T1444">
        <v>3689.8000489999999</v>
      </c>
      <c r="U1444">
        <f t="shared" si="251"/>
        <v>3.1127953280536413E-3</v>
      </c>
      <c r="W1444">
        <f t="shared" si="252"/>
        <v>7.4119685783146086E-3</v>
      </c>
      <c r="X1444">
        <v>7.7695845087474751E-3</v>
      </c>
    </row>
    <row r="1445" spans="1:24" x14ac:dyDescent="0.35">
      <c r="A1445" s="1">
        <v>44944</v>
      </c>
      <c r="B1445">
        <v>2284.1472170000002</v>
      </c>
      <c r="C1445">
        <f t="shared" si="242"/>
        <v>-1.6540808878126034E-3</v>
      </c>
      <c r="D1445">
        <v>3390</v>
      </c>
      <c r="E1445">
        <f t="shared" si="243"/>
        <v>3.433607132516503E-3</v>
      </c>
      <c r="F1445">
        <v>1637.3000489999999</v>
      </c>
      <c r="G1445">
        <f t="shared" si="244"/>
        <v>1.7651827072133752E-2</v>
      </c>
      <c r="H1445">
        <v>776.54998780000005</v>
      </c>
      <c r="I1445">
        <f t="shared" si="245"/>
        <v>1.4170008393791234E-2</v>
      </c>
      <c r="J1445">
        <v>1545.400024</v>
      </c>
      <c r="K1445">
        <f t="shared" si="246"/>
        <v>3.8324287106203947E-3</v>
      </c>
      <c r="L1445">
        <v>334.64999390000003</v>
      </c>
      <c r="M1445">
        <f t="shared" si="247"/>
        <v>7.2234579382994824E-3</v>
      </c>
      <c r="N1445">
        <v>1040.099976</v>
      </c>
      <c r="O1445">
        <f t="shared" si="248"/>
        <v>7.1657067406987185E-3</v>
      </c>
      <c r="P1445">
        <v>149.25</v>
      </c>
      <c r="Q1445">
        <f t="shared" si="249"/>
        <v>9.469014827453659E-3</v>
      </c>
      <c r="R1445">
        <v>408.39999390000003</v>
      </c>
      <c r="S1445">
        <f t="shared" si="250"/>
        <v>-1.6614481345284426E-2</v>
      </c>
      <c r="T1445">
        <v>3648.6000979999999</v>
      </c>
      <c r="U1445">
        <f t="shared" si="251"/>
        <v>-1.1165903423727808E-2</v>
      </c>
      <c r="W1445">
        <f t="shared" si="252"/>
        <v>3.3511585158688909E-3</v>
      </c>
      <c r="X1445">
        <v>7.7901264701552564E-3</v>
      </c>
    </row>
    <row r="1446" spans="1:24" x14ac:dyDescent="0.35">
      <c r="A1446" s="1">
        <v>44945</v>
      </c>
      <c r="B1446">
        <v>2281.7014159999999</v>
      </c>
      <c r="C1446">
        <f t="shared" si="242"/>
        <v>-1.0707720508543739E-3</v>
      </c>
      <c r="D1446">
        <v>3373.1000979999999</v>
      </c>
      <c r="E1446">
        <f t="shared" si="243"/>
        <v>-4.9852218289085926E-3</v>
      </c>
      <c r="F1446">
        <v>1644.099976</v>
      </c>
      <c r="G1446">
        <f t="shared" si="244"/>
        <v>4.153134304340389E-3</v>
      </c>
      <c r="H1446">
        <v>772</v>
      </c>
      <c r="I1446">
        <f t="shared" si="245"/>
        <v>-5.8592336249857491E-3</v>
      </c>
      <c r="J1446">
        <v>1538.900024</v>
      </c>
      <c r="K1446">
        <f t="shared" si="246"/>
        <v>-4.2060307357676407E-3</v>
      </c>
      <c r="L1446">
        <v>332.14999390000003</v>
      </c>
      <c r="M1446">
        <f t="shared" si="247"/>
        <v>-7.4704916945166344E-3</v>
      </c>
      <c r="N1446">
        <v>1040.5500489999999</v>
      </c>
      <c r="O1446">
        <f t="shared" si="248"/>
        <v>4.3272090220680681E-4</v>
      </c>
      <c r="P1446">
        <v>151.75</v>
      </c>
      <c r="Q1446">
        <f t="shared" si="249"/>
        <v>1.675041876046901E-2</v>
      </c>
      <c r="R1446">
        <v>400.75</v>
      </c>
      <c r="S1446">
        <f t="shared" si="250"/>
        <v>-1.8731620994767217E-2</v>
      </c>
      <c r="T1446">
        <v>3565.1000979999999</v>
      </c>
      <c r="U1446">
        <f t="shared" si="251"/>
        <v>-2.288548971036064E-2</v>
      </c>
      <c r="W1446">
        <f t="shared" si="252"/>
        <v>-4.3872586673144639E-3</v>
      </c>
      <c r="X1446">
        <v>7.7918011804487776E-3</v>
      </c>
    </row>
    <row r="1447" spans="1:24" x14ac:dyDescent="0.35">
      <c r="A1447" s="1">
        <v>44946</v>
      </c>
      <c r="B1447">
        <v>2254.5651859999998</v>
      </c>
      <c r="C1447">
        <f t="shared" si="242"/>
        <v>-1.1892980303957579E-2</v>
      </c>
      <c r="D1447">
        <v>3363.1000979999999</v>
      </c>
      <c r="E1447">
        <f t="shared" si="243"/>
        <v>-2.9646318548118833E-3</v>
      </c>
      <c r="F1447">
        <v>1660.9499510000001</v>
      </c>
      <c r="G1447">
        <f t="shared" si="244"/>
        <v>1.0248753266814736E-2</v>
      </c>
      <c r="H1447">
        <v>764.45001219999995</v>
      </c>
      <c r="I1447">
        <f t="shared" si="245"/>
        <v>-9.7797769430052472E-3</v>
      </c>
      <c r="J1447">
        <v>1525.5500489999999</v>
      </c>
      <c r="K1447">
        <f t="shared" si="246"/>
        <v>-8.6750112364675225E-3</v>
      </c>
      <c r="L1447">
        <v>334.60000609999997</v>
      </c>
      <c r="M1447">
        <f t="shared" si="247"/>
        <v>7.3762223242357372E-3</v>
      </c>
      <c r="N1447">
        <v>1030.349976</v>
      </c>
      <c r="O1447">
        <f t="shared" si="248"/>
        <v>-9.8025779824839621E-3</v>
      </c>
      <c r="P1447">
        <v>151.6000061</v>
      </c>
      <c r="Q1447">
        <f t="shared" si="249"/>
        <v>-9.8842767710050072E-4</v>
      </c>
      <c r="R1447">
        <v>403.14999390000003</v>
      </c>
      <c r="S1447">
        <f t="shared" si="250"/>
        <v>5.9887558328135526E-3</v>
      </c>
      <c r="T1447">
        <v>3513.75</v>
      </c>
      <c r="U1447">
        <f t="shared" si="251"/>
        <v>-1.4403550135606902E-2</v>
      </c>
      <c r="W1447">
        <f t="shared" si="252"/>
        <v>-3.4893224709569575E-3</v>
      </c>
      <c r="X1447">
        <v>7.8219085946633522E-3</v>
      </c>
    </row>
    <row r="1448" spans="1:24" x14ac:dyDescent="0.35">
      <c r="A1448" s="1">
        <v>44949</v>
      </c>
      <c r="B1448">
        <v>2243.1660160000001</v>
      </c>
      <c r="C1448">
        <f t="shared" si="242"/>
        <v>-5.0560392180204472E-3</v>
      </c>
      <c r="D1448">
        <v>3414.8999020000001</v>
      </c>
      <c r="E1448">
        <f t="shared" si="243"/>
        <v>1.5402397338933005E-2</v>
      </c>
      <c r="F1448">
        <v>1673.099976</v>
      </c>
      <c r="G1448">
        <f t="shared" si="244"/>
        <v>7.315106028742635E-3</v>
      </c>
      <c r="H1448">
        <v>772.70001219999995</v>
      </c>
      <c r="I1448">
        <f t="shared" si="245"/>
        <v>1.0792072559796972E-2</v>
      </c>
      <c r="J1448">
        <v>1548</v>
      </c>
      <c r="K1448">
        <f t="shared" si="246"/>
        <v>1.471597147187409E-2</v>
      </c>
      <c r="L1448">
        <v>337.75</v>
      </c>
      <c r="M1448">
        <f t="shared" si="247"/>
        <v>9.4142075390715174E-3</v>
      </c>
      <c r="N1448">
        <v>1049.3000489999999</v>
      </c>
      <c r="O1448">
        <f t="shared" si="248"/>
        <v>1.8391879886839435E-2</v>
      </c>
      <c r="P1448">
        <v>152.3500061</v>
      </c>
      <c r="Q1448">
        <f t="shared" si="249"/>
        <v>4.9472293523871169E-3</v>
      </c>
      <c r="R1448">
        <v>408.39999390000003</v>
      </c>
      <c r="S1448">
        <f t="shared" si="250"/>
        <v>1.3022448417306043E-2</v>
      </c>
      <c r="T1448">
        <v>3434</v>
      </c>
      <c r="U1448">
        <f t="shared" si="251"/>
        <v>-2.2696549270722177E-2</v>
      </c>
      <c r="W1448">
        <f t="shared" si="252"/>
        <v>6.6248724106208199E-3</v>
      </c>
      <c r="X1448">
        <v>7.8443899570257766E-3</v>
      </c>
    </row>
    <row r="1449" spans="1:24" x14ac:dyDescent="0.35">
      <c r="A1449" s="1">
        <v>44950</v>
      </c>
      <c r="B1449">
        <v>2229.921143</v>
      </c>
      <c r="C1449">
        <f t="shared" si="242"/>
        <v>-5.9045442493009803E-3</v>
      </c>
      <c r="D1449">
        <v>3436.3000489999999</v>
      </c>
      <c r="E1449">
        <f t="shared" si="243"/>
        <v>6.266698179781649E-3</v>
      </c>
      <c r="F1449">
        <v>1695.5</v>
      </c>
      <c r="G1449">
        <f t="shared" si="244"/>
        <v>1.3388335617309233E-2</v>
      </c>
      <c r="H1449">
        <v>775.65002440000001</v>
      </c>
      <c r="I1449">
        <f t="shared" si="245"/>
        <v>3.8177975325779379E-3</v>
      </c>
      <c r="J1449">
        <v>1551.900024</v>
      </c>
      <c r="K1449">
        <f t="shared" si="246"/>
        <v>2.5193953488371612E-3</v>
      </c>
      <c r="L1449">
        <v>338.9500122</v>
      </c>
      <c r="M1449">
        <f t="shared" si="247"/>
        <v>3.5529598815691177E-3</v>
      </c>
      <c r="N1449">
        <v>1040.6999510000001</v>
      </c>
      <c r="O1449">
        <f t="shared" si="248"/>
        <v>-8.1960331634368666E-3</v>
      </c>
      <c r="P1449">
        <v>152.1499939</v>
      </c>
      <c r="Q1449">
        <f t="shared" si="249"/>
        <v>-1.3128466819274376E-3</v>
      </c>
      <c r="R1449">
        <v>422.14999390000003</v>
      </c>
      <c r="S1449">
        <f t="shared" si="250"/>
        <v>3.366797307878211E-2</v>
      </c>
      <c r="T1449">
        <v>3513.5</v>
      </c>
      <c r="U1449">
        <f t="shared" si="251"/>
        <v>2.3150844496214296E-2</v>
      </c>
      <c r="W1449">
        <f t="shared" si="252"/>
        <v>7.0950580040406216E-3</v>
      </c>
      <c r="X1449">
        <v>7.8457213842870986E-3</v>
      </c>
    </row>
    <row r="1450" spans="1:24" x14ac:dyDescent="0.35">
      <c r="A1450" s="1">
        <v>44951</v>
      </c>
      <c r="B1450">
        <v>2199.0927729999999</v>
      </c>
      <c r="C1450">
        <f t="shared" si="242"/>
        <v>-1.3824870039361836E-2</v>
      </c>
      <c r="D1450">
        <v>3429.75</v>
      </c>
      <c r="E1450">
        <f t="shared" si="243"/>
        <v>-1.9061341869450743E-3</v>
      </c>
      <c r="F1450">
        <v>1648.650024</v>
      </c>
      <c r="G1450">
        <f t="shared" si="244"/>
        <v>-2.7631952816278393E-2</v>
      </c>
      <c r="H1450">
        <v>776.5</v>
      </c>
      <c r="I1450">
        <f t="shared" si="245"/>
        <v>1.0958235973208552E-3</v>
      </c>
      <c r="J1450">
        <v>1543</v>
      </c>
      <c r="K1450">
        <f t="shared" si="246"/>
        <v>-5.7349209758115194E-3</v>
      </c>
      <c r="L1450">
        <v>339.25</v>
      </c>
      <c r="M1450">
        <f t="shared" si="247"/>
        <v>8.8505027054841534E-4</v>
      </c>
      <c r="N1450">
        <v>1040.0500489999999</v>
      </c>
      <c r="O1450">
        <f t="shared" si="248"/>
        <v>-6.2448547189386527E-4</v>
      </c>
      <c r="P1450">
        <v>152.4499969</v>
      </c>
      <c r="Q1450">
        <f t="shared" si="249"/>
        <v>1.9717582124727517E-3</v>
      </c>
      <c r="R1450">
        <v>419.0499878</v>
      </c>
      <c r="S1450">
        <f t="shared" si="250"/>
        <v>-7.3433759203946902E-3</v>
      </c>
      <c r="T1450">
        <v>3515.1000979999999</v>
      </c>
      <c r="U1450">
        <f t="shared" si="251"/>
        <v>4.5541425928563584E-4</v>
      </c>
      <c r="W1450">
        <f t="shared" si="252"/>
        <v>-5.2657693071057714E-3</v>
      </c>
      <c r="X1450">
        <v>7.8994299223595129E-3</v>
      </c>
    </row>
    <row r="1451" spans="1:24" x14ac:dyDescent="0.35">
      <c r="A1451" s="1">
        <v>44953</v>
      </c>
      <c r="B1451">
        <v>2157.3732909999999</v>
      </c>
      <c r="C1451">
        <f t="shared" si="242"/>
        <v>-1.8971224184910707E-2</v>
      </c>
      <c r="D1451">
        <v>3411.0500489999999</v>
      </c>
      <c r="E1451">
        <f t="shared" si="243"/>
        <v>-5.4522781543844268E-3</v>
      </c>
      <c r="F1451">
        <v>1615.8000489999999</v>
      </c>
      <c r="G1451">
        <f t="shared" si="244"/>
        <v>-1.9925378049792886E-2</v>
      </c>
      <c r="H1451">
        <v>774.5</v>
      </c>
      <c r="I1451">
        <f t="shared" si="245"/>
        <v>-2.5756600128783447E-3</v>
      </c>
      <c r="J1451">
        <v>1519.150024</v>
      </c>
      <c r="K1451">
        <f t="shared" si="246"/>
        <v>-1.5456886584575447E-2</v>
      </c>
      <c r="L1451">
        <v>346</v>
      </c>
      <c r="M1451">
        <f t="shared" si="247"/>
        <v>1.9896831245394209E-2</v>
      </c>
      <c r="N1451">
        <v>1043.400024</v>
      </c>
      <c r="O1451">
        <f t="shared" si="248"/>
        <v>3.2209748013771744E-3</v>
      </c>
      <c r="P1451">
        <v>147.6499939</v>
      </c>
      <c r="Q1451">
        <f t="shared" si="249"/>
        <v>-3.1485753346053413E-2</v>
      </c>
      <c r="R1451">
        <v>445.60000609999997</v>
      </c>
      <c r="S1451">
        <f t="shared" si="250"/>
        <v>6.335764007388911E-2</v>
      </c>
      <c r="T1451">
        <v>3562.3500979999999</v>
      </c>
      <c r="U1451">
        <f t="shared" si="251"/>
        <v>1.3442006965003417E-2</v>
      </c>
      <c r="W1451">
        <f t="shared" si="252"/>
        <v>6.050272753068684E-4</v>
      </c>
      <c r="X1451">
        <v>7.9121033472950748E-3</v>
      </c>
    </row>
    <row r="1452" spans="1:24" x14ac:dyDescent="0.35">
      <c r="A1452" s="1">
        <v>44956</v>
      </c>
      <c r="B1452">
        <v>2178.0485840000001</v>
      </c>
      <c r="C1452">
        <f t="shared" si="242"/>
        <v>9.5835491642786153E-3</v>
      </c>
      <c r="D1452">
        <v>3433.6499020000001</v>
      </c>
      <c r="E1452">
        <f t="shared" si="243"/>
        <v>6.6254826740597128E-3</v>
      </c>
      <c r="F1452">
        <v>1614.150024</v>
      </c>
      <c r="G1452">
        <f t="shared" si="244"/>
        <v>-1.0211814271333663E-3</v>
      </c>
      <c r="H1452">
        <v>770.20001219999995</v>
      </c>
      <c r="I1452">
        <f t="shared" si="245"/>
        <v>-5.5519532601678856E-3</v>
      </c>
      <c r="J1452">
        <v>1538.8000489999999</v>
      </c>
      <c r="K1452">
        <f t="shared" si="246"/>
        <v>1.2934881143773058E-2</v>
      </c>
      <c r="L1452">
        <v>344.7999878</v>
      </c>
      <c r="M1452">
        <f t="shared" si="247"/>
        <v>-3.468243352601208E-3</v>
      </c>
      <c r="N1452">
        <v>1051.6999510000001</v>
      </c>
      <c r="O1452">
        <f t="shared" si="248"/>
        <v>7.9546931273599686E-3</v>
      </c>
      <c r="P1452">
        <v>144.8999939</v>
      </c>
      <c r="Q1452">
        <f t="shared" si="249"/>
        <v>-1.8625127758979176E-2</v>
      </c>
      <c r="R1452">
        <v>443.64999390000003</v>
      </c>
      <c r="S1452">
        <f t="shared" si="250"/>
        <v>-4.3761494014933344E-3</v>
      </c>
      <c r="T1452">
        <v>3546.3000489999999</v>
      </c>
      <c r="U1452">
        <f t="shared" si="251"/>
        <v>-4.5054664921931886E-3</v>
      </c>
      <c r="W1452">
        <f t="shared" si="252"/>
        <v>-4.4951558309680494E-5</v>
      </c>
      <c r="X1452">
        <v>7.918691189641492E-3</v>
      </c>
    </row>
    <row r="1453" spans="1:24" x14ac:dyDescent="0.35">
      <c r="A1453" s="1">
        <v>44957</v>
      </c>
      <c r="B1453">
        <v>2172.6027829999998</v>
      </c>
      <c r="C1453">
        <f t="shared" si="242"/>
        <v>-2.5003119948771024E-3</v>
      </c>
      <c r="D1453">
        <v>3358.6999510000001</v>
      </c>
      <c r="E1453">
        <f t="shared" si="243"/>
        <v>-2.1828070169979785E-2</v>
      </c>
      <c r="F1453">
        <v>1603.5</v>
      </c>
      <c r="G1453">
        <f t="shared" si="244"/>
        <v>-6.5979145938419581E-3</v>
      </c>
      <c r="H1453">
        <v>770.29998780000005</v>
      </c>
      <c r="I1453">
        <f t="shared" si="245"/>
        <v>1.2980472398926857E-4</v>
      </c>
      <c r="J1453">
        <v>1533.75</v>
      </c>
      <c r="K1453">
        <f t="shared" si="246"/>
        <v>-3.2818097473299446E-3</v>
      </c>
      <c r="L1453">
        <v>352.35000609999997</v>
      </c>
      <c r="M1453">
        <f t="shared" si="247"/>
        <v>2.1896805589155965E-2</v>
      </c>
      <c r="N1453">
        <v>1034.5</v>
      </c>
      <c r="O1453">
        <f t="shared" si="248"/>
        <v>-1.6354427879972433E-2</v>
      </c>
      <c r="P1453">
        <v>144.8999939</v>
      </c>
      <c r="Q1453">
        <f t="shared" si="249"/>
        <v>0</v>
      </c>
      <c r="R1453">
        <v>452.10000609999997</v>
      </c>
      <c r="S1453">
        <f t="shared" si="250"/>
        <v>1.9046573461476424E-2</v>
      </c>
      <c r="T1453">
        <v>3502.3000489999999</v>
      </c>
      <c r="U1453">
        <f t="shared" si="251"/>
        <v>-1.2407297575513176E-2</v>
      </c>
      <c r="W1453">
        <f t="shared" si="252"/>
        <v>-2.1896648186892744E-3</v>
      </c>
      <c r="X1453">
        <v>7.9329160968316433E-3</v>
      </c>
    </row>
    <row r="1454" spans="1:24" x14ac:dyDescent="0.35">
      <c r="A1454" s="1">
        <v>44958</v>
      </c>
      <c r="B1454">
        <v>2159.7270509999998</v>
      </c>
      <c r="C1454">
        <f t="shared" si="242"/>
        <v>-5.9264086839752039E-3</v>
      </c>
      <c r="D1454">
        <v>3408.3500979999999</v>
      </c>
      <c r="E1454">
        <f t="shared" si="243"/>
        <v>1.4782549118511623E-2</v>
      </c>
      <c r="F1454">
        <v>1627.5500489999999</v>
      </c>
      <c r="G1454">
        <f t="shared" si="244"/>
        <v>1.4998471468662178E-2</v>
      </c>
      <c r="H1454">
        <v>769.09997559999999</v>
      </c>
      <c r="I1454">
        <f t="shared" si="245"/>
        <v>-1.557850472550748E-3</v>
      </c>
      <c r="J1454">
        <v>1551.099976</v>
      </c>
      <c r="K1454">
        <f t="shared" si="246"/>
        <v>1.1312127791361037E-2</v>
      </c>
      <c r="L1454">
        <v>361.39999390000003</v>
      </c>
      <c r="M1454">
        <f t="shared" si="247"/>
        <v>2.5684653450613437E-2</v>
      </c>
      <c r="N1454">
        <v>1014.900024</v>
      </c>
      <c r="O1454">
        <f t="shared" si="248"/>
        <v>-1.8946327694538412E-2</v>
      </c>
      <c r="P1454">
        <v>144.25</v>
      </c>
      <c r="Q1454">
        <f t="shared" si="249"/>
        <v>-4.4858104027842849E-3</v>
      </c>
      <c r="R1454">
        <v>446.64999390000003</v>
      </c>
      <c r="S1454">
        <f t="shared" si="250"/>
        <v>-1.2054881943077134E-2</v>
      </c>
      <c r="T1454">
        <v>3551.3500979999999</v>
      </c>
      <c r="U1454">
        <f t="shared" si="251"/>
        <v>1.4005096169303011E-2</v>
      </c>
      <c r="W1454">
        <f t="shared" si="252"/>
        <v>3.7811618801525506E-3</v>
      </c>
      <c r="X1454">
        <v>7.936003232430466E-3</v>
      </c>
    </row>
    <row r="1455" spans="1:24" x14ac:dyDescent="0.35">
      <c r="A1455" s="1">
        <v>44959</v>
      </c>
      <c r="B1455">
        <v>2147.7741700000001</v>
      </c>
      <c r="C1455">
        <f t="shared" si="242"/>
        <v>-5.5344405648228845E-3</v>
      </c>
      <c r="D1455">
        <v>3460.3999020000001</v>
      </c>
      <c r="E1455">
        <f t="shared" si="243"/>
        <v>1.5271261021730931E-2</v>
      </c>
      <c r="F1455">
        <v>1603.349976</v>
      </c>
      <c r="G1455">
        <f t="shared" si="244"/>
        <v>-1.4869019244519666E-2</v>
      </c>
      <c r="H1455">
        <v>777.75</v>
      </c>
      <c r="I1455">
        <f t="shared" si="245"/>
        <v>1.1246944057242914E-2</v>
      </c>
      <c r="J1455">
        <v>1583.75</v>
      </c>
      <c r="K1455">
        <f t="shared" si="246"/>
        <v>2.1049593517626475E-2</v>
      </c>
      <c r="L1455">
        <v>378.60000609999997</v>
      </c>
      <c r="M1455">
        <f t="shared" si="247"/>
        <v>4.7592729635626885E-2</v>
      </c>
      <c r="N1455">
        <v>1007.599976</v>
      </c>
      <c r="O1455">
        <f t="shared" si="248"/>
        <v>-7.1928740047010331E-3</v>
      </c>
      <c r="P1455">
        <v>143.4499969</v>
      </c>
      <c r="Q1455">
        <f t="shared" si="249"/>
        <v>-5.545948700173331E-3</v>
      </c>
      <c r="R1455">
        <v>444.7999878</v>
      </c>
      <c r="S1455">
        <f t="shared" si="250"/>
        <v>-4.1419593087786977E-3</v>
      </c>
      <c r="T1455">
        <v>3502.8999020000001</v>
      </c>
      <c r="U1455">
        <f t="shared" si="251"/>
        <v>-1.3642754069018825E-2</v>
      </c>
      <c r="W1455">
        <f t="shared" si="252"/>
        <v>4.4233532340212777E-3</v>
      </c>
      <c r="X1455">
        <v>7.9388270489341179E-3</v>
      </c>
    </row>
    <row r="1456" spans="1:24" x14ac:dyDescent="0.35">
      <c r="A1456" s="1">
        <v>44960</v>
      </c>
      <c r="B1456">
        <v>2149.66626</v>
      </c>
      <c r="C1456">
        <f t="shared" si="242"/>
        <v>8.8095388538911301E-4</v>
      </c>
      <c r="D1456">
        <v>3482.3000489999999</v>
      </c>
      <c r="E1456">
        <f t="shared" si="243"/>
        <v>6.3287907814764122E-3</v>
      </c>
      <c r="F1456">
        <v>1658.8000489999999</v>
      </c>
      <c r="G1456">
        <f t="shared" si="244"/>
        <v>3.4583886132169006E-2</v>
      </c>
      <c r="H1456">
        <v>792.90002440000001</v>
      </c>
      <c r="I1456">
        <f t="shared" si="245"/>
        <v>1.94792984892318E-2</v>
      </c>
      <c r="J1456">
        <v>1599.400024</v>
      </c>
      <c r="K1456">
        <f t="shared" si="246"/>
        <v>9.8816252565114837E-3</v>
      </c>
      <c r="L1456">
        <v>380.64999390000003</v>
      </c>
      <c r="M1456">
        <f t="shared" si="247"/>
        <v>5.4146533728756108E-3</v>
      </c>
      <c r="N1456">
        <v>1028.150024</v>
      </c>
      <c r="O1456">
        <f t="shared" si="248"/>
        <v>2.0395046138826034E-2</v>
      </c>
      <c r="P1456">
        <v>144.3000031</v>
      </c>
      <c r="Q1456">
        <f t="shared" si="249"/>
        <v>5.9254528990513311E-3</v>
      </c>
      <c r="R1456">
        <v>445.4500122</v>
      </c>
      <c r="S1456">
        <f t="shared" si="250"/>
        <v>1.4613858314498351E-3</v>
      </c>
      <c r="T1456">
        <v>3470.3500979999999</v>
      </c>
      <c r="U1456">
        <f t="shared" si="251"/>
        <v>-9.2922449714922806E-3</v>
      </c>
      <c r="W1456">
        <f t="shared" si="252"/>
        <v>9.5058847815488352E-3</v>
      </c>
      <c r="X1456">
        <v>7.9449339516745269E-3</v>
      </c>
    </row>
    <row r="1457" spans="1:24" x14ac:dyDescent="0.35">
      <c r="A1457" s="1">
        <v>44963</v>
      </c>
      <c r="B1457">
        <v>2133.467529</v>
      </c>
      <c r="C1457">
        <f t="shared" si="242"/>
        <v>-7.5354632025530499E-3</v>
      </c>
      <c r="D1457">
        <v>3459.9499510000001</v>
      </c>
      <c r="E1457">
        <f t="shared" si="243"/>
        <v>-6.4181999498917897E-3</v>
      </c>
      <c r="F1457">
        <v>1651.75</v>
      </c>
      <c r="G1457">
        <f t="shared" si="244"/>
        <v>-4.2500896984238867E-3</v>
      </c>
      <c r="H1457">
        <v>789.25</v>
      </c>
      <c r="I1457">
        <f t="shared" si="245"/>
        <v>-4.6033854050667733E-3</v>
      </c>
      <c r="J1457">
        <v>1569.849976</v>
      </c>
      <c r="K1457">
        <f t="shared" si="246"/>
        <v>-1.847570811340693E-2</v>
      </c>
      <c r="L1457">
        <v>383.39999390000003</v>
      </c>
      <c r="M1457">
        <f t="shared" si="247"/>
        <v>7.224484550293786E-3</v>
      </c>
      <c r="N1457">
        <v>1023.349976</v>
      </c>
      <c r="O1457">
        <f t="shared" si="248"/>
        <v>-4.6686260642445632E-3</v>
      </c>
      <c r="P1457">
        <v>143.5</v>
      </c>
      <c r="Q1457">
        <f t="shared" si="249"/>
        <v>-5.5440269079245486E-3</v>
      </c>
      <c r="R1457">
        <v>442</v>
      </c>
      <c r="S1457">
        <f t="shared" si="250"/>
        <v>-7.7450041654752999E-3</v>
      </c>
      <c r="T1457">
        <v>3441.5</v>
      </c>
      <c r="U1457">
        <f t="shared" si="251"/>
        <v>-8.313310526400941E-3</v>
      </c>
      <c r="W1457">
        <f t="shared" si="252"/>
        <v>-6.0329329483093993E-3</v>
      </c>
      <c r="X1457">
        <v>7.9653400530305795E-3</v>
      </c>
    </row>
    <row r="1458" spans="1:24" x14ac:dyDescent="0.35">
      <c r="A1458" s="1">
        <v>44964</v>
      </c>
      <c r="B1458">
        <v>2128.344971</v>
      </c>
      <c r="C1458">
        <f t="shared" si="242"/>
        <v>-2.4010480264496925E-3</v>
      </c>
      <c r="D1458">
        <v>3472.5500489999999</v>
      </c>
      <c r="E1458">
        <f t="shared" si="243"/>
        <v>3.6416994980976725E-3</v>
      </c>
      <c r="F1458">
        <v>1654.1999510000001</v>
      </c>
      <c r="G1458">
        <f t="shared" si="244"/>
        <v>1.4832456485545098E-3</v>
      </c>
      <c r="H1458">
        <v>785.90002440000001</v>
      </c>
      <c r="I1458">
        <f t="shared" si="245"/>
        <v>-4.2445050364269266E-3</v>
      </c>
      <c r="J1458">
        <v>1562.400024</v>
      </c>
      <c r="K1458">
        <f t="shared" si="246"/>
        <v>-4.7456458348857922E-3</v>
      </c>
      <c r="L1458">
        <v>373.25</v>
      </c>
      <c r="M1458">
        <f t="shared" si="247"/>
        <v>-2.6473641266273495E-2</v>
      </c>
      <c r="N1458">
        <v>1006.400024</v>
      </c>
      <c r="O1458">
        <f t="shared" si="248"/>
        <v>-1.6563201639240521E-2</v>
      </c>
      <c r="P1458">
        <v>144.6499939</v>
      </c>
      <c r="Q1458">
        <f t="shared" si="249"/>
        <v>8.0138947735191035E-3</v>
      </c>
      <c r="R1458">
        <v>435.4500122</v>
      </c>
      <c r="S1458">
        <f t="shared" si="250"/>
        <v>-1.4818976923076876E-2</v>
      </c>
      <c r="T1458">
        <v>3440.8999020000001</v>
      </c>
      <c r="U1458">
        <f t="shared" si="251"/>
        <v>-1.7437105913120643E-4</v>
      </c>
      <c r="W1458">
        <f t="shared" si="252"/>
        <v>-5.6282549865313237E-3</v>
      </c>
      <c r="X1458">
        <v>7.9657764734358816E-3</v>
      </c>
    </row>
    <row r="1459" spans="1:24" x14ac:dyDescent="0.35">
      <c r="A1459" s="1">
        <v>44965</v>
      </c>
      <c r="B1459">
        <v>2170.8491210000002</v>
      </c>
      <c r="C1459">
        <f t="shared" si="242"/>
        <v>1.9970517270059718E-2</v>
      </c>
      <c r="D1459">
        <v>3520.1000979999999</v>
      </c>
      <c r="E1459">
        <f t="shared" si="243"/>
        <v>1.3693121288113064E-2</v>
      </c>
      <c r="F1459">
        <v>1654</v>
      </c>
      <c r="G1459">
        <f t="shared" si="244"/>
        <v>-1.2087474665878339E-4</v>
      </c>
      <c r="H1459">
        <v>775.09997559999999</v>
      </c>
      <c r="I1459">
        <f t="shared" si="245"/>
        <v>-1.3742268055336182E-2</v>
      </c>
      <c r="J1459">
        <v>1590.5</v>
      </c>
      <c r="K1459">
        <f t="shared" si="246"/>
        <v>1.7985135412414754E-2</v>
      </c>
      <c r="L1459">
        <v>375.5499878</v>
      </c>
      <c r="M1459">
        <f t="shared" si="247"/>
        <v>6.1620570663094565E-3</v>
      </c>
      <c r="N1459">
        <v>1013</v>
      </c>
      <c r="O1459">
        <f t="shared" si="248"/>
        <v>6.5580046130842007E-3</v>
      </c>
      <c r="P1459">
        <v>143.8999939</v>
      </c>
      <c r="Q1459">
        <f t="shared" si="249"/>
        <v>-5.1849293579541156E-3</v>
      </c>
      <c r="R1459">
        <v>440.10000609999997</v>
      </c>
      <c r="S1459">
        <f t="shared" si="250"/>
        <v>1.0678594028524779E-2</v>
      </c>
      <c r="T1459">
        <v>3458.6000979999999</v>
      </c>
      <c r="U1459">
        <f t="shared" si="251"/>
        <v>5.1440601308139211E-3</v>
      </c>
      <c r="W1459">
        <f t="shared" si="252"/>
        <v>6.1143417649370821E-3</v>
      </c>
      <c r="X1459">
        <v>7.9941008803616209E-3</v>
      </c>
    </row>
    <row r="1460" spans="1:24" x14ac:dyDescent="0.35">
      <c r="A1460" s="1">
        <v>44966</v>
      </c>
      <c r="B1460">
        <v>2174.6333009999998</v>
      </c>
      <c r="C1460">
        <f t="shared" si="242"/>
        <v>1.7431796449567383E-3</v>
      </c>
      <c r="D1460">
        <v>3540.8500979999999</v>
      </c>
      <c r="E1460">
        <f t="shared" si="243"/>
        <v>5.8947187359215114E-3</v>
      </c>
      <c r="F1460">
        <v>1650.5500489999999</v>
      </c>
      <c r="G1460">
        <f t="shared" si="244"/>
        <v>-2.0858228536880796E-3</v>
      </c>
      <c r="H1460">
        <v>766.65002440000001</v>
      </c>
      <c r="I1460">
        <f t="shared" si="245"/>
        <v>-1.0901756503680637E-2</v>
      </c>
      <c r="J1460">
        <v>1617</v>
      </c>
      <c r="K1460">
        <f t="shared" si="246"/>
        <v>1.6661427224143432E-2</v>
      </c>
      <c r="L1460">
        <v>374.25</v>
      </c>
      <c r="M1460">
        <f t="shared" si="247"/>
        <v>-3.461557295249662E-3</v>
      </c>
      <c r="N1460">
        <v>1006.799988</v>
      </c>
      <c r="O1460">
        <f t="shared" si="248"/>
        <v>-6.1204461994077697E-3</v>
      </c>
      <c r="P1460">
        <v>146.1999969</v>
      </c>
      <c r="Q1460">
        <f t="shared" si="249"/>
        <v>1.5983343276569917E-2</v>
      </c>
      <c r="R1460">
        <v>436.75</v>
      </c>
      <c r="S1460">
        <f t="shared" si="250"/>
        <v>-7.6119201398937575E-3</v>
      </c>
      <c r="T1460">
        <v>3482.0500489999999</v>
      </c>
      <c r="U1460">
        <f t="shared" si="251"/>
        <v>6.7801857212577143E-3</v>
      </c>
      <c r="W1460">
        <f t="shared" si="252"/>
        <v>1.688135161092941E-3</v>
      </c>
      <c r="X1460">
        <v>8.0186848724143733E-3</v>
      </c>
    </row>
    <row r="1461" spans="1:24" x14ac:dyDescent="0.35">
      <c r="A1461" s="1">
        <v>44967</v>
      </c>
      <c r="B1461">
        <v>2156.7272950000001</v>
      </c>
      <c r="C1461">
        <f t="shared" si="242"/>
        <v>-8.2340346723126512E-3</v>
      </c>
      <c r="D1461">
        <v>3537.5500489999999</v>
      </c>
      <c r="E1461">
        <f t="shared" si="243"/>
        <v>-9.3199342210614766E-4</v>
      </c>
      <c r="F1461">
        <v>1657.099976</v>
      </c>
      <c r="G1461">
        <f t="shared" si="244"/>
        <v>3.9683298328143657E-3</v>
      </c>
      <c r="H1461">
        <v>771.95001219999995</v>
      </c>
      <c r="I1461">
        <f t="shared" si="245"/>
        <v>6.9131776316682103E-3</v>
      </c>
      <c r="J1461">
        <v>1608.5500489999999</v>
      </c>
      <c r="K1461">
        <f t="shared" si="246"/>
        <v>-5.2256963512677945E-3</v>
      </c>
      <c r="L1461">
        <v>371.35000609999997</v>
      </c>
      <c r="M1461">
        <f t="shared" si="247"/>
        <v>-7.7488146960588145E-3</v>
      </c>
      <c r="N1461">
        <v>1006.599976</v>
      </c>
      <c r="O1461">
        <f t="shared" si="248"/>
        <v>-1.9866110685728966E-4</v>
      </c>
      <c r="P1461">
        <v>146.6999969</v>
      </c>
      <c r="Q1461">
        <f t="shared" si="249"/>
        <v>3.4199727127353086E-3</v>
      </c>
      <c r="R1461">
        <v>445.85000609999997</v>
      </c>
      <c r="S1461">
        <f t="shared" si="250"/>
        <v>2.0835732341156099E-2</v>
      </c>
      <c r="T1461">
        <v>3498.8500979999999</v>
      </c>
      <c r="U1461">
        <f t="shared" si="251"/>
        <v>4.8247580487319475E-3</v>
      </c>
      <c r="W1461">
        <f t="shared" si="252"/>
        <v>1.7622770318503238E-3</v>
      </c>
      <c r="X1461">
        <v>8.07967897445846E-3</v>
      </c>
    </row>
    <row r="1462" spans="1:24" x14ac:dyDescent="0.35">
      <c r="A1462" s="1">
        <v>44970</v>
      </c>
      <c r="B1462">
        <v>2144.4514159999999</v>
      </c>
      <c r="C1462">
        <f t="shared" si="242"/>
        <v>-5.6919013490763781E-3</v>
      </c>
      <c r="D1462">
        <v>3482.3999020000001</v>
      </c>
      <c r="E1462">
        <f t="shared" si="243"/>
        <v>-1.5589926993567094E-2</v>
      </c>
      <c r="F1462">
        <v>1658.349976</v>
      </c>
      <c r="G1462">
        <f t="shared" si="244"/>
        <v>7.5432986428336513E-4</v>
      </c>
      <c r="H1462">
        <v>768.59997559999999</v>
      </c>
      <c r="I1462">
        <f t="shared" si="245"/>
        <v>-4.3397066481709601E-3</v>
      </c>
      <c r="J1462">
        <v>1567.4499510000001</v>
      </c>
      <c r="K1462">
        <f t="shared" si="246"/>
        <v>-2.5551022192657813E-2</v>
      </c>
      <c r="L1462">
        <v>374.2000122</v>
      </c>
      <c r="M1462">
        <f t="shared" si="247"/>
        <v>7.6747167178787823E-3</v>
      </c>
      <c r="N1462">
        <v>1015.25</v>
      </c>
      <c r="O1462">
        <f t="shared" si="248"/>
        <v>8.5933083709908153E-3</v>
      </c>
      <c r="P1462">
        <v>148.1499939</v>
      </c>
      <c r="Q1462">
        <f t="shared" si="249"/>
        <v>9.8840970050491084E-3</v>
      </c>
      <c r="R1462">
        <v>441.0499878</v>
      </c>
      <c r="S1462">
        <f t="shared" si="250"/>
        <v>-1.076599357256347E-2</v>
      </c>
      <c r="T1462">
        <v>3495.1999510000001</v>
      </c>
      <c r="U1462">
        <f t="shared" si="251"/>
        <v>-1.043241893125546E-3</v>
      </c>
      <c r="W1462">
        <f t="shared" si="252"/>
        <v>-3.607534069095919E-3</v>
      </c>
      <c r="X1462">
        <v>8.111748569376076E-3</v>
      </c>
    </row>
    <row r="1463" spans="1:24" x14ac:dyDescent="0.35">
      <c r="A1463" s="1">
        <v>44971</v>
      </c>
      <c r="B1463">
        <v>2194.985596</v>
      </c>
      <c r="C1463">
        <f t="shared" si="242"/>
        <v>2.3565085048306011E-2</v>
      </c>
      <c r="D1463">
        <v>3500.1000979999999</v>
      </c>
      <c r="E1463">
        <f t="shared" si="243"/>
        <v>5.0827580111734161E-3</v>
      </c>
      <c r="F1463">
        <v>1673.6999510000001</v>
      </c>
      <c r="G1463">
        <f t="shared" si="244"/>
        <v>9.2561734387484051E-3</v>
      </c>
      <c r="H1463">
        <v>775.20001219999995</v>
      </c>
      <c r="I1463">
        <f t="shared" si="245"/>
        <v>8.5870892655801612E-3</v>
      </c>
      <c r="J1463">
        <v>1593.25</v>
      </c>
      <c r="K1463">
        <f t="shared" si="246"/>
        <v>1.6459886954310665E-2</v>
      </c>
      <c r="L1463">
        <v>386.4500122</v>
      </c>
      <c r="M1463">
        <f t="shared" si="247"/>
        <v>3.2736503475720546E-2</v>
      </c>
      <c r="N1463">
        <v>1006.75</v>
      </c>
      <c r="O1463">
        <f t="shared" si="248"/>
        <v>-8.3723220881556371E-3</v>
      </c>
      <c r="P1463">
        <v>148.4499969</v>
      </c>
      <c r="Q1463">
        <f t="shared" si="249"/>
        <v>2.0249950209414447E-3</v>
      </c>
      <c r="R1463">
        <v>440.5499878</v>
      </c>
      <c r="S1463">
        <f t="shared" si="250"/>
        <v>-1.1336583467421724E-3</v>
      </c>
      <c r="T1463">
        <v>3482.6999510000001</v>
      </c>
      <c r="U1463">
        <f t="shared" si="251"/>
        <v>-3.5763333071756609E-3</v>
      </c>
      <c r="W1463">
        <f t="shared" si="252"/>
        <v>8.4630177472707173E-3</v>
      </c>
      <c r="X1463">
        <v>8.1138834432205702E-3</v>
      </c>
    </row>
    <row r="1464" spans="1:24" x14ac:dyDescent="0.35">
      <c r="A1464" s="1">
        <v>44972</v>
      </c>
      <c r="B1464">
        <v>2244.6889649999998</v>
      </c>
      <c r="C1464">
        <f t="shared" si="242"/>
        <v>2.2644052466939124E-2</v>
      </c>
      <c r="D1464">
        <v>3520.6499020000001</v>
      </c>
      <c r="E1464">
        <f t="shared" si="243"/>
        <v>5.8712046583304645E-3</v>
      </c>
      <c r="F1464">
        <v>1670.3000489999999</v>
      </c>
      <c r="G1464">
        <f t="shared" si="244"/>
        <v>-2.0313688830359E-3</v>
      </c>
      <c r="H1464">
        <v>785.40002440000001</v>
      </c>
      <c r="I1464">
        <f t="shared" si="245"/>
        <v>1.3157910267638684E-2</v>
      </c>
      <c r="J1464">
        <v>1597.0500489999999</v>
      </c>
      <c r="K1464">
        <f t="shared" si="246"/>
        <v>2.385092734975558E-3</v>
      </c>
      <c r="L1464">
        <v>382.2000122</v>
      </c>
      <c r="M1464">
        <f t="shared" si="247"/>
        <v>-1.0997541378781173E-2</v>
      </c>
      <c r="N1464">
        <v>995.40002440000001</v>
      </c>
      <c r="O1464">
        <f t="shared" si="248"/>
        <v>-1.1273876930717686E-2</v>
      </c>
      <c r="P1464">
        <v>147.5</v>
      </c>
      <c r="Q1464">
        <f t="shared" si="249"/>
        <v>-6.3994403491968166E-3</v>
      </c>
      <c r="R1464">
        <v>444.14999390000003</v>
      </c>
      <c r="S1464">
        <f t="shared" si="250"/>
        <v>8.1716177498438736E-3</v>
      </c>
      <c r="T1464">
        <v>3545.6000979999999</v>
      </c>
      <c r="U1464">
        <f t="shared" si="251"/>
        <v>1.8060742494322213E-2</v>
      </c>
      <c r="W1464">
        <f t="shared" si="252"/>
        <v>3.9588392830318337E-3</v>
      </c>
      <c r="X1464">
        <v>8.1139472351639107E-3</v>
      </c>
    </row>
    <row r="1465" spans="1:24" x14ac:dyDescent="0.35">
      <c r="A1465" s="1">
        <v>44973</v>
      </c>
      <c r="B1465">
        <v>2242.9353030000002</v>
      </c>
      <c r="C1465">
        <f t="shared" si="242"/>
        <v>-7.8124944138957542E-4</v>
      </c>
      <c r="D1465">
        <v>3558.0500489999999</v>
      </c>
      <c r="E1465">
        <f t="shared" si="243"/>
        <v>1.062308040874882E-2</v>
      </c>
      <c r="F1465">
        <v>1664.25</v>
      </c>
      <c r="G1465">
        <f t="shared" si="244"/>
        <v>-3.6221330434744736E-3</v>
      </c>
      <c r="H1465">
        <v>784.45001219999995</v>
      </c>
      <c r="I1465">
        <f t="shared" si="245"/>
        <v>-1.2095902348944199E-3</v>
      </c>
      <c r="J1465">
        <v>1601.8000489999999</v>
      </c>
      <c r="K1465">
        <f t="shared" si="246"/>
        <v>2.9742336522102786E-3</v>
      </c>
      <c r="L1465">
        <v>382.5499878</v>
      </c>
      <c r="M1465">
        <f t="shared" si="247"/>
        <v>9.1568704560085479E-4</v>
      </c>
      <c r="N1465">
        <v>995.15002440000001</v>
      </c>
      <c r="O1465">
        <f t="shared" si="248"/>
        <v>-2.5115530828989652E-4</v>
      </c>
      <c r="P1465">
        <v>155.8999939</v>
      </c>
      <c r="Q1465">
        <f t="shared" si="249"/>
        <v>5.6949111186440637E-2</v>
      </c>
      <c r="R1465">
        <v>441.60000609999997</v>
      </c>
      <c r="S1465">
        <f t="shared" si="250"/>
        <v>-5.7412762242977644E-3</v>
      </c>
      <c r="T1465">
        <v>3541.6999510000001</v>
      </c>
      <c r="U1465">
        <f t="shared" si="251"/>
        <v>-1.0999963030798865E-3</v>
      </c>
      <c r="W1465">
        <f t="shared" si="252"/>
        <v>5.8756711737574571E-3</v>
      </c>
      <c r="X1465">
        <v>8.1507683956080889E-3</v>
      </c>
    </row>
    <row r="1466" spans="1:24" x14ac:dyDescent="0.35">
      <c r="A1466" s="1">
        <v>44974</v>
      </c>
      <c r="B1466">
        <v>2252.303711</v>
      </c>
      <c r="C1466">
        <f t="shared" si="242"/>
        <v>4.1768516405573664E-3</v>
      </c>
      <c r="D1466">
        <v>3501.1499020000001</v>
      </c>
      <c r="E1466">
        <f t="shared" si="243"/>
        <v>-1.5991946773202814E-2</v>
      </c>
      <c r="F1466">
        <v>1655.900024</v>
      </c>
      <c r="G1466">
        <f t="shared" si="244"/>
        <v>-5.0172606279104137E-3</v>
      </c>
      <c r="H1466">
        <v>776.79998780000005</v>
      </c>
      <c r="I1466">
        <f t="shared" si="245"/>
        <v>-9.7520865332709761E-3</v>
      </c>
      <c r="J1466">
        <v>1583.8000489999999</v>
      </c>
      <c r="K1466">
        <f t="shared" si="246"/>
        <v>-1.1237357628523847E-2</v>
      </c>
      <c r="L1466">
        <v>383.39999390000003</v>
      </c>
      <c r="M1466">
        <f t="shared" si="247"/>
        <v>2.221947790113088E-3</v>
      </c>
      <c r="N1466">
        <v>984.5</v>
      </c>
      <c r="O1466">
        <f t="shared" si="248"/>
        <v>-1.070192849205942E-2</v>
      </c>
      <c r="P1466">
        <v>156.6000061</v>
      </c>
      <c r="Q1466">
        <f t="shared" si="249"/>
        <v>4.4901361602940337E-3</v>
      </c>
      <c r="R1466">
        <v>439.89999390000003</v>
      </c>
      <c r="S1466">
        <f t="shared" si="250"/>
        <v>-3.8496652547939103E-3</v>
      </c>
      <c r="T1466">
        <v>3545</v>
      </c>
      <c r="U1466">
        <f t="shared" si="251"/>
        <v>9.3176978446973813E-4</v>
      </c>
      <c r="W1466">
        <f t="shared" si="252"/>
        <v>-4.4729539934327163E-3</v>
      </c>
      <c r="X1466">
        <v>8.1704753107247566E-3</v>
      </c>
    </row>
    <row r="1467" spans="1:24" x14ac:dyDescent="0.35">
      <c r="A1467" s="1">
        <v>44977</v>
      </c>
      <c r="B1467">
        <v>2228.4904790000001</v>
      </c>
      <c r="C1467">
        <f t="shared" si="242"/>
        <v>-1.0572833443242446E-2</v>
      </c>
      <c r="D1467">
        <v>3487.3000489999999</v>
      </c>
      <c r="E1467">
        <f t="shared" si="243"/>
        <v>-3.9558012046523316E-3</v>
      </c>
      <c r="F1467">
        <v>1640.349976</v>
      </c>
      <c r="G1467">
        <f t="shared" si="244"/>
        <v>-9.3906925385732753E-3</v>
      </c>
      <c r="H1467">
        <v>779.15002440000001</v>
      </c>
      <c r="I1467">
        <f t="shared" si="245"/>
        <v>3.0252788837645816E-3</v>
      </c>
      <c r="J1467">
        <v>1592.4499510000001</v>
      </c>
      <c r="K1467">
        <f t="shared" si="246"/>
        <v>5.4614861298063477E-3</v>
      </c>
      <c r="L1467">
        <v>384.0499878</v>
      </c>
      <c r="M1467">
        <f t="shared" si="247"/>
        <v>1.6953414458569238E-3</v>
      </c>
      <c r="N1467">
        <v>984.40002440000001</v>
      </c>
      <c r="O1467">
        <f t="shared" si="248"/>
        <v>-1.0154961909603077E-4</v>
      </c>
      <c r="P1467">
        <v>154.8500061</v>
      </c>
      <c r="Q1467">
        <f t="shared" si="249"/>
        <v>-1.1174967636224165E-2</v>
      </c>
      <c r="R1467">
        <v>443</v>
      </c>
      <c r="S1467">
        <f t="shared" si="250"/>
        <v>7.047070113632925E-3</v>
      </c>
      <c r="T1467">
        <v>3552.8500979999999</v>
      </c>
      <c r="U1467">
        <f t="shared" si="251"/>
        <v>2.2144141043722865E-3</v>
      </c>
      <c r="W1467">
        <f t="shared" si="252"/>
        <v>-1.5752253764355186E-3</v>
      </c>
      <c r="X1467">
        <v>8.1940442460751734E-3</v>
      </c>
    </row>
    <row r="1468" spans="1:24" x14ac:dyDescent="0.35">
      <c r="A1468" s="1">
        <v>44978</v>
      </c>
      <c r="B1468">
        <v>2246.6735840000001</v>
      </c>
      <c r="C1468">
        <f t="shared" si="242"/>
        <v>8.1593819544427681E-3</v>
      </c>
      <c r="D1468">
        <v>3451</v>
      </c>
      <c r="E1468">
        <f t="shared" si="243"/>
        <v>-1.0409212998580109E-2</v>
      </c>
      <c r="F1468">
        <v>1646.5</v>
      </c>
      <c r="G1468">
        <f t="shared" si="244"/>
        <v>3.7492145517610265E-3</v>
      </c>
      <c r="H1468">
        <v>779.04998780000005</v>
      </c>
      <c r="I1468">
        <f t="shared" si="245"/>
        <v>-1.2839196158276334E-4</v>
      </c>
      <c r="J1468">
        <v>1579.5</v>
      </c>
      <c r="K1468">
        <f t="shared" si="246"/>
        <v>-8.1320929375946482E-3</v>
      </c>
      <c r="L1468">
        <v>382.25</v>
      </c>
      <c r="M1468">
        <f t="shared" si="247"/>
        <v>-4.6868581100889539E-3</v>
      </c>
      <c r="N1468">
        <v>971.59997559999999</v>
      </c>
      <c r="O1468">
        <f t="shared" si="248"/>
        <v>-1.3002893623252132E-2</v>
      </c>
      <c r="P1468">
        <v>154.1000061</v>
      </c>
      <c r="Q1468">
        <f t="shared" si="249"/>
        <v>-4.8433966448516719E-3</v>
      </c>
      <c r="R1468">
        <v>436.5</v>
      </c>
      <c r="S1468">
        <f t="shared" si="250"/>
        <v>-1.4672686230248311E-2</v>
      </c>
      <c r="T1468">
        <v>3525.6000979999999</v>
      </c>
      <c r="U1468">
        <f t="shared" si="251"/>
        <v>-7.6698986020659055E-3</v>
      </c>
      <c r="W1468">
        <f t="shared" si="252"/>
        <v>-5.1636834602060699E-3</v>
      </c>
      <c r="X1468">
        <v>8.2315170541795608E-3</v>
      </c>
    </row>
    <row r="1469" spans="1:24" x14ac:dyDescent="0.35">
      <c r="A1469" s="1">
        <v>44979</v>
      </c>
      <c r="B1469">
        <v>2195.7238769999999</v>
      </c>
      <c r="C1469">
        <f t="shared" si="242"/>
        <v>-2.2677841304070911E-2</v>
      </c>
      <c r="D1469">
        <v>3401.5500489999999</v>
      </c>
      <c r="E1469">
        <f t="shared" si="243"/>
        <v>-1.4329165749058292E-2</v>
      </c>
      <c r="F1469">
        <v>1614.1999510000001</v>
      </c>
      <c r="G1469">
        <f t="shared" si="244"/>
        <v>-1.9617399939265034E-2</v>
      </c>
      <c r="H1469">
        <v>772.15002440000001</v>
      </c>
      <c r="I1469">
        <f t="shared" si="245"/>
        <v>-8.8568943046712922E-3</v>
      </c>
      <c r="J1469">
        <v>1561.8000489999999</v>
      </c>
      <c r="K1469">
        <f t="shared" si="246"/>
        <v>-1.1206046850269158E-2</v>
      </c>
      <c r="L1469">
        <v>383.85000609999997</v>
      </c>
      <c r="M1469">
        <f t="shared" si="247"/>
        <v>4.1857582733813015E-3</v>
      </c>
      <c r="N1469">
        <v>968.54998780000005</v>
      </c>
      <c r="O1469">
        <f t="shared" si="248"/>
        <v>-3.1391394365941627E-3</v>
      </c>
      <c r="P1469">
        <v>153.6000061</v>
      </c>
      <c r="Q1469">
        <f t="shared" si="249"/>
        <v>-3.2446462051113345E-3</v>
      </c>
      <c r="R1469">
        <v>429.4500122</v>
      </c>
      <c r="S1469">
        <f t="shared" si="250"/>
        <v>-1.6151174799541756E-2</v>
      </c>
      <c r="T1469">
        <v>3500.1499020000001</v>
      </c>
      <c r="U1469">
        <f t="shared" si="251"/>
        <v>-7.2186848458613007E-3</v>
      </c>
      <c r="W1469">
        <f t="shared" si="252"/>
        <v>-1.0225523516106196E-2</v>
      </c>
      <c r="X1469">
        <v>8.2548254254807482E-3</v>
      </c>
    </row>
    <row r="1470" spans="1:24" x14ac:dyDescent="0.35">
      <c r="A1470" s="1">
        <v>44980</v>
      </c>
      <c r="B1470">
        <v>2185.2016600000002</v>
      </c>
      <c r="C1470">
        <f t="shared" si="242"/>
        <v>-4.7921403552690922E-3</v>
      </c>
      <c r="D1470">
        <v>3413.8000489999999</v>
      </c>
      <c r="E1470">
        <f t="shared" si="243"/>
        <v>3.6012993557454909E-3</v>
      </c>
      <c r="F1470">
        <v>1603.25</v>
      </c>
      <c r="G1470">
        <f t="shared" si="244"/>
        <v>-6.7835158793162487E-3</v>
      </c>
      <c r="H1470">
        <v>762.95001219999995</v>
      </c>
      <c r="I1470">
        <f t="shared" si="245"/>
        <v>-1.1914798820538697E-2</v>
      </c>
      <c r="J1470">
        <v>1550.6999510000001</v>
      </c>
      <c r="K1470">
        <f t="shared" si="246"/>
        <v>-7.107246543568202E-3</v>
      </c>
      <c r="L1470">
        <v>387.60000609999997</v>
      </c>
      <c r="M1470">
        <f t="shared" si="247"/>
        <v>9.7694410327118231E-3</v>
      </c>
      <c r="N1470">
        <v>972.5</v>
      </c>
      <c r="O1470">
        <f t="shared" si="248"/>
        <v>4.0782739659850353E-3</v>
      </c>
      <c r="P1470">
        <v>154.6499939</v>
      </c>
      <c r="Q1470">
        <f t="shared" si="249"/>
        <v>6.8358578014404703E-3</v>
      </c>
      <c r="R1470">
        <v>433.2000122</v>
      </c>
      <c r="S1470">
        <f t="shared" si="250"/>
        <v>8.7320989485817346E-3</v>
      </c>
      <c r="T1470">
        <v>3478.75</v>
      </c>
      <c r="U1470">
        <f t="shared" si="251"/>
        <v>-6.1139958570837205E-3</v>
      </c>
      <c r="W1470">
        <f t="shared" si="252"/>
        <v>-3.6947263513114064E-4</v>
      </c>
      <c r="X1470">
        <v>8.2725706212401166E-3</v>
      </c>
    </row>
    <row r="1471" spans="1:24" x14ac:dyDescent="0.35">
      <c r="A1471" s="1">
        <v>44981</v>
      </c>
      <c r="B1471">
        <v>2200.154297</v>
      </c>
      <c r="C1471">
        <f t="shared" si="242"/>
        <v>6.8426805972681137E-3</v>
      </c>
      <c r="D1471">
        <v>3400.4499510000001</v>
      </c>
      <c r="E1471">
        <f t="shared" si="243"/>
        <v>-3.9106268112891751E-3</v>
      </c>
      <c r="F1471">
        <v>1588.9499510000001</v>
      </c>
      <c r="G1471">
        <f t="shared" si="244"/>
        <v>-8.9194130672072269E-3</v>
      </c>
      <c r="H1471">
        <v>757.09997559999999</v>
      </c>
      <c r="I1471">
        <f t="shared" si="245"/>
        <v>-7.6676538520933368E-3</v>
      </c>
      <c r="J1471">
        <v>1550.650024</v>
      </c>
      <c r="K1471">
        <f t="shared" si="246"/>
        <v>-3.2196428437214486E-5</v>
      </c>
      <c r="L1471">
        <v>385.10000609999997</v>
      </c>
      <c r="M1471">
        <f t="shared" si="247"/>
        <v>-6.4499482989043289E-3</v>
      </c>
      <c r="N1471">
        <v>970.5</v>
      </c>
      <c r="O1471">
        <f t="shared" si="248"/>
        <v>-2.0565552699228773E-3</v>
      </c>
      <c r="P1471">
        <v>155</v>
      </c>
      <c r="Q1471">
        <f t="shared" si="249"/>
        <v>2.2632144442651381E-3</v>
      </c>
      <c r="R1471">
        <v>427.75</v>
      </c>
      <c r="S1471">
        <f t="shared" si="250"/>
        <v>-1.2580821898693362E-2</v>
      </c>
      <c r="T1471">
        <v>3499.1999510000001</v>
      </c>
      <c r="U1471">
        <f t="shared" si="251"/>
        <v>5.8785342436220578E-3</v>
      </c>
      <c r="W1471">
        <f t="shared" si="252"/>
        <v>-2.6632786341392219E-3</v>
      </c>
      <c r="X1471">
        <v>8.2834994835695001E-3</v>
      </c>
    </row>
    <row r="1472" spans="1:24" x14ac:dyDescent="0.35">
      <c r="A1472" s="1">
        <v>44984</v>
      </c>
      <c r="B1472">
        <v>2185.5246579999998</v>
      </c>
      <c r="C1472">
        <f t="shared" si="242"/>
        <v>-6.6493695555572829E-3</v>
      </c>
      <c r="D1472">
        <v>3331.8500979999999</v>
      </c>
      <c r="E1472">
        <f t="shared" si="243"/>
        <v>-2.0173757587529373E-2</v>
      </c>
      <c r="F1472">
        <v>1592.900024</v>
      </c>
      <c r="G1472">
        <f t="shared" si="244"/>
        <v>2.4859643927199748E-3</v>
      </c>
      <c r="H1472">
        <v>752.90002440000001</v>
      </c>
      <c r="I1472">
        <f t="shared" si="245"/>
        <v>-5.5474195421437722E-3</v>
      </c>
      <c r="J1472">
        <v>1509.3000489999999</v>
      </c>
      <c r="K1472">
        <f t="shared" si="246"/>
        <v>-2.6666220204437319E-2</v>
      </c>
      <c r="L1472">
        <v>382.2000122</v>
      </c>
      <c r="M1472">
        <f t="shared" si="247"/>
        <v>-7.5304955961151832E-3</v>
      </c>
      <c r="N1472">
        <v>965.04998780000005</v>
      </c>
      <c r="O1472">
        <f t="shared" si="248"/>
        <v>-5.6156746007212099E-3</v>
      </c>
      <c r="P1472">
        <v>155.25</v>
      </c>
      <c r="Q1472">
        <f t="shared" si="249"/>
        <v>1.612903225806539E-3</v>
      </c>
      <c r="R1472">
        <v>417.9500122</v>
      </c>
      <c r="S1472">
        <f t="shared" si="250"/>
        <v>-2.2910550087668069E-2</v>
      </c>
      <c r="T1472">
        <v>3491.3000489999999</v>
      </c>
      <c r="U1472">
        <f t="shared" si="251"/>
        <v>-2.2576309186740362E-3</v>
      </c>
      <c r="W1472">
        <f t="shared" si="252"/>
        <v>-9.3252250474319728E-3</v>
      </c>
      <c r="X1472">
        <v>8.2965552546787058E-3</v>
      </c>
    </row>
    <row r="1473" spans="1:24" x14ac:dyDescent="0.35">
      <c r="A1473" s="1">
        <v>44985</v>
      </c>
      <c r="B1473">
        <v>2143.7128910000001</v>
      </c>
      <c r="C1473">
        <f t="shared" si="242"/>
        <v>-1.9131226383994338E-2</v>
      </c>
      <c r="D1473">
        <v>3312.8500979999999</v>
      </c>
      <c r="E1473">
        <f t="shared" si="243"/>
        <v>-5.7025374615157221E-3</v>
      </c>
      <c r="F1473">
        <v>1599.599976</v>
      </c>
      <c r="G1473">
        <f t="shared" si="244"/>
        <v>4.206134659459293E-3</v>
      </c>
      <c r="H1473">
        <v>742.25</v>
      </c>
      <c r="I1473">
        <f t="shared" si="245"/>
        <v>-1.4145336770957306E-2</v>
      </c>
      <c r="J1473">
        <v>1487.5500489999999</v>
      </c>
      <c r="K1473">
        <f t="shared" si="246"/>
        <v>-1.4410653477690327E-2</v>
      </c>
      <c r="L1473">
        <v>376.7000122</v>
      </c>
      <c r="M1473">
        <f t="shared" si="247"/>
        <v>-1.4390371073881414E-2</v>
      </c>
      <c r="N1473">
        <v>956.59997559999999</v>
      </c>
      <c r="O1473">
        <f t="shared" si="248"/>
        <v>-8.7560357565138469E-3</v>
      </c>
      <c r="P1473">
        <v>152.0500031</v>
      </c>
      <c r="Q1473">
        <f t="shared" si="249"/>
        <v>-2.0611896296296339E-2</v>
      </c>
      <c r="R1473">
        <v>420.7000122</v>
      </c>
      <c r="S1473">
        <f t="shared" si="250"/>
        <v>6.5797342259295011E-3</v>
      </c>
      <c r="T1473">
        <v>3416.9499510000001</v>
      </c>
      <c r="U1473">
        <f t="shared" si="251"/>
        <v>-2.1295820169136004E-2</v>
      </c>
      <c r="W1473">
        <f t="shared" si="252"/>
        <v>-1.0765800850459651E-2</v>
      </c>
      <c r="X1473">
        <v>8.3059998639136608E-3</v>
      </c>
    </row>
    <row r="1474" spans="1:24" x14ac:dyDescent="0.35">
      <c r="A1474" s="1">
        <v>44986</v>
      </c>
      <c r="B1474">
        <v>2163.4189449999999</v>
      </c>
      <c r="C1474">
        <f t="shared" si="242"/>
        <v>9.1924875214084434E-3</v>
      </c>
      <c r="D1474">
        <v>3385.6999510000001</v>
      </c>
      <c r="E1474">
        <f t="shared" si="243"/>
        <v>2.1990084321648062E-2</v>
      </c>
      <c r="F1474">
        <v>1598.0500489999999</v>
      </c>
      <c r="G1474">
        <f t="shared" si="244"/>
        <v>-9.6894662619073646E-4</v>
      </c>
      <c r="H1474">
        <v>750.20001219999995</v>
      </c>
      <c r="I1474">
        <f t="shared" si="245"/>
        <v>1.0710693432131935E-2</v>
      </c>
      <c r="J1474">
        <v>1496.0500489999999</v>
      </c>
      <c r="K1474">
        <f t="shared" si="246"/>
        <v>5.7140934556885181E-3</v>
      </c>
      <c r="L1474">
        <v>378.7000122</v>
      </c>
      <c r="M1474">
        <f t="shared" si="247"/>
        <v>5.3092644948951051E-3</v>
      </c>
      <c r="N1474">
        <v>959.29998780000005</v>
      </c>
      <c r="O1474">
        <f t="shared" si="248"/>
        <v>2.8225091667042346E-3</v>
      </c>
      <c r="P1474">
        <v>154.8000031</v>
      </c>
      <c r="Q1474">
        <f t="shared" si="249"/>
        <v>1.8086155501038537E-2</v>
      </c>
      <c r="R1474">
        <v>426</v>
      </c>
      <c r="S1474">
        <f t="shared" si="250"/>
        <v>1.259802150298106E-2</v>
      </c>
      <c r="T1474">
        <v>3439.3500979999999</v>
      </c>
      <c r="U1474">
        <f t="shared" si="251"/>
        <v>6.555597044505701E-3</v>
      </c>
      <c r="W1474">
        <f t="shared" si="252"/>
        <v>9.2009959814810856E-3</v>
      </c>
      <c r="X1474">
        <v>8.3477030800234945E-3</v>
      </c>
    </row>
    <row r="1475" spans="1:24" x14ac:dyDescent="0.35">
      <c r="A1475" s="1">
        <v>44987</v>
      </c>
      <c r="B1475">
        <v>2146.9433589999999</v>
      </c>
      <c r="C1475">
        <f t="shared" si="242"/>
        <v>-7.6155319052177983E-3</v>
      </c>
      <c r="D1475">
        <v>3321.4499510000001</v>
      </c>
      <c r="E1475">
        <f t="shared" si="243"/>
        <v>-1.8976873594785948E-2</v>
      </c>
      <c r="F1475">
        <v>1584.4499510000001</v>
      </c>
      <c r="G1475">
        <f t="shared" si="244"/>
        <v>-8.510433079683799E-3</v>
      </c>
      <c r="H1475">
        <v>740.09997559999999</v>
      </c>
      <c r="I1475">
        <f t="shared" si="245"/>
        <v>-1.3463125080978133E-2</v>
      </c>
      <c r="J1475">
        <v>1472.150024</v>
      </c>
      <c r="K1475">
        <f t="shared" si="246"/>
        <v>-1.5975418079077874E-2</v>
      </c>
      <c r="L1475">
        <v>375.5499878</v>
      </c>
      <c r="M1475">
        <f t="shared" si="247"/>
        <v>-8.3179939226841748E-3</v>
      </c>
      <c r="N1475">
        <v>965.29998780000005</v>
      </c>
      <c r="O1475">
        <f t="shared" si="248"/>
        <v>6.25456069665975E-3</v>
      </c>
      <c r="P1475">
        <v>154.0500031</v>
      </c>
      <c r="Q1475">
        <f t="shared" si="249"/>
        <v>-4.8449611432856976E-3</v>
      </c>
      <c r="R1475">
        <v>420.4500122</v>
      </c>
      <c r="S1475">
        <f t="shared" si="250"/>
        <v>-1.3028140375586861E-2</v>
      </c>
      <c r="T1475">
        <v>3443.1999510000001</v>
      </c>
      <c r="U1475">
        <f t="shared" si="251"/>
        <v>1.1193547880568033E-3</v>
      </c>
      <c r="W1475">
        <f t="shared" si="252"/>
        <v>-8.335856169658375E-3</v>
      </c>
      <c r="X1475">
        <v>8.3653114521550671E-3</v>
      </c>
    </row>
    <row r="1476" spans="1:24" x14ac:dyDescent="0.35">
      <c r="A1476" s="1">
        <v>44988</v>
      </c>
      <c r="B1476">
        <v>2201.7233890000002</v>
      </c>
      <c r="C1476">
        <f t="shared" ref="C1476:C1539" si="253">B1476/B1475 - 1</f>
        <v>2.5515358740304972E-2</v>
      </c>
      <c r="D1476">
        <v>3342.1499020000001</v>
      </c>
      <c r="E1476">
        <f t="shared" ref="E1476:E1539" si="254">D1476/D1475 - 1</f>
        <v>6.2322031960071467E-3</v>
      </c>
      <c r="F1476">
        <v>1615.900024</v>
      </c>
      <c r="G1476">
        <f t="shared" ref="G1476:G1539" si="255">F1476/F1475 - 1</f>
        <v>1.984920570078641E-2</v>
      </c>
      <c r="H1476">
        <v>764.40002440000001</v>
      </c>
      <c r="I1476">
        <f t="shared" ref="I1476:I1539" si="256">H1476/H1475 - 1</f>
        <v>3.2833467911277614E-2</v>
      </c>
      <c r="J1476">
        <v>1479.3000489999999</v>
      </c>
      <c r="K1476">
        <f t="shared" ref="K1476:K1539" si="257">J1476/J1475 -1</f>
        <v>4.8568589365454162E-3</v>
      </c>
      <c r="L1476">
        <v>384.9500122</v>
      </c>
      <c r="M1476">
        <f t="shared" ref="M1476:M1539" si="258">L1476/L1475 -1</f>
        <v>2.5030021848931661E-2</v>
      </c>
      <c r="N1476">
        <v>966.90002440000001</v>
      </c>
      <c r="O1476">
        <f t="shared" ref="O1476:O1539" si="259">N1476/N1475-1</f>
        <v>1.6575537348204605E-3</v>
      </c>
      <c r="P1476">
        <v>154.25</v>
      </c>
      <c r="Q1476">
        <f t="shared" ref="Q1476:Q1539" si="260">P1476/P1475 -1</f>
        <v>1.2982596298305449E-3</v>
      </c>
      <c r="R1476">
        <v>428</v>
      </c>
      <c r="S1476">
        <f t="shared" ref="S1476:S1539" si="261">R1476/R1475 - 1</f>
        <v>1.7956921348378119E-2</v>
      </c>
      <c r="T1476">
        <v>3463.25</v>
      </c>
      <c r="U1476">
        <f t="shared" ref="U1476:U1539" si="262">T1476/T1475 - 1</f>
        <v>5.8230858751542325E-3</v>
      </c>
      <c r="W1476">
        <f t="shared" ref="W1476:W1539" si="263">0.1*C1476+0.1*E1476+0.1*G1476+0.1*I1476+0.1*K1476+0.1*M1476+0.1*O1476+0.1*Q1476+0.1*S1476+0.1*U1476</f>
        <v>1.4105293692203659E-2</v>
      </c>
      <c r="X1476">
        <v>8.4073640057360632E-3</v>
      </c>
    </row>
    <row r="1477" spans="1:24" x14ac:dyDescent="0.35">
      <c r="A1477" s="1">
        <v>44991</v>
      </c>
      <c r="B1477">
        <v>2223.2292480000001</v>
      </c>
      <c r="C1477">
        <f t="shared" si="253"/>
        <v>9.7677388119892239E-3</v>
      </c>
      <c r="D1477">
        <v>3371.8500979999999</v>
      </c>
      <c r="E1477">
        <f t="shared" si="254"/>
        <v>8.8865541256024638E-3</v>
      </c>
      <c r="F1477">
        <v>1627.3000489999999</v>
      </c>
      <c r="G1477">
        <f t="shared" si="255"/>
        <v>7.0549073771162263E-3</v>
      </c>
      <c r="H1477">
        <v>766.59997559999999</v>
      </c>
      <c r="I1477">
        <f t="shared" si="256"/>
        <v>2.8780103738572649E-3</v>
      </c>
      <c r="J1477">
        <v>1507.4499510000001</v>
      </c>
      <c r="K1477">
        <f t="shared" si="257"/>
        <v>1.902920372309147E-2</v>
      </c>
      <c r="L1477">
        <v>388.14999390000003</v>
      </c>
      <c r="M1477">
        <f t="shared" si="258"/>
        <v>8.312720089842518E-3</v>
      </c>
      <c r="N1477">
        <v>965.25</v>
      </c>
      <c r="O1477">
        <f t="shared" si="259"/>
        <v>-1.7065098338620022E-3</v>
      </c>
      <c r="P1477">
        <v>158.1999969</v>
      </c>
      <c r="Q1477">
        <f t="shared" si="260"/>
        <v>2.5607759481361514E-2</v>
      </c>
      <c r="R1477">
        <v>440.10000609999997</v>
      </c>
      <c r="S1477">
        <f t="shared" si="261"/>
        <v>2.8271042289719661E-2</v>
      </c>
      <c r="T1477">
        <v>3437.1499020000001</v>
      </c>
      <c r="U1477">
        <f t="shared" si="262"/>
        <v>-7.5363020284414661E-3</v>
      </c>
      <c r="W1477">
        <f t="shared" si="263"/>
        <v>1.005651244102769E-2</v>
      </c>
      <c r="X1477">
        <v>8.4585568438441238E-3</v>
      </c>
    </row>
    <row r="1478" spans="1:24" x14ac:dyDescent="0.35">
      <c r="A1478" s="1">
        <v>44993</v>
      </c>
      <c r="B1478">
        <v>2231.2133789999998</v>
      </c>
      <c r="C1478">
        <f t="shared" si="253"/>
        <v>3.5912315417683249E-3</v>
      </c>
      <c r="D1478">
        <v>3390.3999020000001</v>
      </c>
      <c r="E1478">
        <f t="shared" si="254"/>
        <v>5.5013726769772564E-3</v>
      </c>
      <c r="F1478">
        <v>1630.5500489999999</v>
      </c>
      <c r="G1478">
        <f t="shared" si="255"/>
        <v>1.9971731715962004E-3</v>
      </c>
      <c r="H1478">
        <v>766.54998780000005</v>
      </c>
      <c r="I1478">
        <f t="shared" si="256"/>
        <v>-6.5207150523050039E-5</v>
      </c>
      <c r="J1478">
        <v>1492.6999510000001</v>
      </c>
      <c r="K1478">
        <f t="shared" si="257"/>
        <v>-9.7847361301881541E-3</v>
      </c>
      <c r="L1478">
        <v>392.39999390000003</v>
      </c>
      <c r="M1478">
        <f t="shared" si="258"/>
        <v>1.0949375413606077E-2</v>
      </c>
      <c r="N1478">
        <v>957.5</v>
      </c>
      <c r="O1478">
        <f t="shared" si="259"/>
        <v>-8.0290080290080779E-3</v>
      </c>
      <c r="P1478">
        <v>158.25</v>
      </c>
      <c r="Q1478">
        <f t="shared" si="260"/>
        <v>3.160752274324885E-4</v>
      </c>
      <c r="R1478">
        <v>439.2999878</v>
      </c>
      <c r="S1478">
        <f t="shared" si="261"/>
        <v>-1.8178102451973377E-3</v>
      </c>
      <c r="T1478">
        <v>3389.6999510000001</v>
      </c>
      <c r="U1478">
        <f t="shared" si="262"/>
        <v>-1.3805028105521422E-2</v>
      </c>
      <c r="W1478">
        <f t="shared" si="263"/>
        <v>-1.1146561629057695E-3</v>
      </c>
      <c r="X1478">
        <v>8.4630177472707173E-3</v>
      </c>
    </row>
    <row r="1479" spans="1:24" x14ac:dyDescent="0.35">
      <c r="A1479" s="1">
        <v>44994</v>
      </c>
      <c r="B1479">
        <v>2177.586914</v>
      </c>
      <c r="C1479">
        <f t="shared" si="253"/>
        <v>-2.4034664503506331E-2</v>
      </c>
      <c r="D1479">
        <v>3336.8500979999999</v>
      </c>
      <c r="E1479">
        <f t="shared" si="254"/>
        <v>-1.5794539154042275E-2</v>
      </c>
      <c r="F1479">
        <v>1630.6999510000001</v>
      </c>
      <c r="G1479">
        <f t="shared" si="255"/>
        <v>9.1933393943977038E-5</v>
      </c>
      <c r="H1479">
        <v>773.40002440000001</v>
      </c>
      <c r="I1479">
        <f t="shared" si="256"/>
        <v>8.9361903450804192E-3</v>
      </c>
      <c r="J1479">
        <v>1480.400024</v>
      </c>
      <c r="K1479">
        <f t="shared" si="257"/>
        <v>-8.2400531947227629E-3</v>
      </c>
      <c r="L1479">
        <v>387.5</v>
      </c>
      <c r="M1479">
        <f t="shared" si="258"/>
        <v>-1.2487242548858801E-2</v>
      </c>
      <c r="N1479">
        <v>952.70001219999995</v>
      </c>
      <c r="O1479">
        <f t="shared" si="259"/>
        <v>-5.0130420887729565E-3</v>
      </c>
      <c r="P1479">
        <v>156.3000031</v>
      </c>
      <c r="Q1479">
        <f t="shared" si="260"/>
        <v>-1.2322255292259054E-2</v>
      </c>
      <c r="R1479">
        <v>432.2000122</v>
      </c>
      <c r="S1479">
        <f t="shared" si="261"/>
        <v>-1.6162020935981403E-2</v>
      </c>
      <c r="T1479">
        <v>3397.8500979999999</v>
      </c>
      <c r="U1479">
        <f t="shared" si="262"/>
        <v>2.4043859686151414E-3</v>
      </c>
      <c r="W1479">
        <f t="shared" si="263"/>
        <v>-8.262130801050406E-3</v>
      </c>
      <c r="X1479">
        <v>8.5037022702189845E-3</v>
      </c>
    </row>
    <row r="1480" spans="1:24" x14ac:dyDescent="0.35">
      <c r="A1480" s="1">
        <v>44995</v>
      </c>
      <c r="B1480">
        <v>2143.851318</v>
      </c>
      <c r="C1480">
        <f t="shared" si="253"/>
        <v>-1.5492192657436177E-2</v>
      </c>
      <c r="D1480">
        <v>3331</v>
      </c>
      <c r="E1480">
        <f t="shared" si="254"/>
        <v>-1.753179743826716E-3</v>
      </c>
      <c r="F1480">
        <v>1588.650024</v>
      </c>
      <c r="G1480">
        <f t="shared" si="255"/>
        <v>-2.5786428076001067E-2</v>
      </c>
      <c r="H1480">
        <v>773.75</v>
      </c>
      <c r="I1480">
        <f t="shared" si="256"/>
        <v>4.5251563092651992E-4</v>
      </c>
      <c r="J1480">
        <v>1471.5500489999999</v>
      </c>
      <c r="K1480">
        <f t="shared" si="257"/>
        <v>-5.9780970389933241E-3</v>
      </c>
      <c r="L1480">
        <v>388</v>
      </c>
      <c r="M1480">
        <f t="shared" si="258"/>
        <v>1.290322580645098E-3</v>
      </c>
      <c r="N1480">
        <v>955.54998780000005</v>
      </c>
      <c r="O1480">
        <f t="shared" si="259"/>
        <v>2.9914721984929393E-3</v>
      </c>
      <c r="P1480">
        <v>155.8000031</v>
      </c>
      <c r="Q1480">
        <f t="shared" si="260"/>
        <v>-3.1989762641277952E-3</v>
      </c>
      <c r="R1480">
        <v>435.85000609999997</v>
      </c>
      <c r="S1480">
        <f t="shared" si="261"/>
        <v>8.4451499235751459E-3</v>
      </c>
      <c r="T1480">
        <v>3391.8500979999999</v>
      </c>
      <c r="U1480">
        <f t="shared" si="262"/>
        <v>-1.7658224544784273E-3</v>
      </c>
      <c r="W1480">
        <f t="shared" si="263"/>
        <v>-4.0795235901223805E-3</v>
      </c>
      <c r="X1480">
        <v>8.5130579476625622E-3</v>
      </c>
    </row>
    <row r="1481" spans="1:24" x14ac:dyDescent="0.35">
      <c r="A1481" s="1">
        <v>44998</v>
      </c>
      <c r="B1481">
        <v>2108.5927729999999</v>
      </c>
      <c r="C1481">
        <f t="shared" si="253"/>
        <v>-1.644635740546263E-2</v>
      </c>
      <c r="D1481">
        <v>3281.9499510000001</v>
      </c>
      <c r="E1481">
        <f t="shared" si="254"/>
        <v>-1.4725322425698018E-2</v>
      </c>
      <c r="F1481">
        <v>1568.5500489999999</v>
      </c>
      <c r="G1481">
        <f t="shared" si="255"/>
        <v>-1.2652235984229598E-2</v>
      </c>
      <c r="H1481">
        <v>765.29998780000005</v>
      </c>
      <c r="I1481">
        <f t="shared" si="256"/>
        <v>-1.0920855831986986E-2</v>
      </c>
      <c r="J1481">
        <v>1435.099976</v>
      </c>
      <c r="K1481">
        <f t="shared" si="257"/>
        <v>-2.4769849333204697E-2</v>
      </c>
      <c r="L1481">
        <v>383.64999390000003</v>
      </c>
      <c r="M1481">
        <f t="shared" si="258"/>
        <v>-1.1211355927834954E-2</v>
      </c>
      <c r="N1481">
        <v>954.09997559999999</v>
      </c>
      <c r="O1481">
        <f t="shared" si="259"/>
        <v>-1.517463469743241E-3</v>
      </c>
      <c r="P1481">
        <v>155.8000031</v>
      </c>
      <c r="Q1481">
        <f t="shared" si="260"/>
        <v>0</v>
      </c>
      <c r="R1481">
        <v>422.39999390000003</v>
      </c>
      <c r="S1481">
        <f t="shared" si="261"/>
        <v>-3.0859268123800465E-2</v>
      </c>
      <c r="T1481">
        <v>3351.75</v>
      </c>
      <c r="U1481">
        <f t="shared" si="262"/>
        <v>-1.1822485322581011E-2</v>
      </c>
      <c r="W1481">
        <f t="shared" si="263"/>
        <v>-1.3492519382454158E-2</v>
      </c>
      <c r="X1481">
        <v>8.5593692474170806E-3</v>
      </c>
    </row>
    <row r="1482" spans="1:24" x14ac:dyDescent="0.35">
      <c r="A1482" s="1">
        <v>44999</v>
      </c>
      <c r="B1482">
        <v>2100.701172</v>
      </c>
      <c r="C1482">
        <f t="shared" si="253"/>
        <v>-3.7425913154259804E-3</v>
      </c>
      <c r="D1482">
        <v>3214.9499510000001</v>
      </c>
      <c r="E1482">
        <f t="shared" si="254"/>
        <v>-2.0414692789445299E-2</v>
      </c>
      <c r="F1482">
        <v>1564.349976</v>
      </c>
      <c r="G1482">
        <f t="shared" si="255"/>
        <v>-2.6776786642400685E-3</v>
      </c>
      <c r="H1482">
        <v>771.79998780000005</v>
      </c>
      <c r="I1482">
        <f t="shared" si="256"/>
        <v>8.4934014159407933E-3</v>
      </c>
      <c r="J1482">
        <v>1420</v>
      </c>
      <c r="K1482">
        <f t="shared" si="257"/>
        <v>-1.0521898301529831E-2</v>
      </c>
      <c r="L1482">
        <v>379.7000122</v>
      </c>
      <c r="M1482">
        <f t="shared" si="258"/>
        <v>-1.0295795028813726E-2</v>
      </c>
      <c r="N1482">
        <v>957.20001219999995</v>
      </c>
      <c r="O1482">
        <f t="shared" si="259"/>
        <v>3.2491737546167521E-3</v>
      </c>
      <c r="P1482">
        <v>153.3000031</v>
      </c>
      <c r="Q1482">
        <f t="shared" si="260"/>
        <v>-1.6046212774433521E-2</v>
      </c>
      <c r="R1482">
        <v>416.64999390000003</v>
      </c>
      <c r="S1482">
        <f t="shared" si="261"/>
        <v>-1.3612689590524196E-2</v>
      </c>
      <c r="T1482">
        <v>3350.9499510000001</v>
      </c>
      <c r="U1482">
        <f t="shared" si="262"/>
        <v>-2.3869590512415328E-4</v>
      </c>
      <c r="W1482">
        <f t="shared" si="263"/>
        <v>-6.580767919897923E-3</v>
      </c>
      <c r="X1482">
        <v>8.5610248319246806E-3</v>
      </c>
    </row>
    <row r="1483" spans="1:24" x14ac:dyDescent="0.35">
      <c r="A1483" s="1">
        <v>45000</v>
      </c>
      <c r="B1483">
        <v>2064.7963869999999</v>
      </c>
      <c r="C1483">
        <f t="shared" si="253"/>
        <v>-1.709180985785641E-2</v>
      </c>
      <c r="D1483">
        <v>3198.8999020000001</v>
      </c>
      <c r="E1483">
        <f t="shared" si="254"/>
        <v>-4.9923169083884167E-3</v>
      </c>
      <c r="F1483">
        <v>1541.900024</v>
      </c>
      <c r="G1483">
        <f t="shared" si="255"/>
        <v>-1.4350977942547027E-2</v>
      </c>
      <c r="H1483">
        <v>756.65002440000001</v>
      </c>
      <c r="I1483">
        <f t="shared" si="256"/>
        <v>-1.9629390566828997E-2</v>
      </c>
      <c r="J1483">
        <v>1419.650024</v>
      </c>
      <c r="K1483">
        <f t="shared" si="257"/>
        <v>-2.4646197183098018E-4</v>
      </c>
      <c r="L1483">
        <v>379.39999390000003</v>
      </c>
      <c r="M1483">
        <f t="shared" si="258"/>
        <v>-7.901456159078446E-4</v>
      </c>
      <c r="N1483">
        <v>951.40002440000001</v>
      </c>
      <c r="O1483">
        <f t="shared" si="259"/>
        <v>-6.0593269181740128E-3</v>
      </c>
      <c r="P1483">
        <v>152.5500031</v>
      </c>
      <c r="Q1483">
        <f t="shared" si="260"/>
        <v>-4.8923678071340904E-3</v>
      </c>
      <c r="R1483">
        <v>411.35000609999997</v>
      </c>
      <c r="S1483">
        <f t="shared" si="261"/>
        <v>-1.2720479725417011E-2</v>
      </c>
      <c r="T1483">
        <v>3337.25</v>
      </c>
      <c r="U1483">
        <f t="shared" si="262"/>
        <v>-4.088378280884708E-3</v>
      </c>
      <c r="W1483">
        <f t="shared" si="263"/>
        <v>-8.4861655594969509E-3</v>
      </c>
      <c r="X1483">
        <v>8.5613585497198996E-3</v>
      </c>
    </row>
    <row r="1484" spans="1:24" x14ac:dyDescent="0.35">
      <c r="A1484" s="1">
        <v>45001</v>
      </c>
      <c r="B1484">
        <v>2054.5048830000001</v>
      </c>
      <c r="C1484">
        <f t="shared" si="253"/>
        <v>-4.9842706354947808E-3</v>
      </c>
      <c r="D1484">
        <v>3185</v>
      </c>
      <c r="E1484">
        <f t="shared" si="254"/>
        <v>-4.3452131751011702E-3</v>
      </c>
      <c r="F1484">
        <v>1551.900024</v>
      </c>
      <c r="G1484">
        <f t="shared" si="255"/>
        <v>6.4855047956078327E-3</v>
      </c>
      <c r="H1484">
        <v>745.95001219999995</v>
      </c>
      <c r="I1484">
        <f t="shared" si="256"/>
        <v>-1.414129631263128E-2</v>
      </c>
      <c r="J1484">
        <v>1404.099976</v>
      </c>
      <c r="K1484">
        <f t="shared" si="257"/>
        <v>-1.0953437634006691E-2</v>
      </c>
      <c r="L1484">
        <v>381.4500122</v>
      </c>
      <c r="M1484">
        <f t="shared" si="258"/>
        <v>5.4033166393256948E-3</v>
      </c>
      <c r="N1484">
        <v>967.40002440000001</v>
      </c>
      <c r="O1484">
        <f t="shared" si="259"/>
        <v>1.6817321410192765E-2</v>
      </c>
      <c r="P1484">
        <v>152.1999969</v>
      </c>
      <c r="Q1484">
        <f t="shared" si="260"/>
        <v>-2.29437032374602E-3</v>
      </c>
      <c r="R1484">
        <v>415.7000122</v>
      </c>
      <c r="S1484">
        <f t="shared" si="261"/>
        <v>1.0574950858132537E-2</v>
      </c>
      <c r="T1484">
        <v>3382.1499020000001</v>
      </c>
      <c r="U1484">
        <f t="shared" si="262"/>
        <v>1.3454161959697286E-2</v>
      </c>
      <c r="W1484">
        <f t="shared" si="263"/>
        <v>1.6016667581976172E-3</v>
      </c>
      <c r="X1484">
        <v>8.570513362734157E-3</v>
      </c>
    </row>
    <row r="1485" spans="1:24" x14ac:dyDescent="0.35">
      <c r="A1485" s="1">
        <v>45002</v>
      </c>
      <c r="B1485">
        <v>2051.920654</v>
      </c>
      <c r="C1485">
        <f t="shared" si="253"/>
        <v>-1.2578354139642922E-3</v>
      </c>
      <c r="D1485">
        <v>3179.3000489999999</v>
      </c>
      <c r="E1485">
        <f t="shared" si="254"/>
        <v>-1.7896235478807032E-3</v>
      </c>
      <c r="F1485">
        <v>1572.650024</v>
      </c>
      <c r="G1485">
        <f t="shared" si="255"/>
        <v>1.3370706668666132E-2</v>
      </c>
      <c r="H1485">
        <v>757.25</v>
      </c>
      <c r="I1485">
        <f t="shared" si="256"/>
        <v>1.5148451793268958E-2</v>
      </c>
      <c r="J1485">
        <v>1420.6999510000001</v>
      </c>
      <c r="K1485">
        <f t="shared" si="257"/>
        <v>1.1822502160629744E-2</v>
      </c>
      <c r="L1485">
        <v>375.5499878</v>
      </c>
      <c r="M1485">
        <f t="shared" si="258"/>
        <v>-1.5467359316550633E-2</v>
      </c>
      <c r="N1485">
        <v>957.70001219999995</v>
      </c>
      <c r="O1485">
        <f t="shared" si="259"/>
        <v>-1.0026888521132871E-2</v>
      </c>
      <c r="P1485">
        <v>153.1499939</v>
      </c>
      <c r="Q1485">
        <f t="shared" si="260"/>
        <v>6.241767538432752E-3</v>
      </c>
      <c r="R1485">
        <v>419</v>
      </c>
      <c r="S1485">
        <f t="shared" si="261"/>
        <v>7.9383875466723097E-3</v>
      </c>
      <c r="T1485">
        <v>3311.3000489999999</v>
      </c>
      <c r="U1485">
        <f t="shared" si="262"/>
        <v>-2.0948170558053536E-2</v>
      </c>
      <c r="W1485">
        <f t="shared" si="263"/>
        <v>5.0319383500878638E-4</v>
      </c>
      <c r="X1485">
        <v>8.5794929779361429E-3</v>
      </c>
    </row>
    <row r="1486" spans="1:24" x14ac:dyDescent="0.35">
      <c r="A1486" s="1">
        <v>45005</v>
      </c>
      <c r="B1486">
        <v>2031.753052</v>
      </c>
      <c r="C1486">
        <f t="shared" si="253"/>
        <v>-9.8286461324347263E-3</v>
      </c>
      <c r="D1486">
        <v>3143.3000489999999</v>
      </c>
      <c r="E1486">
        <f t="shared" si="254"/>
        <v>-1.1323247081169052E-2</v>
      </c>
      <c r="F1486">
        <v>1561.75</v>
      </c>
      <c r="G1486">
        <f t="shared" si="255"/>
        <v>-6.930991532544617E-3</v>
      </c>
      <c r="H1486">
        <v>754.79998780000005</v>
      </c>
      <c r="I1486">
        <f t="shared" si="256"/>
        <v>-3.2354073291515073E-3</v>
      </c>
      <c r="J1486">
        <v>1403.650024</v>
      </c>
      <c r="K1486">
        <f t="shared" si="257"/>
        <v>-1.2001075236188319E-2</v>
      </c>
      <c r="L1486">
        <v>378.7999878</v>
      </c>
      <c r="M1486">
        <f t="shared" si="258"/>
        <v>8.6539744523459472E-3</v>
      </c>
      <c r="N1486">
        <v>961.20001219999995</v>
      </c>
      <c r="O1486">
        <f t="shared" si="259"/>
        <v>3.6545890732109232E-3</v>
      </c>
      <c r="P1486">
        <v>152.3000031</v>
      </c>
      <c r="Q1486">
        <f t="shared" si="260"/>
        <v>-5.5500544162934151E-3</v>
      </c>
      <c r="R1486">
        <v>410.75</v>
      </c>
      <c r="S1486">
        <f t="shared" si="261"/>
        <v>-1.9689737470167112E-2</v>
      </c>
      <c r="T1486">
        <v>3366.1000979999999</v>
      </c>
      <c r="U1486">
        <f t="shared" si="262"/>
        <v>1.6549406030585967E-2</v>
      </c>
      <c r="W1486">
        <f t="shared" si="263"/>
        <v>-3.9701189641805912E-3</v>
      </c>
      <c r="X1486">
        <v>8.5959938710211126E-3</v>
      </c>
    </row>
    <row r="1487" spans="1:24" x14ac:dyDescent="0.35">
      <c r="A1487" s="1">
        <v>45006</v>
      </c>
      <c r="B1487">
        <v>2094.9323730000001</v>
      </c>
      <c r="C1487">
        <f t="shared" si="253"/>
        <v>3.1095964609384019E-2</v>
      </c>
      <c r="D1487">
        <v>3106.1000979999999</v>
      </c>
      <c r="E1487">
        <f t="shared" si="254"/>
        <v>-1.1834680246906371E-2</v>
      </c>
      <c r="F1487">
        <v>1579.4499510000001</v>
      </c>
      <c r="G1487">
        <f t="shared" si="255"/>
        <v>1.1333408676164503E-2</v>
      </c>
      <c r="H1487">
        <v>756.95001219999995</v>
      </c>
      <c r="I1487">
        <f t="shared" si="256"/>
        <v>2.8484690444505745E-3</v>
      </c>
      <c r="J1487">
        <v>1390.6999510000001</v>
      </c>
      <c r="K1487">
        <f t="shared" si="257"/>
        <v>-9.2259984886374768E-3</v>
      </c>
      <c r="L1487">
        <v>376.9500122</v>
      </c>
      <c r="M1487">
        <f t="shared" si="258"/>
        <v>-4.8837794603540097E-3</v>
      </c>
      <c r="N1487">
        <v>956.20001219999995</v>
      </c>
      <c r="O1487">
        <f t="shared" si="259"/>
        <v>-5.2018309785035743E-3</v>
      </c>
      <c r="P1487">
        <v>151.5500031</v>
      </c>
      <c r="Q1487">
        <f t="shared" si="260"/>
        <v>-4.9244910356800453E-3</v>
      </c>
      <c r="R1487">
        <v>412.5499878</v>
      </c>
      <c r="S1487">
        <f t="shared" si="261"/>
        <v>4.382197930614673E-3</v>
      </c>
      <c r="T1487">
        <v>3357.6000979999999</v>
      </c>
      <c r="U1487">
        <f t="shared" si="262"/>
        <v>-2.525177431607073E-3</v>
      </c>
      <c r="W1487">
        <f t="shared" si="263"/>
        <v>1.1064082618925221E-3</v>
      </c>
      <c r="X1487">
        <v>8.616188331655306E-3</v>
      </c>
    </row>
    <row r="1488" spans="1:24" x14ac:dyDescent="0.35">
      <c r="A1488" s="1">
        <v>45007</v>
      </c>
      <c r="B1488">
        <v>2101.3010250000002</v>
      </c>
      <c r="C1488">
        <f t="shared" si="253"/>
        <v>3.0400274882764755E-3</v>
      </c>
      <c r="D1488">
        <v>3130.8000489999999</v>
      </c>
      <c r="E1488">
        <f t="shared" si="254"/>
        <v>7.9520782398172507E-3</v>
      </c>
      <c r="F1488">
        <v>1575.8000489999999</v>
      </c>
      <c r="G1488">
        <f t="shared" si="255"/>
        <v>-2.3108690450680536E-3</v>
      </c>
      <c r="H1488">
        <v>756.70001219999995</v>
      </c>
      <c r="I1488">
        <f t="shared" si="256"/>
        <v>-3.3027280001407533E-4</v>
      </c>
      <c r="J1488">
        <v>1389.25</v>
      </c>
      <c r="K1488">
        <f t="shared" si="257"/>
        <v>-1.042605199602864E-3</v>
      </c>
      <c r="L1488">
        <v>377.75</v>
      </c>
      <c r="M1488">
        <f t="shared" si="258"/>
        <v>2.1222649531988935E-3</v>
      </c>
      <c r="N1488">
        <v>972.04998780000005</v>
      </c>
      <c r="O1488">
        <f t="shared" si="259"/>
        <v>1.6576004390057353E-2</v>
      </c>
      <c r="P1488">
        <v>151.5500031</v>
      </c>
      <c r="Q1488">
        <f t="shared" si="260"/>
        <v>0</v>
      </c>
      <c r="R1488">
        <v>416.10000609999997</v>
      </c>
      <c r="S1488">
        <f t="shared" si="261"/>
        <v>8.6050621863573706E-3</v>
      </c>
      <c r="T1488">
        <v>3361.3999020000001</v>
      </c>
      <c r="U1488">
        <f t="shared" si="262"/>
        <v>1.1317023734493947E-3</v>
      </c>
      <c r="W1488">
        <f t="shared" si="263"/>
        <v>3.5743392586471746E-3</v>
      </c>
      <c r="X1488">
        <v>8.6169868599314317E-3</v>
      </c>
    </row>
    <row r="1489" spans="1:24" x14ac:dyDescent="0.35">
      <c r="A1489" s="1">
        <v>45008</v>
      </c>
      <c r="B1489">
        <v>2074.71875</v>
      </c>
      <c r="C1489">
        <f t="shared" si="253"/>
        <v>-1.2650388822801006E-2</v>
      </c>
      <c r="D1489">
        <v>3124.6499020000001</v>
      </c>
      <c r="E1489">
        <f t="shared" si="254"/>
        <v>-1.9644010807922108E-3</v>
      </c>
      <c r="F1489">
        <v>1563.150024</v>
      </c>
      <c r="G1489">
        <f t="shared" si="255"/>
        <v>-8.0276841011824862E-3</v>
      </c>
      <c r="H1489">
        <v>763.54998780000005</v>
      </c>
      <c r="I1489">
        <f t="shared" si="256"/>
        <v>9.0524322579099703E-3</v>
      </c>
      <c r="J1489">
        <v>1374.5500489999999</v>
      </c>
      <c r="K1489">
        <f t="shared" si="257"/>
        <v>-1.0581213604462847E-2</v>
      </c>
      <c r="L1489">
        <v>380.64999390000003</v>
      </c>
      <c r="M1489">
        <f t="shared" si="258"/>
        <v>7.6770189278623224E-3</v>
      </c>
      <c r="N1489">
        <v>977.65002440000001</v>
      </c>
      <c r="O1489">
        <f t="shared" si="259"/>
        <v>5.7610582483256234E-3</v>
      </c>
      <c r="P1489">
        <v>152.8000031</v>
      </c>
      <c r="Q1489">
        <f t="shared" si="260"/>
        <v>8.248102767607346E-3</v>
      </c>
      <c r="R1489">
        <v>419.14999390000003</v>
      </c>
      <c r="S1489">
        <f t="shared" si="261"/>
        <v>7.3299393301788918E-3</v>
      </c>
      <c r="T1489">
        <v>3373.5</v>
      </c>
      <c r="U1489">
        <f t="shared" si="262"/>
        <v>3.5997198645720818E-3</v>
      </c>
      <c r="W1489">
        <f t="shared" si="263"/>
        <v>8.4445837872176833E-4</v>
      </c>
      <c r="X1489">
        <v>8.6172203696651579E-3</v>
      </c>
    </row>
    <row r="1490" spans="1:24" x14ac:dyDescent="0.35">
      <c r="A1490" s="1">
        <v>45009</v>
      </c>
      <c r="B1490">
        <v>2033.6451420000001</v>
      </c>
      <c r="C1490">
        <f t="shared" si="253"/>
        <v>-1.9797193234022625E-2</v>
      </c>
      <c r="D1490">
        <v>3120.5</v>
      </c>
      <c r="E1490">
        <f t="shared" si="254"/>
        <v>-1.3281174308020782E-3</v>
      </c>
      <c r="F1490">
        <v>1560.650024</v>
      </c>
      <c r="G1490">
        <f t="shared" si="255"/>
        <v>-1.5993346522188423E-3</v>
      </c>
      <c r="H1490">
        <v>762.45001219999995</v>
      </c>
      <c r="I1490">
        <f t="shared" si="256"/>
        <v>-1.4406071869236259E-3</v>
      </c>
      <c r="J1490">
        <v>1380.650024</v>
      </c>
      <c r="K1490">
        <f t="shared" si="257"/>
        <v>4.4377976665439522E-3</v>
      </c>
      <c r="L1490">
        <v>378.7000122</v>
      </c>
      <c r="M1490">
        <f t="shared" si="258"/>
        <v>-5.1227682418203413E-3</v>
      </c>
      <c r="N1490">
        <v>972.84997559999999</v>
      </c>
      <c r="O1490">
        <f t="shared" si="259"/>
        <v>-4.9097823149402142E-3</v>
      </c>
      <c r="P1490">
        <v>149.3999939</v>
      </c>
      <c r="Q1490">
        <f t="shared" si="260"/>
        <v>-2.2251368658512849E-2</v>
      </c>
      <c r="R1490">
        <v>416.5</v>
      </c>
      <c r="S1490">
        <f t="shared" si="261"/>
        <v>-6.3223045176334924E-3</v>
      </c>
      <c r="T1490">
        <v>3358.3999020000001</v>
      </c>
      <c r="U1490">
        <f t="shared" si="262"/>
        <v>-4.4760924855491435E-3</v>
      </c>
      <c r="W1490">
        <f t="shared" si="263"/>
        <v>-6.2809771055879256E-3</v>
      </c>
      <c r="X1490">
        <v>8.6977708449105483E-3</v>
      </c>
    </row>
    <row r="1491" spans="1:24" x14ac:dyDescent="0.35">
      <c r="A1491" s="1">
        <v>45012</v>
      </c>
      <c r="B1491">
        <v>2065.2578130000002</v>
      </c>
      <c r="C1491">
        <f t="shared" si="253"/>
        <v>1.554483146893082E-2</v>
      </c>
      <c r="D1491">
        <v>3122.3000489999999</v>
      </c>
      <c r="E1491">
        <f t="shared" si="254"/>
        <v>5.7684633872767677E-4</v>
      </c>
      <c r="F1491">
        <v>1567.4499510000001</v>
      </c>
      <c r="G1491">
        <f t="shared" si="255"/>
        <v>4.3571120337226876E-3</v>
      </c>
      <c r="H1491">
        <v>761.75</v>
      </c>
      <c r="I1491">
        <f t="shared" si="256"/>
        <v>-9.181089760627037E-4</v>
      </c>
      <c r="J1491">
        <v>1388.9499510000001</v>
      </c>
      <c r="K1491">
        <f t="shared" si="257"/>
        <v>6.0116081959378231E-3</v>
      </c>
      <c r="L1491">
        <v>380.2000122</v>
      </c>
      <c r="M1491">
        <f t="shared" si="258"/>
        <v>3.960918805589575E-3</v>
      </c>
      <c r="N1491">
        <v>983.45001219999995</v>
      </c>
      <c r="O1491">
        <f t="shared" si="259"/>
        <v>1.0895859449924439E-2</v>
      </c>
      <c r="P1491">
        <v>150.25</v>
      </c>
      <c r="Q1491">
        <f t="shared" si="260"/>
        <v>5.6894654264105782E-3</v>
      </c>
      <c r="R1491">
        <v>412.0499878</v>
      </c>
      <c r="S1491">
        <f t="shared" si="261"/>
        <v>-1.068430300120049E-2</v>
      </c>
      <c r="T1491">
        <v>3306.8000489999999</v>
      </c>
      <c r="U1491">
        <f t="shared" si="262"/>
        <v>-1.5364415943816434E-2</v>
      </c>
      <c r="W1491">
        <f t="shared" si="263"/>
        <v>2.0069813798163976E-3</v>
      </c>
      <c r="X1491">
        <v>8.6985105493184844E-3</v>
      </c>
    </row>
    <row r="1492" spans="1:24" x14ac:dyDescent="0.35">
      <c r="A1492" s="1">
        <v>45013</v>
      </c>
      <c r="B1492">
        <v>2074.9033199999999</v>
      </c>
      <c r="C1492">
        <f t="shared" si="253"/>
        <v>4.6703646098249507E-3</v>
      </c>
      <c r="D1492">
        <v>3115.8999020000001</v>
      </c>
      <c r="E1492">
        <f t="shared" si="254"/>
        <v>-2.0498180506545172E-3</v>
      </c>
      <c r="F1492">
        <v>1580.1999510000001</v>
      </c>
      <c r="G1492">
        <f t="shared" si="255"/>
        <v>8.1342310112457739E-3</v>
      </c>
      <c r="H1492">
        <v>748.45001219999995</v>
      </c>
      <c r="I1492">
        <f t="shared" si="256"/>
        <v>-1.745978050541519E-2</v>
      </c>
      <c r="J1492">
        <v>1377.599976</v>
      </c>
      <c r="K1492">
        <f t="shared" si="257"/>
        <v>-8.1716227368945349E-3</v>
      </c>
      <c r="L1492">
        <v>379.75</v>
      </c>
      <c r="M1492">
        <f t="shared" si="258"/>
        <v>-1.1836196358754325E-3</v>
      </c>
      <c r="N1492">
        <v>984.20001219999995</v>
      </c>
      <c r="O1492">
        <f t="shared" si="259"/>
        <v>7.6262137444316203E-4</v>
      </c>
      <c r="P1492">
        <v>147.1999969</v>
      </c>
      <c r="Q1492">
        <f t="shared" si="260"/>
        <v>-2.0299521464226311E-2</v>
      </c>
      <c r="R1492">
        <v>401.60000609999997</v>
      </c>
      <c r="S1492">
        <f t="shared" si="261"/>
        <v>-2.5360956217458264E-2</v>
      </c>
      <c r="T1492">
        <v>3316.4499510000001</v>
      </c>
      <c r="U1492">
        <f t="shared" si="262"/>
        <v>2.9181994245217613E-3</v>
      </c>
      <c r="W1492">
        <f t="shared" si="263"/>
        <v>-5.8039902190488608E-3</v>
      </c>
      <c r="X1492">
        <v>8.7642204443584282E-3</v>
      </c>
    </row>
    <row r="1493" spans="1:24" x14ac:dyDescent="0.35">
      <c r="A1493" s="1">
        <v>45014</v>
      </c>
      <c r="B1493">
        <v>2062.6274410000001</v>
      </c>
      <c r="C1493">
        <f t="shared" si="253"/>
        <v>-5.9163619247569743E-3</v>
      </c>
      <c r="D1493">
        <v>3138.8999020000001</v>
      </c>
      <c r="E1493">
        <f t="shared" si="254"/>
        <v>7.3814951453470279E-3</v>
      </c>
      <c r="F1493">
        <v>1587.8000489999999</v>
      </c>
      <c r="G1493">
        <f t="shared" si="255"/>
        <v>4.809579949164311E-3</v>
      </c>
      <c r="H1493">
        <v>743.59997559999999</v>
      </c>
      <c r="I1493">
        <f t="shared" si="256"/>
        <v>-6.4801075835962951E-3</v>
      </c>
      <c r="J1493">
        <v>1383.5500489999999</v>
      </c>
      <c r="K1493">
        <f t="shared" si="257"/>
        <v>4.3191587570119427E-3</v>
      </c>
      <c r="L1493">
        <v>382.75</v>
      </c>
      <c r="M1493">
        <f t="shared" si="258"/>
        <v>7.899934167215239E-3</v>
      </c>
      <c r="N1493">
        <v>991.90002440000001</v>
      </c>
      <c r="O1493">
        <f t="shared" si="259"/>
        <v>7.8236253856449611E-3</v>
      </c>
      <c r="P1493">
        <v>149.3500061</v>
      </c>
      <c r="Q1493">
        <f t="shared" si="260"/>
        <v>1.4606041068469633E-2</v>
      </c>
      <c r="R1493">
        <v>409.2000122</v>
      </c>
      <c r="S1493">
        <f t="shared" si="261"/>
        <v>1.8924317690641734E-2</v>
      </c>
      <c r="T1493">
        <v>3325.4499510000001</v>
      </c>
      <c r="U1493">
        <f t="shared" si="262"/>
        <v>2.7137451591230377E-3</v>
      </c>
      <c r="W1493">
        <f t="shared" si="263"/>
        <v>5.6081427814264617E-3</v>
      </c>
      <c r="X1493">
        <v>8.8059895193615678E-3</v>
      </c>
    </row>
    <row r="1494" spans="1:24" x14ac:dyDescent="0.35">
      <c r="A1494" s="1">
        <v>45016</v>
      </c>
      <c r="B1494">
        <v>2151.5583499999998</v>
      </c>
      <c r="C1494">
        <f t="shared" si="253"/>
        <v>4.3115352405514562E-2</v>
      </c>
      <c r="D1494">
        <v>3205.8999020000001</v>
      </c>
      <c r="E1494">
        <f t="shared" si="254"/>
        <v>2.1345057852055094E-2</v>
      </c>
      <c r="F1494">
        <v>1609.5500489999999</v>
      </c>
      <c r="G1494">
        <f t="shared" si="255"/>
        <v>1.3698198342857015E-2</v>
      </c>
      <c r="H1494">
        <v>749</v>
      </c>
      <c r="I1494">
        <f t="shared" si="256"/>
        <v>7.2620018520614948E-3</v>
      </c>
      <c r="J1494">
        <v>1427.9499510000001</v>
      </c>
      <c r="K1494">
        <f t="shared" si="257"/>
        <v>3.2091287215877395E-2</v>
      </c>
      <c r="L1494">
        <v>383.5</v>
      </c>
      <c r="M1494">
        <f t="shared" si="258"/>
        <v>1.9595035924233617E-3</v>
      </c>
      <c r="N1494">
        <v>983.09997559999999</v>
      </c>
      <c r="O1494">
        <f t="shared" si="259"/>
        <v>-8.8719110631367837E-3</v>
      </c>
      <c r="P1494">
        <v>151.0500031</v>
      </c>
      <c r="Q1494">
        <f t="shared" si="260"/>
        <v>1.1382637633517989E-2</v>
      </c>
      <c r="R1494">
        <v>420.7999878</v>
      </c>
      <c r="S1494">
        <f t="shared" si="261"/>
        <v>2.834793561621507E-2</v>
      </c>
      <c r="T1494">
        <v>3401.0500489999999</v>
      </c>
      <c r="U1494">
        <f t="shared" si="262"/>
        <v>2.27337951597395E-2</v>
      </c>
      <c r="W1494">
        <f t="shared" si="263"/>
        <v>1.7306385860712467E-2</v>
      </c>
      <c r="X1494">
        <v>8.8194133827815165E-3</v>
      </c>
    </row>
    <row r="1495" spans="1:24" x14ac:dyDescent="0.35">
      <c r="A1495" s="1">
        <v>45019</v>
      </c>
      <c r="B1495">
        <v>2151.92749</v>
      </c>
      <c r="C1495">
        <f t="shared" si="253"/>
        <v>1.7156866789136416E-4</v>
      </c>
      <c r="D1495">
        <v>3200</v>
      </c>
      <c r="E1495">
        <f t="shared" si="254"/>
        <v>-1.8403263296896677E-3</v>
      </c>
      <c r="F1495">
        <v>1610.5500489999999</v>
      </c>
      <c r="G1495">
        <f t="shared" si="255"/>
        <v>6.2129164645807755E-4</v>
      </c>
      <c r="H1495">
        <v>760.54998780000005</v>
      </c>
      <c r="I1495">
        <f t="shared" si="256"/>
        <v>1.5420544459279206E-2</v>
      </c>
      <c r="J1495">
        <v>1410.849976</v>
      </c>
      <c r="K1495">
        <f t="shared" si="257"/>
        <v>-1.1975192119321076E-2</v>
      </c>
      <c r="L1495">
        <v>378.89999390000003</v>
      </c>
      <c r="M1495">
        <f t="shared" si="258"/>
        <v>-1.1994800782268555E-2</v>
      </c>
      <c r="N1495">
        <v>979.04998780000005</v>
      </c>
      <c r="O1495">
        <f t="shared" si="259"/>
        <v>-4.119609297648652E-3</v>
      </c>
      <c r="P1495">
        <v>153.6499939</v>
      </c>
      <c r="Q1495">
        <f t="shared" si="260"/>
        <v>1.7212782169085505E-2</v>
      </c>
      <c r="R1495">
        <v>424.25</v>
      </c>
      <c r="S1495">
        <f t="shared" si="261"/>
        <v>8.198698431616247E-3</v>
      </c>
      <c r="T1495">
        <v>3553.75</v>
      </c>
      <c r="U1495">
        <f t="shared" si="262"/>
        <v>4.4897884124021514E-2</v>
      </c>
      <c r="W1495">
        <f t="shared" si="263"/>
        <v>5.6592840969423956E-3</v>
      </c>
      <c r="X1495">
        <v>8.8276481729693494E-3</v>
      </c>
    </row>
    <row r="1496" spans="1:24" x14ac:dyDescent="0.35">
      <c r="A1496" s="1">
        <v>45021</v>
      </c>
      <c r="B1496">
        <v>2146.758789</v>
      </c>
      <c r="C1496">
        <f t="shared" si="253"/>
        <v>-2.4018936623185771E-3</v>
      </c>
      <c r="D1496">
        <v>3239.8000489999999</v>
      </c>
      <c r="E1496">
        <f t="shared" si="254"/>
        <v>1.2437515312500036E-2</v>
      </c>
      <c r="F1496">
        <v>1653.75</v>
      </c>
      <c r="G1496">
        <f t="shared" si="255"/>
        <v>2.6823103713432106E-2</v>
      </c>
      <c r="H1496">
        <v>763.45001219999995</v>
      </c>
      <c r="I1496">
        <f t="shared" si="256"/>
        <v>3.8130621872582982E-3</v>
      </c>
      <c r="J1496">
        <v>1423.5500489999999</v>
      </c>
      <c r="K1496">
        <f t="shared" si="257"/>
        <v>9.0017175575300978E-3</v>
      </c>
      <c r="L1496">
        <v>386.39999390000003</v>
      </c>
      <c r="M1496">
        <f t="shared" si="258"/>
        <v>1.9794141252953867E-2</v>
      </c>
      <c r="N1496">
        <v>997.15002440000001</v>
      </c>
      <c r="O1496">
        <f t="shared" si="259"/>
        <v>1.8487346739743282E-2</v>
      </c>
      <c r="P1496">
        <v>152.8999939</v>
      </c>
      <c r="Q1496">
        <f t="shared" si="260"/>
        <v>-4.8812237538266023E-3</v>
      </c>
      <c r="R1496">
        <v>426.5499878</v>
      </c>
      <c r="S1496">
        <f t="shared" si="261"/>
        <v>5.4213030053034128E-3</v>
      </c>
      <c r="T1496">
        <v>3654.8500979999999</v>
      </c>
      <c r="U1496">
        <f t="shared" si="262"/>
        <v>2.8448849243756458E-2</v>
      </c>
      <c r="W1496">
        <f t="shared" si="263"/>
        <v>1.169439215963324E-2</v>
      </c>
      <c r="X1496">
        <v>8.842443789168819E-3</v>
      </c>
    </row>
    <row r="1497" spans="1:24" x14ac:dyDescent="0.35">
      <c r="A1497" s="1">
        <v>45022</v>
      </c>
      <c r="B1497">
        <v>2161.157471</v>
      </c>
      <c r="C1497">
        <f t="shared" si="253"/>
        <v>6.7071727265208825E-3</v>
      </c>
      <c r="D1497">
        <v>3220.6999510000001</v>
      </c>
      <c r="E1497">
        <f t="shared" si="254"/>
        <v>-5.8954558031738546E-3</v>
      </c>
      <c r="F1497">
        <v>1666.349976</v>
      </c>
      <c r="G1497">
        <f t="shared" si="255"/>
        <v>7.6190331065759676E-3</v>
      </c>
      <c r="H1497">
        <v>765.95001219999995</v>
      </c>
      <c r="I1497">
        <f t="shared" si="256"/>
        <v>3.2746086319337397E-3</v>
      </c>
      <c r="J1497">
        <v>1421.900024</v>
      </c>
      <c r="K1497">
        <f t="shared" si="257"/>
        <v>-1.159091667454204E-3</v>
      </c>
      <c r="L1497">
        <v>387.35000609999997</v>
      </c>
      <c r="M1497">
        <f t="shared" si="258"/>
        <v>2.4586237448176451E-3</v>
      </c>
      <c r="N1497">
        <v>1012.099976</v>
      </c>
      <c r="O1497">
        <f t="shared" si="259"/>
        <v>1.4992680373242306E-2</v>
      </c>
      <c r="P1497">
        <v>150.6000061</v>
      </c>
      <c r="Q1497">
        <f t="shared" si="260"/>
        <v>-1.5042432254799398E-2</v>
      </c>
      <c r="R1497">
        <v>437.64999390000003</v>
      </c>
      <c r="S1497">
        <f t="shared" si="261"/>
        <v>2.6022755638207995E-2</v>
      </c>
      <c r="T1497">
        <v>3496.1000979999999</v>
      </c>
      <c r="U1497">
        <f t="shared" si="262"/>
        <v>-4.3435433942111801E-2</v>
      </c>
      <c r="W1497">
        <f t="shared" si="263"/>
        <v>-4.4575394462407223E-4</v>
      </c>
      <c r="X1497">
        <v>8.8437548228973203E-3</v>
      </c>
    </row>
    <row r="1498" spans="1:24" x14ac:dyDescent="0.35">
      <c r="A1498" s="1">
        <v>45026</v>
      </c>
      <c r="B1498">
        <v>2145.835693</v>
      </c>
      <c r="C1498">
        <f t="shared" si="253"/>
        <v>-7.0896166547782524E-3</v>
      </c>
      <c r="D1498">
        <v>3263.3999020000001</v>
      </c>
      <c r="E1498">
        <f t="shared" si="254"/>
        <v>1.3257972381668814E-2</v>
      </c>
      <c r="F1498">
        <v>1658.4499510000001</v>
      </c>
      <c r="G1498">
        <f t="shared" si="255"/>
        <v>-4.740915842279203E-3</v>
      </c>
      <c r="H1498">
        <v>769.75</v>
      </c>
      <c r="I1498">
        <f t="shared" si="256"/>
        <v>4.961143337651519E-3</v>
      </c>
      <c r="J1498">
        <v>1427.599976</v>
      </c>
      <c r="K1498">
        <f t="shared" si="257"/>
        <v>4.0086869004791748E-3</v>
      </c>
      <c r="L1498">
        <v>388.5499878</v>
      </c>
      <c r="M1498">
        <f t="shared" si="258"/>
        <v>3.0979261161809823E-3</v>
      </c>
      <c r="N1498">
        <v>1008.599976</v>
      </c>
      <c r="O1498">
        <f t="shared" si="259"/>
        <v>-3.4581563906687096E-3</v>
      </c>
      <c r="P1498">
        <v>157.1499939</v>
      </c>
      <c r="Q1498">
        <f t="shared" si="260"/>
        <v>4.3492613112184886E-2</v>
      </c>
      <c r="R1498">
        <v>461.2999878</v>
      </c>
      <c r="S1498">
        <f t="shared" si="261"/>
        <v>5.4038602147002068E-2</v>
      </c>
      <c r="T1498">
        <v>3450.6999510000001</v>
      </c>
      <c r="U1498">
        <f t="shared" si="262"/>
        <v>-1.2985940255535455E-2</v>
      </c>
      <c r="W1498">
        <f t="shared" si="263"/>
        <v>9.4582314851905831E-3</v>
      </c>
      <c r="X1498">
        <v>8.8592056014891729E-3</v>
      </c>
    </row>
    <row r="1499" spans="1:24" x14ac:dyDescent="0.35">
      <c r="A1499" s="1">
        <v>45027</v>
      </c>
      <c r="B1499">
        <v>2156.4501949999999</v>
      </c>
      <c r="C1499">
        <f t="shared" si="253"/>
        <v>4.9465585993493377E-3</v>
      </c>
      <c r="D1499">
        <v>3213.8000489999999</v>
      </c>
      <c r="E1499">
        <f t="shared" si="254"/>
        <v>-1.519882775310577E-2</v>
      </c>
      <c r="F1499">
        <v>1663.3000489999999</v>
      </c>
      <c r="G1499">
        <f t="shared" si="255"/>
        <v>2.924476555397737E-3</v>
      </c>
      <c r="H1499">
        <v>774.15002440000001</v>
      </c>
      <c r="I1499">
        <f t="shared" si="256"/>
        <v>5.7161733030204331E-3</v>
      </c>
      <c r="J1499">
        <v>1406.150024</v>
      </c>
      <c r="K1499">
        <f t="shared" si="257"/>
        <v>-1.5025183777391704E-2</v>
      </c>
      <c r="L1499">
        <v>396</v>
      </c>
      <c r="M1499">
        <f t="shared" si="258"/>
        <v>1.9173883499990607E-2</v>
      </c>
      <c r="N1499">
        <v>1009.25</v>
      </c>
      <c r="O1499">
        <f t="shared" si="259"/>
        <v>6.4448147478435303E-4</v>
      </c>
      <c r="P1499">
        <v>159.0500031</v>
      </c>
      <c r="Q1499">
        <f t="shared" si="260"/>
        <v>1.2090418541212511E-2</v>
      </c>
      <c r="R1499">
        <v>458.7000122</v>
      </c>
      <c r="S1499">
        <f t="shared" si="261"/>
        <v>-5.6361926485184455E-3</v>
      </c>
      <c r="T1499">
        <v>3454.1999510000001</v>
      </c>
      <c r="U1499">
        <f t="shared" si="262"/>
        <v>1.0142869706726287E-3</v>
      </c>
      <c r="W1499">
        <f t="shared" si="263"/>
        <v>1.0650074765411689E-3</v>
      </c>
      <c r="X1499">
        <v>8.8649556563543119E-3</v>
      </c>
    </row>
    <row r="1500" spans="1:24" x14ac:dyDescent="0.35">
      <c r="A1500" s="1">
        <v>45028</v>
      </c>
      <c r="B1500">
        <v>2165.9572750000002</v>
      </c>
      <c r="C1500">
        <f t="shared" si="253"/>
        <v>4.4086712607802614E-3</v>
      </c>
      <c r="D1500">
        <v>3241.6499020000001</v>
      </c>
      <c r="E1500">
        <f t="shared" si="254"/>
        <v>8.6657080637813078E-3</v>
      </c>
      <c r="F1500">
        <v>1684.900024</v>
      </c>
      <c r="G1500">
        <f t="shared" si="255"/>
        <v>1.2986216776093018E-2</v>
      </c>
      <c r="H1500">
        <v>771.09997559999999</v>
      </c>
      <c r="I1500">
        <f t="shared" si="256"/>
        <v>-3.939867860062285E-3</v>
      </c>
      <c r="J1500">
        <v>1428.3000489999999</v>
      </c>
      <c r="K1500">
        <f t="shared" si="257"/>
        <v>1.5752248779963729E-2</v>
      </c>
      <c r="L1500">
        <v>393.5499878</v>
      </c>
      <c r="M1500">
        <f t="shared" si="258"/>
        <v>-6.1868994949495493E-3</v>
      </c>
      <c r="N1500">
        <v>1016.700012</v>
      </c>
      <c r="O1500">
        <f t="shared" si="259"/>
        <v>7.3817309883577042E-3</v>
      </c>
      <c r="P1500">
        <v>157.6499939</v>
      </c>
      <c r="Q1500">
        <f t="shared" si="260"/>
        <v>-8.8023211110519473E-3</v>
      </c>
      <c r="R1500">
        <v>465.5</v>
      </c>
      <c r="S1500">
        <f t="shared" si="261"/>
        <v>1.482447704194767E-2</v>
      </c>
      <c r="T1500">
        <v>3473.1000979999999</v>
      </c>
      <c r="U1500">
        <f t="shared" si="262"/>
        <v>5.4716424260639052E-3</v>
      </c>
      <c r="W1500">
        <f t="shared" si="263"/>
        <v>5.0561606870923818E-3</v>
      </c>
      <c r="X1500">
        <v>8.8883200333404917E-3</v>
      </c>
    </row>
    <row r="1501" spans="1:24" x14ac:dyDescent="0.35">
      <c r="A1501" s="1">
        <v>45029</v>
      </c>
      <c r="B1501">
        <v>2174.125732</v>
      </c>
      <c r="C1501">
        <f t="shared" si="253"/>
        <v>3.7712918413868035E-3</v>
      </c>
      <c r="D1501">
        <v>3188.8500979999999</v>
      </c>
      <c r="E1501">
        <f t="shared" si="254"/>
        <v>-1.6287941510100823E-2</v>
      </c>
      <c r="F1501">
        <v>1692.4499510000001</v>
      </c>
      <c r="G1501">
        <f t="shared" si="255"/>
        <v>4.480934709749862E-3</v>
      </c>
      <c r="H1501">
        <v>767.04998780000005</v>
      </c>
      <c r="I1501">
        <f t="shared" si="256"/>
        <v>-5.2522214085775065E-3</v>
      </c>
      <c r="J1501">
        <v>1389.1999510000001</v>
      </c>
      <c r="K1501">
        <f t="shared" si="257"/>
        <v>-2.737526896213105E-2</v>
      </c>
      <c r="L1501">
        <v>395.60000609999997</v>
      </c>
      <c r="M1501">
        <f t="shared" si="258"/>
        <v>5.2090417063912486E-3</v>
      </c>
      <c r="N1501">
        <v>1003.5</v>
      </c>
      <c r="O1501">
        <f t="shared" si="259"/>
        <v>-1.2983192528967957E-2</v>
      </c>
      <c r="P1501">
        <v>158.75</v>
      </c>
      <c r="Q1501">
        <f t="shared" si="260"/>
        <v>6.9775207266913331E-3</v>
      </c>
      <c r="R1501">
        <v>469.5</v>
      </c>
      <c r="S1501">
        <f t="shared" si="261"/>
        <v>8.5929108485498507E-3</v>
      </c>
      <c r="T1501">
        <v>3501.0500489999999</v>
      </c>
      <c r="U1501">
        <f t="shared" si="262"/>
        <v>8.0475512399125204E-3</v>
      </c>
      <c r="W1501">
        <f t="shared" si="263"/>
        <v>-2.4819373337095722E-3</v>
      </c>
      <c r="X1501">
        <v>8.9144500537129082E-3</v>
      </c>
    </row>
    <row r="1502" spans="1:24" x14ac:dyDescent="0.35">
      <c r="A1502" s="1">
        <v>45033</v>
      </c>
      <c r="B1502">
        <v>2185.155518</v>
      </c>
      <c r="C1502">
        <f t="shared" si="253"/>
        <v>5.0732052142419271E-3</v>
      </c>
      <c r="D1502">
        <v>3139.5</v>
      </c>
      <c r="E1502">
        <f t="shared" si="254"/>
        <v>-1.547582874182496E-2</v>
      </c>
      <c r="F1502">
        <v>1666.650024</v>
      </c>
      <c r="G1502">
        <f t="shared" si="255"/>
        <v>-1.5244129957731278E-2</v>
      </c>
      <c r="H1502">
        <v>759.65002440000001</v>
      </c>
      <c r="I1502">
        <f t="shared" si="256"/>
        <v>-9.6473026760930392E-3</v>
      </c>
      <c r="J1502">
        <v>1258.3000489999999</v>
      </c>
      <c r="K1502">
        <f t="shared" si="257"/>
        <v>-9.4226825955308513E-2</v>
      </c>
      <c r="L1502">
        <v>400.14999390000003</v>
      </c>
      <c r="M1502">
        <f t="shared" si="258"/>
        <v>1.1501485666938871E-2</v>
      </c>
      <c r="N1502">
        <v>998.70001219999995</v>
      </c>
      <c r="O1502">
        <f t="shared" si="259"/>
        <v>-4.7832464374688577E-3</v>
      </c>
      <c r="P1502">
        <v>160.1499939</v>
      </c>
      <c r="Q1502">
        <f t="shared" si="260"/>
        <v>8.8188592125983956E-3</v>
      </c>
      <c r="R1502">
        <v>472.14999390000003</v>
      </c>
      <c r="S1502">
        <f t="shared" si="261"/>
        <v>5.6442894568691226E-3</v>
      </c>
      <c r="T1502">
        <v>3497.1000979999999</v>
      </c>
      <c r="U1502">
        <f t="shared" si="262"/>
        <v>-1.1282189470922521E-3</v>
      </c>
      <c r="W1502">
        <f t="shared" si="263"/>
        <v>-1.094677131648706E-2</v>
      </c>
      <c r="X1502">
        <v>8.9468472850581567E-3</v>
      </c>
    </row>
    <row r="1503" spans="1:24" x14ac:dyDescent="0.35">
      <c r="A1503" s="1">
        <v>45034</v>
      </c>
      <c r="B1503">
        <v>2160.1423340000001</v>
      </c>
      <c r="C1503">
        <f t="shared" si="253"/>
        <v>-1.144686673051698E-2</v>
      </c>
      <c r="D1503">
        <v>3130.75</v>
      </c>
      <c r="E1503">
        <f t="shared" si="254"/>
        <v>-2.7870680044592699E-3</v>
      </c>
      <c r="F1503">
        <v>1659.599976</v>
      </c>
      <c r="G1503">
        <f t="shared" si="255"/>
        <v>-4.230071039797445E-3</v>
      </c>
      <c r="H1503">
        <v>759.75</v>
      </c>
      <c r="I1503">
        <f t="shared" si="256"/>
        <v>1.3160744657247925E-4</v>
      </c>
      <c r="J1503">
        <v>1259.349976</v>
      </c>
      <c r="K1503">
        <f t="shared" si="257"/>
        <v>8.3440114369737195E-4</v>
      </c>
      <c r="L1503">
        <v>398.5</v>
      </c>
      <c r="M1503">
        <f t="shared" si="258"/>
        <v>-4.1234385234362181E-3</v>
      </c>
      <c r="N1503">
        <v>1004.799988</v>
      </c>
      <c r="O1503">
        <f t="shared" si="259"/>
        <v>6.1079160163046708E-3</v>
      </c>
      <c r="P1503">
        <v>160.1000061</v>
      </c>
      <c r="Q1503">
        <f t="shared" si="260"/>
        <v>-3.1213113895722788E-4</v>
      </c>
      <c r="R1503">
        <v>473</v>
      </c>
      <c r="S1503">
        <f t="shared" si="261"/>
        <v>1.8002882791099406E-3</v>
      </c>
      <c r="T1503">
        <v>3506.8000489999999</v>
      </c>
      <c r="U1503">
        <f t="shared" si="262"/>
        <v>2.7737127128695249E-3</v>
      </c>
      <c r="W1503">
        <f t="shared" si="263"/>
        <v>-1.1251649838613157E-3</v>
      </c>
      <c r="X1503">
        <v>8.966677966163494E-3</v>
      </c>
    </row>
    <row r="1504" spans="1:24" x14ac:dyDescent="0.35">
      <c r="A1504" s="1">
        <v>45035</v>
      </c>
      <c r="B1504">
        <v>2170.8952640000002</v>
      </c>
      <c r="C1504">
        <f t="shared" si="253"/>
        <v>4.9778803140663186E-3</v>
      </c>
      <c r="D1504">
        <v>3089.6000979999999</v>
      </c>
      <c r="E1504">
        <f t="shared" si="254"/>
        <v>-1.3143784077297771E-2</v>
      </c>
      <c r="F1504">
        <v>1665.6999510000001</v>
      </c>
      <c r="G1504">
        <f t="shared" si="255"/>
        <v>3.6755694674703854E-3</v>
      </c>
      <c r="H1504">
        <v>764.65002440000001</v>
      </c>
      <c r="I1504">
        <f t="shared" si="256"/>
        <v>6.4495220796314534E-3</v>
      </c>
      <c r="J1504">
        <v>1232.1999510000001</v>
      </c>
      <c r="K1504">
        <f t="shared" si="257"/>
        <v>-2.155876088252684E-2</v>
      </c>
      <c r="L1504">
        <v>398.75</v>
      </c>
      <c r="M1504">
        <f t="shared" si="258"/>
        <v>6.2735257214563411E-4</v>
      </c>
      <c r="N1504">
        <v>995.5</v>
      </c>
      <c r="O1504">
        <f t="shared" si="259"/>
        <v>-9.2555614162685984E-3</v>
      </c>
      <c r="P1504">
        <v>160.1000061</v>
      </c>
      <c r="Q1504">
        <f t="shared" si="260"/>
        <v>0</v>
      </c>
      <c r="R1504">
        <v>469.39999390000003</v>
      </c>
      <c r="S1504">
        <f t="shared" si="261"/>
        <v>-7.6110065539111149E-3</v>
      </c>
      <c r="T1504">
        <v>3476.1999510000001</v>
      </c>
      <c r="U1504">
        <f t="shared" si="262"/>
        <v>-8.7259317818036974E-3</v>
      </c>
      <c r="W1504">
        <f t="shared" si="263"/>
        <v>-4.4564720278494228E-3</v>
      </c>
      <c r="X1504">
        <v>8.9889183111660394E-3</v>
      </c>
    </row>
    <row r="1505" spans="1:24" x14ac:dyDescent="0.35">
      <c r="A1505" s="1">
        <v>45036</v>
      </c>
      <c r="B1505">
        <v>2165.4033199999999</v>
      </c>
      <c r="C1505">
        <f t="shared" si="253"/>
        <v>-2.5298060625371654E-3</v>
      </c>
      <c r="D1505">
        <v>3104.8000489999999</v>
      </c>
      <c r="E1505">
        <f t="shared" si="254"/>
        <v>4.9197146937687286E-3</v>
      </c>
      <c r="F1505">
        <v>1671.900024</v>
      </c>
      <c r="G1505">
        <f t="shared" si="255"/>
        <v>3.7222027870491559E-3</v>
      </c>
      <c r="H1505">
        <v>772.29998780000005</v>
      </c>
      <c r="I1505">
        <f t="shared" si="256"/>
        <v>1.0004529073287749E-2</v>
      </c>
      <c r="J1505">
        <v>1223.400024</v>
      </c>
      <c r="K1505">
        <f t="shared" si="257"/>
        <v>-7.141638816702045E-3</v>
      </c>
      <c r="L1505">
        <v>400.2999878</v>
      </c>
      <c r="M1505">
        <f t="shared" si="258"/>
        <v>3.8871167398120132E-3</v>
      </c>
      <c r="N1505">
        <v>987.75</v>
      </c>
      <c r="O1505">
        <f t="shared" si="259"/>
        <v>-7.7850326469111053E-3</v>
      </c>
      <c r="P1505">
        <v>159.1499939</v>
      </c>
      <c r="Q1505">
        <f t="shared" si="260"/>
        <v>-5.9338673566734501E-3</v>
      </c>
      <c r="R1505">
        <v>476.7999878</v>
      </c>
      <c r="S1505">
        <f t="shared" si="261"/>
        <v>1.5764793345047323E-2</v>
      </c>
      <c r="T1505">
        <v>3482.1999510000001</v>
      </c>
      <c r="U1505">
        <f t="shared" si="262"/>
        <v>1.7260226927608979E-3</v>
      </c>
      <c r="W1505">
        <f t="shared" si="263"/>
        <v>1.6634034448902105E-3</v>
      </c>
      <c r="X1505">
        <v>9.0009511639743585E-3</v>
      </c>
    </row>
    <row r="1506" spans="1:24" x14ac:dyDescent="0.35">
      <c r="A1506" s="1">
        <v>45037</v>
      </c>
      <c r="B1506">
        <v>2168.126221</v>
      </c>
      <c r="C1506">
        <f t="shared" si="253"/>
        <v>1.2574567402068304E-3</v>
      </c>
      <c r="D1506">
        <v>3160.8500979999999</v>
      </c>
      <c r="E1506">
        <f t="shared" si="254"/>
        <v>1.8052708102105575E-2</v>
      </c>
      <c r="F1506">
        <v>1674.599976</v>
      </c>
      <c r="G1506">
        <f t="shared" si="255"/>
        <v>1.614900389522278E-3</v>
      </c>
      <c r="H1506">
        <v>765.20001219999995</v>
      </c>
      <c r="I1506">
        <f t="shared" si="256"/>
        <v>-9.1932872098383633E-3</v>
      </c>
      <c r="J1506">
        <v>1227.349976</v>
      </c>
      <c r="K1506">
        <f t="shared" si="257"/>
        <v>3.2286675842012613E-3</v>
      </c>
      <c r="L1506">
        <v>408.25</v>
      </c>
      <c r="M1506">
        <f t="shared" si="258"/>
        <v>1.9860136003731377E-2</v>
      </c>
      <c r="N1506">
        <v>989.45001219999995</v>
      </c>
      <c r="O1506">
        <f t="shared" si="259"/>
        <v>1.7210956213615791E-3</v>
      </c>
      <c r="P1506">
        <v>159.6000061</v>
      </c>
      <c r="Q1506">
        <f t="shared" si="260"/>
        <v>2.8275979720286948E-3</v>
      </c>
      <c r="R1506">
        <v>471.2000122</v>
      </c>
      <c r="S1506">
        <f t="shared" si="261"/>
        <v>-1.1744915568976388E-2</v>
      </c>
      <c r="T1506">
        <v>3455.8999020000001</v>
      </c>
      <c r="U1506">
        <f t="shared" si="262"/>
        <v>-7.5527107489755663E-3</v>
      </c>
      <c r="W1506">
        <f t="shared" si="263"/>
        <v>2.0071648885367278E-3</v>
      </c>
      <c r="X1506">
        <v>9.0073710774809957E-3</v>
      </c>
    </row>
    <row r="1507" spans="1:24" x14ac:dyDescent="0.35">
      <c r="A1507" s="1">
        <v>45040</v>
      </c>
      <c r="B1507">
        <v>2176.4333499999998</v>
      </c>
      <c r="C1507">
        <f t="shared" si="253"/>
        <v>3.831478499516594E-3</v>
      </c>
      <c r="D1507">
        <v>3174.8000489999999</v>
      </c>
      <c r="E1507">
        <f t="shared" si="254"/>
        <v>4.4133541824165068E-3</v>
      </c>
      <c r="F1507">
        <v>1688.150024</v>
      </c>
      <c r="G1507">
        <f t="shared" si="255"/>
        <v>8.0915133131471695E-3</v>
      </c>
      <c r="H1507">
        <v>760.25</v>
      </c>
      <c r="I1507">
        <f t="shared" si="256"/>
        <v>-6.4689128607935409E-3</v>
      </c>
      <c r="J1507">
        <v>1226.3000489999999</v>
      </c>
      <c r="K1507">
        <f t="shared" si="257"/>
        <v>-8.5544222962530281E-4</v>
      </c>
      <c r="L1507">
        <v>408.7000122</v>
      </c>
      <c r="M1507">
        <f t="shared" si="258"/>
        <v>1.1022956521740124E-3</v>
      </c>
      <c r="N1507">
        <v>979.15002440000001</v>
      </c>
      <c r="O1507">
        <f t="shared" si="259"/>
        <v>-1.0409811180959405E-2</v>
      </c>
      <c r="P1507">
        <v>160.25</v>
      </c>
      <c r="Q1507">
        <f t="shared" si="260"/>
        <v>4.0726433280506846E-3</v>
      </c>
      <c r="R1507">
        <v>475.2000122</v>
      </c>
      <c r="S1507">
        <f t="shared" si="261"/>
        <v>8.4889641265590843E-3</v>
      </c>
      <c r="T1507">
        <v>3467.1999510000001</v>
      </c>
      <c r="U1507">
        <f t="shared" si="262"/>
        <v>3.2697848087150927E-3</v>
      </c>
      <c r="W1507">
        <f t="shared" si="263"/>
        <v>1.5535867639200895E-3</v>
      </c>
      <c r="X1507">
        <v>9.0097140277160988E-3</v>
      </c>
    </row>
    <row r="1508" spans="1:24" x14ac:dyDescent="0.35">
      <c r="A1508" s="1">
        <v>45041</v>
      </c>
      <c r="B1508">
        <v>2193.0932619999999</v>
      </c>
      <c r="C1508">
        <f t="shared" si="253"/>
        <v>7.6546851296870333E-3</v>
      </c>
      <c r="D1508">
        <v>3176</v>
      </c>
      <c r="E1508">
        <f t="shared" si="254"/>
        <v>3.7796112557630934E-4</v>
      </c>
      <c r="F1508">
        <v>1664.150024</v>
      </c>
      <c r="G1508">
        <f t="shared" si="255"/>
        <v>-1.4216745940110798E-2</v>
      </c>
      <c r="H1508">
        <v>772.59997559999999</v>
      </c>
      <c r="I1508">
        <f t="shared" si="256"/>
        <v>1.624462426833273E-2</v>
      </c>
      <c r="J1508">
        <v>1224.900024</v>
      </c>
      <c r="K1508">
        <f t="shared" si="257"/>
        <v>-1.1416659414974495E-3</v>
      </c>
      <c r="L1508">
        <v>411.5499878</v>
      </c>
      <c r="M1508">
        <f t="shared" si="258"/>
        <v>6.9732701613067771E-3</v>
      </c>
      <c r="N1508">
        <v>972.5</v>
      </c>
      <c r="O1508">
        <f t="shared" si="259"/>
        <v>-6.7916297138173043E-3</v>
      </c>
      <c r="P1508">
        <v>160.6499939</v>
      </c>
      <c r="Q1508">
        <f t="shared" si="260"/>
        <v>2.4960617784710593E-3</v>
      </c>
      <c r="R1508">
        <v>473.5499878</v>
      </c>
      <c r="S1508">
        <f t="shared" si="261"/>
        <v>-3.4722734798785515E-3</v>
      </c>
      <c r="T1508">
        <v>3465.8500979999999</v>
      </c>
      <c r="U1508">
        <f t="shared" si="262"/>
        <v>-3.8932078307474249E-4</v>
      </c>
      <c r="W1508">
        <f t="shared" si="263"/>
        <v>7.7349666049950625E-4</v>
      </c>
      <c r="X1508">
        <v>9.0791824391148416E-3</v>
      </c>
    </row>
    <row r="1509" spans="1:24" x14ac:dyDescent="0.35">
      <c r="A1509" s="1">
        <v>45042</v>
      </c>
      <c r="B1509">
        <v>2180.217529</v>
      </c>
      <c r="C1509">
        <f t="shared" si="253"/>
        <v>-5.8710375993120678E-3</v>
      </c>
      <c r="D1509">
        <v>3198.1499020000001</v>
      </c>
      <c r="E1509">
        <f t="shared" si="254"/>
        <v>6.9741505037783647E-3</v>
      </c>
      <c r="F1509">
        <v>1671.8000489999999</v>
      </c>
      <c r="G1509">
        <f t="shared" si="255"/>
        <v>4.5969563378740474E-3</v>
      </c>
      <c r="H1509">
        <v>773.45001219999995</v>
      </c>
      <c r="I1509">
        <f t="shared" si="256"/>
        <v>1.1002286135717299E-3</v>
      </c>
      <c r="J1509">
        <v>1227.5500489999999</v>
      </c>
      <c r="K1509">
        <f t="shared" si="257"/>
        <v>2.1634622810653426E-3</v>
      </c>
      <c r="L1509">
        <v>412.25</v>
      </c>
      <c r="M1509">
        <f t="shared" si="258"/>
        <v>1.7009165854724451E-3</v>
      </c>
      <c r="N1509">
        <v>971.25</v>
      </c>
      <c r="O1509">
        <f t="shared" si="259"/>
        <v>-1.2853470437017567E-3</v>
      </c>
      <c r="P1509">
        <v>161.1499939</v>
      </c>
      <c r="Q1509">
        <f t="shared" si="260"/>
        <v>3.1123561717110171E-3</v>
      </c>
      <c r="R1509">
        <v>478.2000122</v>
      </c>
      <c r="S1509">
        <f t="shared" si="261"/>
        <v>9.819500622527455E-3</v>
      </c>
      <c r="T1509">
        <v>3461.6000979999999</v>
      </c>
      <c r="U1509">
        <f t="shared" si="262"/>
        <v>-1.2262503800878344E-3</v>
      </c>
      <c r="W1509">
        <f t="shared" si="263"/>
        <v>2.1084936092898745E-3</v>
      </c>
      <c r="X1509">
        <v>9.0814723934596105E-3</v>
      </c>
    </row>
    <row r="1510" spans="1:24" x14ac:dyDescent="0.35">
      <c r="A1510" s="1">
        <v>45043</v>
      </c>
      <c r="B1510">
        <v>2194.016357</v>
      </c>
      <c r="C1510">
        <f t="shared" si="253"/>
        <v>6.3291060715069403E-3</v>
      </c>
      <c r="D1510">
        <v>3187.9499510000001</v>
      </c>
      <c r="E1510">
        <f t="shared" si="254"/>
        <v>-3.1893286157792522E-3</v>
      </c>
      <c r="F1510">
        <v>1681</v>
      </c>
      <c r="G1510">
        <f t="shared" si="255"/>
        <v>5.5030211331212886E-3</v>
      </c>
      <c r="H1510">
        <v>786.5</v>
      </c>
      <c r="I1510">
        <f t="shared" si="256"/>
        <v>1.6872438546972957E-2</v>
      </c>
      <c r="J1510">
        <v>1246.25</v>
      </c>
      <c r="K1510">
        <f t="shared" si="257"/>
        <v>1.5233554847913222E-2</v>
      </c>
      <c r="L1510">
        <v>416</v>
      </c>
      <c r="M1510">
        <f t="shared" si="258"/>
        <v>9.0964220739842006E-3</v>
      </c>
      <c r="N1510">
        <v>978.70001219999995</v>
      </c>
      <c r="O1510">
        <f t="shared" si="259"/>
        <v>7.670540231660139E-3</v>
      </c>
      <c r="P1510">
        <v>160.0500031</v>
      </c>
      <c r="Q1510">
        <f t="shared" si="260"/>
        <v>-6.8258817352645496E-3</v>
      </c>
      <c r="R1510">
        <v>481.60000609999997</v>
      </c>
      <c r="S1510">
        <f t="shared" si="261"/>
        <v>7.1099828800882392E-3</v>
      </c>
      <c r="T1510">
        <v>3500.8000489999999</v>
      </c>
      <c r="U1510">
        <f t="shared" si="262"/>
        <v>1.1324228648667001E-2</v>
      </c>
      <c r="W1510">
        <f t="shared" si="263"/>
        <v>6.9124084082870189E-3</v>
      </c>
      <c r="X1510">
        <v>9.0972111126500048E-3</v>
      </c>
    </row>
    <row r="1511" spans="1:24" x14ac:dyDescent="0.35">
      <c r="A1511" s="1">
        <v>45044</v>
      </c>
      <c r="B1511">
        <v>2234.1206050000001</v>
      </c>
      <c r="C1511">
        <f t="shared" si="253"/>
        <v>1.8278919330773302E-2</v>
      </c>
      <c r="D1511">
        <v>3219.25</v>
      </c>
      <c r="E1511">
        <f t="shared" si="254"/>
        <v>9.8182372625335024E-3</v>
      </c>
      <c r="F1511">
        <v>1687.599976</v>
      </c>
      <c r="G1511">
        <f t="shared" si="255"/>
        <v>3.9262201070791036E-3</v>
      </c>
      <c r="H1511">
        <v>799.29998780000005</v>
      </c>
      <c r="I1511">
        <f t="shared" si="256"/>
        <v>1.6274618944691843E-2</v>
      </c>
      <c r="J1511">
        <v>1252.75</v>
      </c>
      <c r="K1511">
        <f t="shared" si="257"/>
        <v>5.2156469408224382E-3</v>
      </c>
      <c r="L1511">
        <v>425.5499878</v>
      </c>
      <c r="M1511">
        <f t="shared" si="258"/>
        <v>2.295670144230777E-2</v>
      </c>
      <c r="N1511">
        <v>987.65002440000001</v>
      </c>
      <c r="O1511">
        <f t="shared" si="259"/>
        <v>9.1447962485271539E-3</v>
      </c>
      <c r="P1511">
        <v>158.9499969</v>
      </c>
      <c r="Q1511">
        <f t="shared" si="260"/>
        <v>-6.8728908384506626E-3</v>
      </c>
      <c r="R1511">
        <v>484.9500122</v>
      </c>
      <c r="S1511">
        <f t="shared" si="261"/>
        <v>6.9559926444529019E-3</v>
      </c>
      <c r="T1511">
        <v>3511.9499510000001</v>
      </c>
      <c r="U1511">
        <f t="shared" si="262"/>
        <v>3.1849582506675578E-3</v>
      </c>
      <c r="W1511">
        <f t="shared" si="263"/>
        <v>8.8883200333404917E-3</v>
      </c>
      <c r="X1511">
        <v>9.1276460845673216E-3</v>
      </c>
    </row>
    <row r="1512" spans="1:24" x14ac:dyDescent="0.35">
      <c r="A1512" s="1">
        <v>45048</v>
      </c>
      <c r="B1512">
        <v>2253.0883789999998</v>
      </c>
      <c r="C1512">
        <f t="shared" si="253"/>
        <v>8.490040312751912E-3</v>
      </c>
      <c r="D1512">
        <v>3219.3999020000001</v>
      </c>
      <c r="E1512">
        <f t="shared" si="254"/>
        <v>4.6564261862336309E-5</v>
      </c>
      <c r="F1512">
        <v>1687.25</v>
      </c>
      <c r="G1512">
        <f t="shared" si="255"/>
        <v>-2.0738089889615896E-4</v>
      </c>
      <c r="H1512">
        <v>790.20001219999995</v>
      </c>
      <c r="I1512">
        <f t="shared" si="256"/>
        <v>-1.1384931488672922E-2</v>
      </c>
      <c r="J1512">
        <v>1277.4499510000001</v>
      </c>
      <c r="K1512">
        <f t="shared" si="257"/>
        <v>1.9716584314508179E-2</v>
      </c>
      <c r="L1512">
        <v>424.4500122</v>
      </c>
      <c r="M1512">
        <f t="shared" si="258"/>
        <v>-2.5848328787098085E-3</v>
      </c>
      <c r="N1512">
        <v>973.04998780000005</v>
      </c>
      <c r="O1512">
        <f t="shared" si="259"/>
        <v>-1.4782601366176817E-2</v>
      </c>
      <c r="P1512">
        <v>164.25</v>
      </c>
      <c r="Q1512">
        <f t="shared" si="260"/>
        <v>3.3343838964239758E-2</v>
      </c>
      <c r="R1512">
        <v>480.25</v>
      </c>
      <c r="S1512">
        <f t="shared" si="261"/>
        <v>-9.6917457093735893E-3</v>
      </c>
      <c r="T1512">
        <v>3545.8999020000001</v>
      </c>
      <c r="U1512">
        <f t="shared" si="262"/>
        <v>9.6669803025903889E-3</v>
      </c>
      <c r="W1512">
        <f t="shared" si="263"/>
        <v>3.2612515814123282E-3</v>
      </c>
      <c r="X1512">
        <v>9.1402815908350424E-3</v>
      </c>
    </row>
    <row r="1513" spans="1:24" x14ac:dyDescent="0.35">
      <c r="A1513" s="1">
        <v>45049</v>
      </c>
      <c r="B1513">
        <v>2233.7514649999998</v>
      </c>
      <c r="C1513">
        <f t="shared" si="253"/>
        <v>-8.582403682088291E-3</v>
      </c>
      <c r="D1513">
        <v>3179.8999020000001</v>
      </c>
      <c r="E1513">
        <f t="shared" si="254"/>
        <v>-1.2269367336273262E-2</v>
      </c>
      <c r="F1513">
        <v>1693.150024</v>
      </c>
      <c r="G1513">
        <f t="shared" si="255"/>
        <v>3.4968285671952426E-3</v>
      </c>
      <c r="H1513">
        <v>779.29998780000005</v>
      </c>
      <c r="I1513">
        <f t="shared" si="256"/>
        <v>-1.379400687384591E-2</v>
      </c>
      <c r="J1513">
        <v>1269.150024</v>
      </c>
      <c r="K1513">
        <f t="shared" si="257"/>
        <v>-6.4972619815772958E-3</v>
      </c>
      <c r="L1513">
        <v>427.14999390000003</v>
      </c>
      <c r="M1513">
        <f t="shared" si="258"/>
        <v>6.3611299856147774E-3</v>
      </c>
      <c r="N1513">
        <v>963.59997559999999</v>
      </c>
      <c r="O1513">
        <f t="shared" si="259"/>
        <v>-9.7117438142780843E-3</v>
      </c>
      <c r="P1513">
        <v>161.1499939</v>
      </c>
      <c r="Q1513">
        <f t="shared" si="260"/>
        <v>-1.8873705327245083E-2</v>
      </c>
      <c r="R1513">
        <v>483.7000122</v>
      </c>
      <c r="S1513">
        <f t="shared" si="261"/>
        <v>7.1837838625716799E-3</v>
      </c>
      <c r="T1513">
        <v>3554</v>
      </c>
      <c r="U1513">
        <f t="shared" si="262"/>
        <v>2.2843560799421514E-3</v>
      </c>
      <c r="W1513">
        <f t="shared" si="263"/>
        <v>-5.0402390519984084E-3</v>
      </c>
      <c r="X1513">
        <v>9.1487004996474424E-3</v>
      </c>
    </row>
    <row r="1514" spans="1:24" x14ac:dyDescent="0.35">
      <c r="A1514" s="1">
        <v>45050</v>
      </c>
      <c r="B1514">
        <v>2259.5031739999999</v>
      </c>
      <c r="C1514">
        <f t="shared" si="253"/>
        <v>1.1528457576187812E-2</v>
      </c>
      <c r="D1514">
        <v>3220.6999510000001</v>
      </c>
      <c r="E1514">
        <f t="shared" si="254"/>
        <v>1.2830607961696661E-2</v>
      </c>
      <c r="F1514">
        <v>1727.8000489999999</v>
      </c>
      <c r="G1514">
        <f t="shared" si="255"/>
        <v>2.0464828579183303E-2</v>
      </c>
      <c r="H1514">
        <v>789.09997559999999</v>
      </c>
      <c r="I1514">
        <f t="shared" si="256"/>
        <v>1.257537271066278E-2</v>
      </c>
      <c r="J1514">
        <v>1273.5500489999999</v>
      </c>
      <c r="K1514">
        <f t="shared" si="257"/>
        <v>3.4669069194297464E-3</v>
      </c>
      <c r="L1514">
        <v>424.60000609999997</v>
      </c>
      <c r="M1514">
        <f t="shared" si="258"/>
        <v>-5.9697713599804469E-3</v>
      </c>
      <c r="N1514">
        <v>974</v>
      </c>
      <c r="O1514">
        <f t="shared" si="259"/>
        <v>1.079288570293313E-2</v>
      </c>
      <c r="P1514">
        <v>161</v>
      </c>
      <c r="Q1514">
        <f t="shared" si="260"/>
        <v>-9.3077198683033657E-4</v>
      </c>
      <c r="R1514">
        <v>480.7999878</v>
      </c>
      <c r="S1514">
        <f t="shared" si="261"/>
        <v>-5.9955020195470166E-3</v>
      </c>
      <c r="T1514">
        <v>3584.5</v>
      </c>
      <c r="U1514">
        <f t="shared" si="262"/>
        <v>8.5818795723129337E-3</v>
      </c>
      <c r="W1514">
        <f t="shared" si="263"/>
        <v>6.734489365604856E-3</v>
      </c>
      <c r="X1514">
        <v>9.1550386094372618E-3</v>
      </c>
    </row>
    <row r="1515" spans="1:24" x14ac:dyDescent="0.35">
      <c r="A1515" s="1">
        <v>45051</v>
      </c>
      <c r="B1515">
        <v>2253.734375</v>
      </c>
      <c r="C1515">
        <f t="shared" si="253"/>
        <v>-2.5531271946777068E-3</v>
      </c>
      <c r="D1515">
        <v>3230.6999510000001</v>
      </c>
      <c r="E1515">
        <f t="shared" si="254"/>
        <v>3.1049151278110809E-3</v>
      </c>
      <c r="F1515">
        <v>1625.650024</v>
      </c>
      <c r="G1515">
        <f t="shared" si="255"/>
        <v>-5.9121438883579902E-2</v>
      </c>
      <c r="H1515">
        <v>787.29998780000005</v>
      </c>
      <c r="I1515">
        <f t="shared" si="256"/>
        <v>-2.2810643209452142E-3</v>
      </c>
      <c r="J1515">
        <v>1259.099976</v>
      </c>
      <c r="K1515">
        <f t="shared" si="257"/>
        <v>-1.1346293780402528E-2</v>
      </c>
      <c r="L1515">
        <v>428.75</v>
      </c>
      <c r="M1515">
        <f t="shared" si="258"/>
        <v>9.7738903447464054E-3</v>
      </c>
      <c r="N1515">
        <v>970.45001219999995</v>
      </c>
      <c r="O1515">
        <f t="shared" si="259"/>
        <v>-3.644751334702323E-3</v>
      </c>
      <c r="P1515">
        <v>160.3000031</v>
      </c>
      <c r="Q1515">
        <f t="shared" si="260"/>
        <v>-4.3478068322981844E-3</v>
      </c>
      <c r="R1515">
        <v>477.10000609999997</v>
      </c>
      <c r="S1515">
        <f t="shared" si="261"/>
        <v>-7.6954696212245821E-3</v>
      </c>
      <c r="T1515">
        <v>3598.1999510000001</v>
      </c>
      <c r="U1515">
        <f t="shared" si="262"/>
        <v>3.8219977681686057E-3</v>
      </c>
      <c r="W1515">
        <f t="shared" si="263"/>
        <v>-7.4289148727104352E-3</v>
      </c>
      <c r="X1515">
        <v>9.1877612344523751E-3</v>
      </c>
    </row>
    <row r="1516" spans="1:24" x14ac:dyDescent="0.35">
      <c r="A1516" s="1">
        <v>45054</v>
      </c>
      <c r="B1516">
        <v>2281.5629880000001</v>
      </c>
      <c r="C1516">
        <f t="shared" si="253"/>
        <v>1.2347778561970113E-2</v>
      </c>
      <c r="D1516">
        <v>3250.6000979999999</v>
      </c>
      <c r="E1516">
        <f t="shared" si="254"/>
        <v>6.1597013965473124E-3</v>
      </c>
      <c r="F1516">
        <v>1644.4499510000001</v>
      </c>
      <c r="G1516">
        <f t="shared" si="255"/>
        <v>1.1564559851413581E-2</v>
      </c>
      <c r="H1516">
        <v>793.75</v>
      </c>
      <c r="I1516">
        <f t="shared" si="256"/>
        <v>8.1925724627833763E-3</v>
      </c>
      <c r="J1516">
        <v>1265.599976</v>
      </c>
      <c r="K1516">
        <f t="shared" si="257"/>
        <v>5.1624176982749681E-3</v>
      </c>
      <c r="L1516">
        <v>431.4500122</v>
      </c>
      <c r="M1516">
        <f t="shared" si="258"/>
        <v>6.2974045481050123E-3</v>
      </c>
      <c r="N1516">
        <v>961.84997559999999</v>
      </c>
      <c r="O1516">
        <f t="shared" si="259"/>
        <v>-8.8619058085266378E-3</v>
      </c>
      <c r="P1516">
        <v>165</v>
      </c>
      <c r="Q1516">
        <f t="shared" si="260"/>
        <v>2.9320005047460906E-2</v>
      </c>
      <c r="R1516">
        <v>500.5</v>
      </c>
      <c r="S1516">
        <f t="shared" si="261"/>
        <v>4.9046308113220638E-2</v>
      </c>
      <c r="T1516">
        <v>3677.8500979999999</v>
      </c>
      <c r="U1516">
        <f t="shared" si="262"/>
        <v>2.2136109189224928E-2</v>
      </c>
      <c r="W1516">
        <f t="shared" si="263"/>
        <v>1.4136495106047422E-2</v>
      </c>
      <c r="X1516">
        <v>9.1954000066622917E-3</v>
      </c>
    </row>
    <row r="1517" spans="1:24" x14ac:dyDescent="0.35">
      <c r="A1517" s="1">
        <v>45055</v>
      </c>
      <c r="B1517">
        <v>2288.623779</v>
      </c>
      <c r="C1517">
        <f t="shared" si="253"/>
        <v>3.0947166644692548E-3</v>
      </c>
      <c r="D1517">
        <v>3283.25</v>
      </c>
      <c r="E1517">
        <f t="shared" si="254"/>
        <v>1.0044269062838174E-2</v>
      </c>
      <c r="F1517">
        <v>1644.5</v>
      </c>
      <c r="G1517">
        <f t="shared" si="255"/>
        <v>3.0435100788261948E-5</v>
      </c>
      <c r="H1517">
        <v>793.59997559999999</v>
      </c>
      <c r="I1517">
        <f t="shared" si="256"/>
        <v>-1.890071181102071E-4</v>
      </c>
      <c r="J1517">
        <v>1270.6999510000001</v>
      </c>
      <c r="K1517">
        <f t="shared" si="257"/>
        <v>4.0296895517641929E-3</v>
      </c>
      <c r="L1517">
        <v>423.7999878</v>
      </c>
      <c r="M1517">
        <f t="shared" si="258"/>
        <v>-1.7730963457369908E-2</v>
      </c>
      <c r="N1517">
        <v>957.45001219999995</v>
      </c>
      <c r="O1517">
        <f t="shared" si="259"/>
        <v>-4.5744799205877928E-3</v>
      </c>
      <c r="P1517">
        <v>165.25</v>
      </c>
      <c r="Q1517">
        <f t="shared" si="260"/>
        <v>1.5151515151514694E-3</v>
      </c>
      <c r="R1517">
        <v>503.64999390000003</v>
      </c>
      <c r="S1517">
        <f t="shared" si="261"/>
        <v>6.2936941058941986E-3</v>
      </c>
      <c r="T1517">
        <v>3659.6999510000001</v>
      </c>
      <c r="U1517">
        <f t="shared" si="262"/>
        <v>-4.9349882448633808E-3</v>
      </c>
      <c r="W1517">
        <f t="shared" si="263"/>
        <v>-2.4214827400257353E-4</v>
      </c>
      <c r="X1517">
        <v>9.2009959814810856E-3</v>
      </c>
    </row>
    <row r="1518" spans="1:24" x14ac:dyDescent="0.35">
      <c r="A1518" s="1">
        <v>45056</v>
      </c>
      <c r="B1518">
        <v>2304.3610840000001</v>
      </c>
      <c r="C1518">
        <f t="shared" si="253"/>
        <v>6.8763180494770815E-3</v>
      </c>
      <c r="D1518">
        <v>3286.8000489999999</v>
      </c>
      <c r="E1518">
        <f t="shared" si="254"/>
        <v>1.0812606411330083E-3</v>
      </c>
      <c r="F1518">
        <v>1652.099976</v>
      </c>
      <c r="G1518">
        <f t="shared" si="255"/>
        <v>4.6214508969291135E-3</v>
      </c>
      <c r="H1518">
        <v>796.04998780000005</v>
      </c>
      <c r="I1518">
        <f t="shared" si="256"/>
        <v>3.0872130485484206E-3</v>
      </c>
      <c r="J1518">
        <v>1263.25</v>
      </c>
      <c r="K1518">
        <f t="shared" si="257"/>
        <v>-5.8628718716303707E-3</v>
      </c>
      <c r="L1518">
        <v>425.35000609999997</v>
      </c>
      <c r="M1518">
        <f t="shared" si="258"/>
        <v>3.657428845258659E-3</v>
      </c>
      <c r="N1518">
        <v>953.79998780000005</v>
      </c>
      <c r="O1518">
        <f t="shared" si="259"/>
        <v>-3.8122349506404252E-3</v>
      </c>
      <c r="P1518">
        <v>166.9499969</v>
      </c>
      <c r="Q1518">
        <f t="shared" si="260"/>
        <v>1.0287424508320653E-2</v>
      </c>
      <c r="R1518">
        <v>509.5</v>
      </c>
      <c r="S1518">
        <f t="shared" si="261"/>
        <v>1.1615221226750405E-2</v>
      </c>
      <c r="T1518">
        <v>3672.3000489999999</v>
      </c>
      <c r="U1518">
        <f t="shared" si="262"/>
        <v>3.4429319804092362E-3</v>
      </c>
      <c r="W1518">
        <f t="shared" si="263"/>
        <v>3.4994142374555784E-3</v>
      </c>
      <c r="X1518">
        <v>9.2023986924874776E-3</v>
      </c>
    </row>
    <row r="1519" spans="1:24" x14ac:dyDescent="0.35">
      <c r="A1519" s="1">
        <v>45057</v>
      </c>
      <c r="B1519">
        <v>2289.3161620000001</v>
      </c>
      <c r="C1519">
        <f t="shared" si="253"/>
        <v>-6.5288908515519495E-3</v>
      </c>
      <c r="D1519">
        <v>3282.1499020000001</v>
      </c>
      <c r="E1519">
        <f t="shared" si="254"/>
        <v>-1.4147946119857924E-3</v>
      </c>
      <c r="F1519">
        <v>1653.1999510000001</v>
      </c>
      <c r="G1519">
        <f t="shared" si="255"/>
        <v>6.6580413775163549E-4</v>
      </c>
      <c r="H1519">
        <v>788.59997559999999</v>
      </c>
      <c r="I1519">
        <f t="shared" si="256"/>
        <v>-9.3587240929294824E-3</v>
      </c>
      <c r="J1519">
        <v>1256.099976</v>
      </c>
      <c r="K1519">
        <f t="shared" si="257"/>
        <v>-5.6600229566594606E-3</v>
      </c>
      <c r="L1519">
        <v>420.39999390000003</v>
      </c>
      <c r="M1519">
        <f t="shared" si="258"/>
        <v>-1.1637503535937843E-2</v>
      </c>
      <c r="N1519">
        <v>961.04998780000005</v>
      </c>
      <c r="O1519">
        <f t="shared" si="259"/>
        <v>7.6011743475932203E-3</v>
      </c>
      <c r="P1519">
        <v>167.0500031</v>
      </c>
      <c r="Q1519">
        <f t="shared" si="260"/>
        <v>5.9901887904745266E-4</v>
      </c>
      <c r="R1519">
        <v>511.60000609999997</v>
      </c>
      <c r="S1519">
        <f t="shared" si="261"/>
        <v>4.1216999018645062E-3</v>
      </c>
      <c r="T1519">
        <v>3704.6499020000001</v>
      </c>
      <c r="U1519">
        <f t="shared" si="262"/>
        <v>8.8091530017568864E-3</v>
      </c>
      <c r="W1519">
        <f t="shared" si="263"/>
        <v>-1.2803085781050827E-3</v>
      </c>
      <c r="X1519">
        <v>9.2138757343590231E-3</v>
      </c>
    </row>
    <row r="1520" spans="1:24" x14ac:dyDescent="0.35">
      <c r="A1520" s="1">
        <v>45058</v>
      </c>
      <c r="B1520">
        <v>2293.0541990000002</v>
      </c>
      <c r="C1520">
        <f t="shared" si="253"/>
        <v>1.632818158560756E-3</v>
      </c>
      <c r="D1520">
        <v>3274.3000489999999</v>
      </c>
      <c r="E1520">
        <f t="shared" si="254"/>
        <v>-2.3916802200950604E-3</v>
      </c>
      <c r="F1520">
        <v>1667.8000489999999</v>
      </c>
      <c r="G1520">
        <f t="shared" si="255"/>
        <v>8.8314169082623906E-3</v>
      </c>
      <c r="H1520">
        <v>791.95001219999995</v>
      </c>
      <c r="I1520">
        <f t="shared" si="256"/>
        <v>4.2480810343052955E-3</v>
      </c>
      <c r="J1520">
        <v>1245.1999510000001</v>
      </c>
      <c r="K1520">
        <f t="shared" si="257"/>
        <v>-8.6776731217770298E-3</v>
      </c>
      <c r="L1520">
        <v>420.4500122</v>
      </c>
      <c r="M1520">
        <f t="shared" si="258"/>
        <v>1.1897787993753184E-4</v>
      </c>
      <c r="N1520">
        <v>956</v>
      </c>
      <c r="O1520">
        <f t="shared" si="259"/>
        <v>-5.2546567442972592E-3</v>
      </c>
      <c r="P1520">
        <v>165.5</v>
      </c>
      <c r="Q1520">
        <f t="shared" si="260"/>
        <v>-9.2786774692373841E-3</v>
      </c>
      <c r="R1520">
        <v>515.95001219999995</v>
      </c>
      <c r="S1520">
        <f t="shared" si="261"/>
        <v>8.5027483348967259E-3</v>
      </c>
      <c r="T1520">
        <v>3677.5500489999999</v>
      </c>
      <c r="U1520">
        <f t="shared" si="262"/>
        <v>-7.3150914976797266E-3</v>
      </c>
      <c r="W1520">
        <f t="shared" si="263"/>
        <v>-9.5837367371237592E-4</v>
      </c>
      <c r="X1520">
        <v>9.2276003966271346E-3</v>
      </c>
    </row>
    <row r="1521" spans="1:24" x14ac:dyDescent="0.35">
      <c r="A1521" s="1">
        <v>45061</v>
      </c>
      <c r="B1521">
        <v>2297.576904</v>
      </c>
      <c r="C1521">
        <f t="shared" si="253"/>
        <v>1.9723498040178367E-3</v>
      </c>
      <c r="D1521">
        <v>3255.0500489999999</v>
      </c>
      <c r="E1521">
        <f t="shared" si="254"/>
        <v>-5.8791191130693754E-3</v>
      </c>
      <c r="F1521">
        <v>1675.8000489999999</v>
      </c>
      <c r="G1521">
        <f t="shared" si="255"/>
        <v>4.7967380770834733E-3</v>
      </c>
      <c r="H1521">
        <v>797.04998780000005</v>
      </c>
      <c r="I1521">
        <f t="shared" si="256"/>
        <v>6.4397695832247859E-3</v>
      </c>
      <c r="J1521">
        <v>1258.349976</v>
      </c>
      <c r="K1521">
        <f t="shared" si="257"/>
        <v>1.0560573014349428E-2</v>
      </c>
      <c r="L1521">
        <v>427.7999878</v>
      </c>
      <c r="M1521">
        <f t="shared" si="258"/>
        <v>1.74812115274805E-2</v>
      </c>
      <c r="N1521">
        <v>953</v>
      </c>
      <c r="O1521">
        <f t="shared" si="259"/>
        <v>-3.1380753138074979E-3</v>
      </c>
      <c r="P1521">
        <v>165.6000061</v>
      </c>
      <c r="Q1521">
        <f t="shared" si="260"/>
        <v>6.042664652567975E-4</v>
      </c>
      <c r="R1521">
        <v>530.84997559999999</v>
      </c>
      <c r="S1521">
        <f t="shared" si="261"/>
        <v>2.8878695702451607E-2</v>
      </c>
      <c r="T1521">
        <v>3523.3999020000001</v>
      </c>
      <c r="U1521">
        <f t="shared" si="262"/>
        <v>-4.191653273132645E-2</v>
      </c>
      <c r="W1521">
        <f t="shared" si="263"/>
        <v>1.9799877015661107E-3</v>
      </c>
      <c r="X1521">
        <v>9.2552830360951178E-3</v>
      </c>
    </row>
    <row r="1522" spans="1:24" x14ac:dyDescent="0.35">
      <c r="A1522" s="1">
        <v>45062</v>
      </c>
      <c r="B1522">
        <v>2264.8566890000002</v>
      </c>
      <c r="C1522">
        <f t="shared" si="253"/>
        <v>-1.424118380674666E-2</v>
      </c>
      <c r="D1522">
        <v>3258.1499020000001</v>
      </c>
      <c r="E1522">
        <f t="shared" si="254"/>
        <v>9.5232114816568014E-4</v>
      </c>
      <c r="F1522">
        <v>1647.3000489999999</v>
      </c>
      <c r="G1522">
        <f t="shared" si="255"/>
        <v>-1.7006802223813566E-2</v>
      </c>
      <c r="H1522">
        <v>787.34997559999999</v>
      </c>
      <c r="I1522">
        <f t="shared" si="256"/>
        <v>-1.2169891912016451E-2</v>
      </c>
      <c r="J1522">
        <v>1264.3000489999999</v>
      </c>
      <c r="K1522">
        <f t="shared" si="257"/>
        <v>4.7284722958502723E-3</v>
      </c>
      <c r="L1522">
        <v>423.9500122</v>
      </c>
      <c r="M1522">
        <f t="shared" si="258"/>
        <v>-8.9994757124675084E-3</v>
      </c>
      <c r="N1522">
        <v>940.95001219999995</v>
      </c>
      <c r="O1522">
        <f t="shared" si="259"/>
        <v>-1.2644268415530013E-2</v>
      </c>
      <c r="P1522">
        <v>168</v>
      </c>
      <c r="Q1522">
        <f t="shared" si="260"/>
        <v>1.4492716253589499E-2</v>
      </c>
      <c r="R1522">
        <v>521.15002440000001</v>
      </c>
      <c r="S1522">
        <f t="shared" si="261"/>
        <v>-1.8272490620417692E-2</v>
      </c>
      <c r="T1522">
        <v>3479.25</v>
      </c>
      <c r="U1522">
        <f t="shared" si="262"/>
        <v>-1.2530482837028845E-2</v>
      </c>
      <c r="W1522">
        <f t="shared" si="263"/>
        <v>-7.5691085830415289E-3</v>
      </c>
      <c r="X1522">
        <v>9.3010653772508944E-3</v>
      </c>
    </row>
    <row r="1523" spans="1:24" x14ac:dyDescent="0.35">
      <c r="A1523" s="1">
        <v>45063</v>
      </c>
      <c r="B1523">
        <v>2251.4731449999999</v>
      </c>
      <c r="C1523">
        <f t="shared" si="253"/>
        <v>-5.9092233362939561E-3</v>
      </c>
      <c r="D1523">
        <v>3208.6999510000001</v>
      </c>
      <c r="E1523">
        <f t="shared" si="254"/>
        <v>-1.5177309972645991E-2</v>
      </c>
      <c r="F1523">
        <v>1638.4499510000001</v>
      </c>
      <c r="G1523">
        <f t="shared" si="255"/>
        <v>-5.3724869402950182E-3</v>
      </c>
      <c r="H1523">
        <v>792.25</v>
      </c>
      <c r="I1523">
        <f t="shared" si="256"/>
        <v>6.2234388160944398E-3</v>
      </c>
      <c r="J1523">
        <v>1246.900024</v>
      </c>
      <c r="K1523">
        <f t="shared" si="257"/>
        <v>-1.3762575595692272E-2</v>
      </c>
      <c r="L1523">
        <v>427.60000609999997</v>
      </c>
      <c r="M1523">
        <f t="shared" si="258"/>
        <v>8.6094912017080638E-3</v>
      </c>
      <c r="N1523">
        <v>935.95001219999995</v>
      </c>
      <c r="O1523">
        <f t="shared" si="259"/>
        <v>-5.3137785590858799E-3</v>
      </c>
      <c r="P1523">
        <v>167.25</v>
      </c>
      <c r="Q1523">
        <f t="shared" si="260"/>
        <v>-4.4642857142856984E-3</v>
      </c>
      <c r="R1523">
        <v>515.5</v>
      </c>
      <c r="S1523">
        <f t="shared" si="261"/>
        <v>-1.084145473562026E-2</v>
      </c>
      <c r="T1523">
        <v>3400.1999510000001</v>
      </c>
      <c r="U1523">
        <f t="shared" si="262"/>
        <v>-2.2720427965797207E-2</v>
      </c>
      <c r="W1523">
        <f t="shared" si="263"/>
        <v>-6.872861280191378E-3</v>
      </c>
      <c r="X1523">
        <v>9.3088534073521908E-3</v>
      </c>
    </row>
    <row r="1524" spans="1:24" x14ac:dyDescent="0.35">
      <c r="A1524" s="1">
        <v>45064</v>
      </c>
      <c r="B1524">
        <v>2246.6274410000001</v>
      </c>
      <c r="C1524">
        <f t="shared" si="253"/>
        <v>-2.1522370856437156E-3</v>
      </c>
      <c r="D1524">
        <v>3199.8500979999999</v>
      </c>
      <c r="E1524">
        <f t="shared" si="254"/>
        <v>-2.758080573174837E-3</v>
      </c>
      <c r="F1524">
        <v>1645</v>
      </c>
      <c r="G1524">
        <f t="shared" si="255"/>
        <v>3.9977107607114259E-3</v>
      </c>
      <c r="H1524">
        <v>799.34997559999999</v>
      </c>
      <c r="I1524">
        <f t="shared" si="256"/>
        <v>8.9617868097191522E-3</v>
      </c>
      <c r="J1524">
        <v>1246</v>
      </c>
      <c r="K1524">
        <f t="shared" si="257"/>
        <v>-7.2180927313869603E-4</v>
      </c>
      <c r="L1524">
        <v>419.7000122</v>
      </c>
      <c r="M1524">
        <f t="shared" si="258"/>
        <v>-1.8475195947851408E-2</v>
      </c>
      <c r="N1524">
        <v>929.65002440000001</v>
      </c>
      <c r="O1524">
        <f t="shared" si="259"/>
        <v>-6.7311156769916947E-3</v>
      </c>
      <c r="P1524">
        <v>166.3500061</v>
      </c>
      <c r="Q1524">
        <f t="shared" si="260"/>
        <v>-5.3811294469356952E-3</v>
      </c>
      <c r="R1524">
        <v>508.4500122</v>
      </c>
      <c r="S1524">
        <f t="shared" si="261"/>
        <v>-1.3676019010669282E-2</v>
      </c>
      <c r="T1524">
        <v>3368.5500489999999</v>
      </c>
      <c r="U1524">
        <f t="shared" si="262"/>
        <v>-9.3082472960720475E-3</v>
      </c>
      <c r="W1524">
        <f t="shared" si="263"/>
        <v>-4.62443367400468E-3</v>
      </c>
      <c r="X1524">
        <v>9.3484843500400098E-3</v>
      </c>
    </row>
    <row r="1525" spans="1:24" x14ac:dyDescent="0.35">
      <c r="A1525" s="1">
        <v>45065</v>
      </c>
      <c r="B1525">
        <v>2253.9189449999999</v>
      </c>
      <c r="C1525">
        <f t="shared" si="253"/>
        <v>3.2455332232361744E-3</v>
      </c>
      <c r="D1525">
        <v>3222.8500979999999</v>
      </c>
      <c r="E1525">
        <f t="shared" si="254"/>
        <v>7.1878367097182316E-3</v>
      </c>
      <c r="F1525">
        <v>1646.900024</v>
      </c>
      <c r="G1525">
        <f t="shared" si="255"/>
        <v>1.1550297872340298E-3</v>
      </c>
      <c r="H1525">
        <v>805.75</v>
      </c>
      <c r="I1525">
        <f t="shared" si="256"/>
        <v>8.0065360547438846E-3</v>
      </c>
      <c r="J1525">
        <v>1268.900024</v>
      </c>
      <c r="K1525">
        <f t="shared" si="257"/>
        <v>1.8378831460674094E-2</v>
      </c>
      <c r="L1525">
        <v>419.85000609999997</v>
      </c>
      <c r="M1525">
        <f t="shared" si="258"/>
        <v>3.5738359694992283E-4</v>
      </c>
      <c r="N1525">
        <v>925.84997559999999</v>
      </c>
      <c r="O1525">
        <f t="shared" si="259"/>
        <v>-4.0876122199346998E-3</v>
      </c>
      <c r="P1525">
        <v>164.8999939</v>
      </c>
      <c r="Q1525">
        <f t="shared" si="260"/>
        <v>-8.7166344864955114E-3</v>
      </c>
      <c r="R1525">
        <v>524.95001219999995</v>
      </c>
      <c r="S1525">
        <f t="shared" si="261"/>
        <v>3.2451567713818186E-2</v>
      </c>
      <c r="T1525">
        <v>3395.25</v>
      </c>
      <c r="U1525">
        <f t="shared" si="262"/>
        <v>7.9262444112790931E-3</v>
      </c>
      <c r="W1525">
        <f t="shared" si="263"/>
        <v>6.5904716251223398E-3</v>
      </c>
      <c r="X1525">
        <v>9.4024069111550059E-3</v>
      </c>
    </row>
    <row r="1526" spans="1:24" x14ac:dyDescent="0.35">
      <c r="A1526" s="1">
        <v>45068</v>
      </c>
      <c r="B1526">
        <v>2265.9641109999998</v>
      </c>
      <c r="C1526">
        <f t="shared" si="253"/>
        <v>5.3440990088486906E-3</v>
      </c>
      <c r="D1526">
        <v>3298.6999510000001</v>
      </c>
      <c r="E1526">
        <f t="shared" si="254"/>
        <v>2.3535023564102531E-2</v>
      </c>
      <c r="F1526">
        <v>1641.0500489999999</v>
      </c>
      <c r="G1526">
        <f t="shared" si="255"/>
        <v>-3.5521130091380471E-3</v>
      </c>
      <c r="H1526">
        <v>801.84997559999999</v>
      </c>
      <c r="I1526">
        <f t="shared" si="256"/>
        <v>-4.8402412659013239E-3</v>
      </c>
      <c r="J1526">
        <v>1292.8000489999999</v>
      </c>
      <c r="K1526">
        <f t="shared" si="257"/>
        <v>1.883523094645323E-2</v>
      </c>
      <c r="L1526">
        <v>424.75</v>
      </c>
      <c r="M1526">
        <f t="shared" si="258"/>
        <v>1.1670820123396597E-2</v>
      </c>
      <c r="N1526">
        <v>937.45001219999995</v>
      </c>
      <c r="O1526">
        <f t="shared" si="259"/>
        <v>1.2529067241679792E-2</v>
      </c>
      <c r="P1526">
        <v>165.6000061</v>
      </c>
      <c r="Q1526">
        <f t="shared" si="260"/>
        <v>4.2450711091264193E-3</v>
      </c>
      <c r="R1526">
        <v>522.5</v>
      </c>
      <c r="S1526">
        <f t="shared" si="261"/>
        <v>-4.6671342852860898E-3</v>
      </c>
      <c r="T1526">
        <v>3425.1000979999999</v>
      </c>
      <c r="U1526">
        <f t="shared" si="262"/>
        <v>8.7917231426257736E-3</v>
      </c>
      <c r="W1526">
        <f t="shared" si="263"/>
        <v>7.1891546575907576E-3</v>
      </c>
      <c r="X1526">
        <v>9.4407829948034878E-3</v>
      </c>
    </row>
    <row r="1527" spans="1:24" x14ac:dyDescent="0.35">
      <c r="A1527" s="1">
        <v>45069</v>
      </c>
      <c r="B1527">
        <v>2265.548828</v>
      </c>
      <c r="C1527">
        <f t="shared" si="253"/>
        <v>-1.8326989292716256E-4</v>
      </c>
      <c r="D1527">
        <v>3297.0500489999999</v>
      </c>
      <c r="E1527">
        <f t="shared" si="254"/>
        <v>-5.0016734607827296E-4</v>
      </c>
      <c r="F1527">
        <v>1637.1999510000001</v>
      </c>
      <c r="G1527">
        <f t="shared" si="255"/>
        <v>-2.3461185734987566E-3</v>
      </c>
      <c r="H1527">
        <v>799.95001219999995</v>
      </c>
      <c r="I1527">
        <f t="shared" si="256"/>
        <v>-2.3694749115361624E-3</v>
      </c>
      <c r="J1527">
        <v>1300.0500489999999</v>
      </c>
      <c r="K1527">
        <f t="shared" si="257"/>
        <v>5.6079824607122575E-3</v>
      </c>
      <c r="L1527">
        <v>429.14999390000003</v>
      </c>
      <c r="M1527">
        <f t="shared" si="258"/>
        <v>1.0359020364920646E-2</v>
      </c>
      <c r="N1527">
        <v>931.59997559999999</v>
      </c>
      <c r="O1527">
        <f t="shared" si="259"/>
        <v>-6.2403717786201351E-3</v>
      </c>
      <c r="P1527">
        <v>165</v>
      </c>
      <c r="Q1527">
        <f t="shared" si="260"/>
        <v>-3.6232251080816624E-3</v>
      </c>
      <c r="R1527">
        <v>528.5</v>
      </c>
      <c r="S1527">
        <f t="shared" si="261"/>
        <v>1.1483253588516762E-2</v>
      </c>
      <c r="T1527">
        <v>3432.9499510000001</v>
      </c>
      <c r="U1527">
        <f t="shared" si="262"/>
        <v>2.2918609019875191E-3</v>
      </c>
      <c r="W1527">
        <f t="shared" si="263"/>
        <v>1.447948970539503E-3</v>
      </c>
      <c r="X1527">
        <v>9.4582314851905831E-3</v>
      </c>
    </row>
    <row r="1528" spans="1:24" x14ac:dyDescent="0.35">
      <c r="A1528" s="1">
        <v>45070</v>
      </c>
      <c r="B1528">
        <v>2252.3498540000001</v>
      </c>
      <c r="C1528">
        <f t="shared" si="253"/>
        <v>-5.8259499141547488E-3</v>
      </c>
      <c r="D1528">
        <v>3303.3500979999999</v>
      </c>
      <c r="E1528">
        <f t="shared" si="254"/>
        <v>1.9108138810057795E-3</v>
      </c>
      <c r="F1528">
        <v>1615.8000489999999</v>
      </c>
      <c r="G1528">
        <f t="shared" si="255"/>
        <v>-1.3071037527779716E-2</v>
      </c>
      <c r="H1528">
        <v>801.40002440000001</v>
      </c>
      <c r="I1528">
        <f t="shared" si="256"/>
        <v>1.8126285116395469E-3</v>
      </c>
      <c r="J1528">
        <v>1298.650024</v>
      </c>
      <c r="K1528">
        <f t="shared" si="257"/>
        <v>-1.0769008478379583E-3</v>
      </c>
      <c r="L1528">
        <v>433.5</v>
      </c>
      <c r="M1528">
        <f t="shared" si="258"/>
        <v>1.0136330331659282E-2</v>
      </c>
      <c r="N1528">
        <v>952.15002440000001</v>
      </c>
      <c r="O1528">
        <f t="shared" si="259"/>
        <v>2.2058876490163914E-2</v>
      </c>
      <c r="P1528">
        <v>166.25</v>
      </c>
      <c r="Q1528">
        <f t="shared" si="260"/>
        <v>7.575757575757569E-3</v>
      </c>
      <c r="R1528">
        <v>520.20001219999995</v>
      </c>
      <c r="S1528">
        <f t="shared" si="261"/>
        <v>-1.5704801892147735E-2</v>
      </c>
      <c r="T1528">
        <v>3429.5500489999999</v>
      </c>
      <c r="U1528">
        <f t="shared" si="262"/>
        <v>-9.9037330824169878E-4</v>
      </c>
      <c r="W1528">
        <f t="shared" si="263"/>
        <v>6.825343300064235E-4</v>
      </c>
      <c r="X1528">
        <v>9.4677816242371825E-3</v>
      </c>
    </row>
    <row r="1529" spans="1:24" x14ac:dyDescent="0.35">
      <c r="A1529" s="1">
        <v>45071</v>
      </c>
      <c r="B1529">
        <v>2252.0729980000001</v>
      </c>
      <c r="C1529">
        <f t="shared" si="253"/>
        <v>-1.2291873729486369E-4</v>
      </c>
      <c r="D1529">
        <v>3293.5</v>
      </c>
      <c r="E1529">
        <f t="shared" si="254"/>
        <v>-2.981851062642038E-3</v>
      </c>
      <c r="F1529">
        <v>1609.599976</v>
      </c>
      <c r="G1529">
        <f t="shared" si="255"/>
        <v>-3.8371536155337171E-3</v>
      </c>
      <c r="H1529">
        <v>822.70001219999995</v>
      </c>
      <c r="I1529">
        <f t="shared" si="256"/>
        <v>2.657847161403204E-2</v>
      </c>
      <c r="J1529">
        <v>1304.349976</v>
      </c>
      <c r="K1529">
        <f t="shared" si="257"/>
        <v>4.3891363297736685E-3</v>
      </c>
      <c r="L1529">
        <v>441.14999390000003</v>
      </c>
      <c r="M1529">
        <f t="shared" si="258"/>
        <v>1.7647044752018504E-2</v>
      </c>
      <c r="N1529">
        <v>945</v>
      </c>
      <c r="O1529">
        <f t="shared" si="259"/>
        <v>-7.509346444123266E-3</v>
      </c>
      <c r="P1529">
        <v>166</v>
      </c>
      <c r="Q1529">
        <f t="shared" si="260"/>
        <v>-1.5037593984962294E-3</v>
      </c>
      <c r="R1529">
        <v>514.84997559999999</v>
      </c>
      <c r="S1529">
        <f t="shared" si="261"/>
        <v>-1.0284576075601959E-2</v>
      </c>
      <c r="T1529">
        <v>3435.3500979999999</v>
      </c>
      <c r="U1529">
        <f t="shared" si="262"/>
        <v>1.6911982379994583E-3</v>
      </c>
      <c r="W1529">
        <f t="shared" si="263"/>
        <v>2.4066245600131608E-3</v>
      </c>
      <c r="X1529">
        <v>9.4956895862753823E-3</v>
      </c>
    </row>
    <row r="1530" spans="1:24" x14ac:dyDescent="0.35">
      <c r="A1530" s="1">
        <v>45072</v>
      </c>
      <c r="B1530">
        <v>2313.498779</v>
      </c>
      <c r="C1530">
        <f t="shared" si="253"/>
        <v>2.7275217568236254E-2</v>
      </c>
      <c r="D1530">
        <v>3328.8999020000001</v>
      </c>
      <c r="E1530">
        <f t="shared" si="254"/>
        <v>1.0748414149081453E-2</v>
      </c>
      <c r="F1530">
        <v>1615.8000489999999</v>
      </c>
      <c r="G1530">
        <f t="shared" si="255"/>
        <v>3.8519340783091938E-3</v>
      </c>
      <c r="H1530">
        <v>817.95001219999995</v>
      </c>
      <c r="I1530">
        <f t="shared" si="256"/>
        <v>-5.7736719698081584E-3</v>
      </c>
      <c r="J1530">
        <v>1317.4499510000001</v>
      </c>
      <c r="K1530">
        <f t="shared" si="257"/>
        <v>1.0043297612634117E-2</v>
      </c>
      <c r="L1530">
        <v>443.60000609999997</v>
      </c>
      <c r="M1530">
        <f t="shared" si="258"/>
        <v>5.5536942851126536E-3</v>
      </c>
      <c r="N1530">
        <v>969.90002440000001</v>
      </c>
      <c r="O1530">
        <f t="shared" si="259"/>
        <v>2.6349232169312176E-2</v>
      </c>
      <c r="P1530">
        <v>163.75</v>
      </c>
      <c r="Q1530">
        <f t="shared" si="260"/>
        <v>-1.3554216867469826E-2</v>
      </c>
      <c r="R1530">
        <v>518.45001219999995</v>
      </c>
      <c r="S1530">
        <f t="shared" si="261"/>
        <v>6.9923992825375869E-3</v>
      </c>
      <c r="T1530">
        <v>3501.75</v>
      </c>
      <c r="U1530">
        <f t="shared" si="262"/>
        <v>1.9328423626650659E-2</v>
      </c>
      <c r="W1530">
        <f t="shared" si="263"/>
        <v>9.0814723934596105E-3</v>
      </c>
      <c r="X1530">
        <v>9.499254797845736E-3</v>
      </c>
    </row>
    <row r="1531" spans="1:24" x14ac:dyDescent="0.35">
      <c r="A1531" s="1">
        <v>45075</v>
      </c>
      <c r="B1531">
        <v>2326.5129390000002</v>
      </c>
      <c r="C1531">
        <f t="shared" si="253"/>
        <v>5.6253152662675276E-3</v>
      </c>
      <c r="D1531">
        <v>3320.3500979999999</v>
      </c>
      <c r="E1531">
        <f t="shared" si="254"/>
        <v>-2.568357190573245E-3</v>
      </c>
      <c r="F1531">
        <v>1635.5</v>
      </c>
      <c r="G1531">
        <f t="shared" si="255"/>
        <v>1.2192072287775968E-2</v>
      </c>
      <c r="H1531">
        <v>821.25</v>
      </c>
      <c r="I1531">
        <f t="shared" si="256"/>
        <v>4.0344614594776118E-3</v>
      </c>
      <c r="J1531">
        <v>1314.400024</v>
      </c>
      <c r="K1531">
        <f t="shared" si="257"/>
        <v>-2.3150230471260524E-3</v>
      </c>
      <c r="L1531">
        <v>449.10000609999997</v>
      </c>
      <c r="M1531">
        <f t="shared" si="258"/>
        <v>1.2398557088297624E-2</v>
      </c>
      <c r="N1531">
        <v>968.45001219999995</v>
      </c>
      <c r="O1531">
        <f t="shared" si="259"/>
        <v>-1.4950120254889621E-3</v>
      </c>
      <c r="P1531">
        <v>159</v>
      </c>
      <c r="Q1531">
        <f t="shared" si="260"/>
        <v>-2.9007633587786241E-2</v>
      </c>
      <c r="R1531">
        <v>521.45001219999995</v>
      </c>
      <c r="S1531">
        <f t="shared" si="261"/>
        <v>5.7864787914070348E-3</v>
      </c>
      <c r="T1531">
        <v>3503.3000489999999</v>
      </c>
      <c r="U1531">
        <f t="shared" si="262"/>
        <v>4.4264981794817082E-4</v>
      </c>
      <c r="W1531">
        <f t="shared" si="263"/>
        <v>5.0935088601994371E-4</v>
      </c>
      <c r="X1531">
        <v>9.5058847815488352E-3</v>
      </c>
    </row>
    <row r="1532" spans="1:24" x14ac:dyDescent="0.35">
      <c r="A1532" s="1">
        <v>45076</v>
      </c>
      <c r="B1532">
        <v>2325.913086</v>
      </c>
      <c r="C1532">
        <f t="shared" si="253"/>
        <v>-2.5783351123676024E-4</v>
      </c>
      <c r="D1532">
        <v>3316.1999510000001</v>
      </c>
      <c r="E1532">
        <f t="shared" si="254"/>
        <v>-1.2499124723323041E-3</v>
      </c>
      <c r="F1532">
        <v>1636.75</v>
      </c>
      <c r="G1532">
        <f t="shared" si="255"/>
        <v>7.6429226536234296E-4</v>
      </c>
      <c r="H1532">
        <v>818.45001219999995</v>
      </c>
      <c r="I1532">
        <f t="shared" si="256"/>
        <v>-3.4094219786910962E-3</v>
      </c>
      <c r="J1532">
        <v>1323.849976</v>
      </c>
      <c r="K1532">
        <f t="shared" si="257"/>
        <v>7.1895555595333782E-3</v>
      </c>
      <c r="L1532">
        <v>449.89999390000003</v>
      </c>
      <c r="M1532">
        <f t="shared" si="258"/>
        <v>1.7813132690582822E-3</v>
      </c>
      <c r="N1532">
        <v>959.59997559999999</v>
      </c>
      <c r="O1532">
        <f t="shared" si="259"/>
        <v>-9.1383514776313124E-3</v>
      </c>
      <c r="P1532">
        <v>158.8500061</v>
      </c>
      <c r="Q1532">
        <f t="shared" si="260"/>
        <v>-9.4335786163524116E-4</v>
      </c>
      <c r="R1532">
        <v>518.79998780000005</v>
      </c>
      <c r="S1532">
        <f t="shared" si="261"/>
        <v>-5.0820296059049808E-3</v>
      </c>
      <c r="T1532">
        <v>3507.5</v>
      </c>
      <c r="U1532">
        <f t="shared" si="262"/>
        <v>1.1988556336186562E-3</v>
      </c>
      <c r="W1532">
        <f t="shared" si="263"/>
        <v>-9.1468901798590345E-4</v>
      </c>
      <c r="X1532">
        <v>9.5530194295666455E-3</v>
      </c>
    </row>
    <row r="1533" spans="1:24" x14ac:dyDescent="0.35">
      <c r="A1533" s="1">
        <v>45077</v>
      </c>
      <c r="B1533">
        <v>2279.716797</v>
      </c>
      <c r="C1533">
        <f t="shared" si="253"/>
        <v>-1.986157147404255E-2</v>
      </c>
      <c r="D1533">
        <v>3289.5</v>
      </c>
      <c r="E1533">
        <f t="shared" si="254"/>
        <v>-8.0513694573660644E-3</v>
      </c>
      <c r="F1533">
        <v>1610.849976</v>
      </c>
      <c r="G1533">
        <f t="shared" si="255"/>
        <v>-1.5824056208950665E-2</v>
      </c>
      <c r="H1533">
        <v>849.90002440000001</v>
      </c>
      <c r="I1533">
        <f t="shared" si="256"/>
        <v>3.8426307937197368E-2</v>
      </c>
      <c r="J1533">
        <v>1318.3000489999999</v>
      </c>
      <c r="K1533">
        <f t="shared" si="257"/>
        <v>-4.192262794587287E-3</v>
      </c>
      <c r="L1533">
        <v>445.5</v>
      </c>
      <c r="M1533">
        <f t="shared" si="258"/>
        <v>-9.7799376742779831E-3</v>
      </c>
      <c r="N1533">
        <v>975.34997559999999</v>
      </c>
      <c r="O1533">
        <f t="shared" si="259"/>
        <v>1.6413089204334597E-2</v>
      </c>
      <c r="P1533">
        <v>154.8999939</v>
      </c>
      <c r="Q1533">
        <f t="shared" si="260"/>
        <v>-2.4866301846493966E-2</v>
      </c>
      <c r="R1533">
        <v>526.29998780000005</v>
      </c>
      <c r="S1533">
        <f t="shared" si="261"/>
        <v>1.4456438273647843E-2</v>
      </c>
      <c r="T1533">
        <v>3471.25</v>
      </c>
      <c r="U1533">
        <f t="shared" si="262"/>
        <v>-1.0334996436208166E-2</v>
      </c>
      <c r="W1533">
        <f t="shared" si="263"/>
        <v>-2.3614660476746867E-3</v>
      </c>
      <c r="X1533">
        <v>9.5633355179818979E-3</v>
      </c>
    </row>
    <row r="1534" spans="1:24" x14ac:dyDescent="0.35">
      <c r="A1534" s="1">
        <v>45078</v>
      </c>
      <c r="B1534">
        <v>2273.578857</v>
      </c>
      <c r="C1534">
        <f t="shared" si="253"/>
        <v>-2.6924133769936631E-3</v>
      </c>
      <c r="D1534">
        <v>3324</v>
      </c>
      <c r="E1534">
        <f t="shared" si="254"/>
        <v>1.0487916096671324E-2</v>
      </c>
      <c r="F1534">
        <v>1604</v>
      </c>
      <c r="G1534">
        <f t="shared" si="255"/>
        <v>-4.2523984865490139E-3</v>
      </c>
      <c r="H1534">
        <v>827.95001219999995</v>
      </c>
      <c r="I1534">
        <f t="shared" si="256"/>
        <v>-2.5826581444677532E-2</v>
      </c>
      <c r="J1534">
        <v>1319.5</v>
      </c>
      <c r="K1534">
        <f t="shared" si="257"/>
        <v>9.1022601486678845E-4</v>
      </c>
      <c r="L1534">
        <v>439.7000122</v>
      </c>
      <c r="M1534">
        <f t="shared" si="258"/>
        <v>-1.3019052300785594E-2</v>
      </c>
      <c r="N1534">
        <v>987.70001219999995</v>
      </c>
      <c r="O1534">
        <f t="shared" si="259"/>
        <v>1.2662159131549222E-2</v>
      </c>
      <c r="P1534">
        <v>153.6499939</v>
      </c>
      <c r="Q1534">
        <f t="shared" si="260"/>
        <v>-8.0697227193370358E-3</v>
      </c>
      <c r="R1534">
        <v>535.20001219999995</v>
      </c>
      <c r="S1534">
        <f t="shared" si="261"/>
        <v>1.691055406860853E-2</v>
      </c>
      <c r="T1534">
        <v>3500.8999020000001</v>
      </c>
      <c r="U1534">
        <f t="shared" si="262"/>
        <v>8.5415634137557817E-3</v>
      </c>
      <c r="W1534">
        <f t="shared" si="263"/>
        <v>-4.3477496028911902E-4</v>
      </c>
      <c r="X1534">
        <v>9.5698715778525616E-3</v>
      </c>
    </row>
    <row r="1535" spans="1:24" x14ac:dyDescent="0.35">
      <c r="A1535" s="1">
        <v>45079</v>
      </c>
      <c r="B1535">
        <v>2266.148682</v>
      </c>
      <c r="C1535">
        <f t="shared" si="253"/>
        <v>-3.2680524702820568E-3</v>
      </c>
      <c r="D1535">
        <v>3305.6000979999999</v>
      </c>
      <c r="E1535">
        <f t="shared" si="254"/>
        <v>-5.5354699157641463E-3</v>
      </c>
      <c r="F1535">
        <v>1606.5</v>
      </c>
      <c r="G1535">
        <f t="shared" si="255"/>
        <v>1.5586034912717928E-3</v>
      </c>
      <c r="H1535">
        <v>836.5</v>
      </c>
      <c r="I1535">
        <f t="shared" si="256"/>
        <v>1.0326695662798979E-2</v>
      </c>
      <c r="J1535">
        <v>1299</v>
      </c>
      <c r="K1535">
        <f t="shared" si="257"/>
        <v>-1.5536187949981017E-2</v>
      </c>
      <c r="L1535">
        <v>443.39999390000003</v>
      </c>
      <c r="M1535">
        <f t="shared" si="258"/>
        <v>8.4147864392531968E-3</v>
      </c>
      <c r="N1535">
        <v>999.59997559999999</v>
      </c>
      <c r="O1535">
        <f t="shared" si="259"/>
        <v>1.2048155566480201E-2</v>
      </c>
      <c r="P1535">
        <v>154.6999969</v>
      </c>
      <c r="Q1535">
        <f t="shared" si="260"/>
        <v>6.833732780252344E-3</v>
      </c>
      <c r="R1535">
        <v>535.90002440000001</v>
      </c>
      <c r="S1535">
        <f t="shared" si="261"/>
        <v>1.3079450374497981E-3</v>
      </c>
      <c r="T1535">
        <v>3531.6000979999999</v>
      </c>
      <c r="U1535">
        <f t="shared" si="262"/>
        <v>8.7692298721426809E-3</v>
      </c>
      <c r="W1535">
        <f t="shared" si="263"/>
        <v>2.4919438513621773E-3</v>
      </c>
      <c r="X1535">
        <v>9.5978379347102499E-3</v>
      </c>
    </row>
    <row r="1536" spans="1:24" x14ac:dyDescent="0.35">
      <c r="A1536" s="1">
        <v>45082</v>
      </c>
      <c r="B1536">
        <v>2286.5009770000001</v>
      </c>
      <c r="C1536">
        <f t="shared" si="253"/>
        <v>8.981006039744166E-3</v>
      </c>
      <c r="D1536">
        <v>3288.8999020000001</v>
      </c>
      <c r="E1536">
        <f t="shared" si="254"/>
        <v>-5.0520920573858819E-3</v>
      </c>
      <c r="F1536">
        <v>1604.400024</v>
      </c>
      <c r="G1536">
        <f t="shared" si="255"/>
        <v>-1.3071746031745324E-3</v>
      </c>
      <c r="H1536">
        <v>834.5</v>
      </c>
      <c r="I1536">
        <f t="shared" si="256"/>
        <v>-2.3909145248057762E-3</v>
      </c>
      <c r="J1536">
        <v>1304.5</v>
      </c>
      <c r="K1536">
        <f t="shared" si="257"/>
        <v>4.2340261739799434E-3</v>
      </c>
      <c r="L1536">
        <v>440.64999390000003</v>
      </c>
      <c r="M1536">
        <f t="shared" si="258"/>
        <v>-6.2020749612824444E-3</v>
      </c>
      <c r="N1536">
        <v>1008.75</v>
      </c>
      <c r="O1536">
        <f t="shared" si="259"/>
        <v>9.1536860977889933E-3</v>
      </c>
      <c r="P1536">
        <v>155.3999939</v>
      </c>
      <c r="Q1536">
        <f t="shared" si="260"/>
        <v>4.5248675761284662E-3</v>
      </c>
      <c r="R1536">
        <v>546.25</v>
      </c>
      <c r="S1536">
        <f t="shared" si="261"/>
        <v>1.9313258310797776E-2</v>
      </c>
      <c r="T1536">
        <v>3536.8500979999999</v>
      </c>
      <c r="U1536">
        <f t="shared" si="262"/>
        <v>1.4865782801889438E-3</v>
      </c>
      <c r="W1536">
        <f t="shared" si="263"/>
        <v>3.2741166331979655E-3</v>
      </c>
      <c r="X1536">
        <v>9.6578207977003772E-3</v>
      </c>
    </row>
    <row r="1537" spans="1:24" x14ac:dyDescent="0.35">
      <c r="A1537" s="1">
        <v>45083</v>
      </c>
      <c r="B1537">
        <v>2288.4392090000001</v>
      </c>
      <c r="C1537">
        <f t="shared" si="253"/>
        <v>8.4768474603635902E-4</v>
      </c>
      <c r="D1537">
        <v>3232.3000489999999</v>
      </c>
      <c r="E1537">
        <f t="shared" si="254"/>
        <v>-1.720935713658589E-2</v>
      </c>
      <c r="F1537">
        <v>1599.400024</v>
      </c>
      <c r="G1537">
        <f t="shared" si="255"/>
        <v>-3.1164297713822675E-3</v>
      </c>
      <c r="H1537">
        <v>829.45001219999995</v>
      </c>
      <c r="I1537">
        <f t="shared" si="256"/>
        <v>-6.0515132414620254E-3</v>
      </c>
      <c r="J1537">
        <v>1279</v>
      </c>
      <c r="K1537">
        <f t="shared" si="257"/>
        <v>-1.9547719432732813E-2</v>
      </c>
      <c r="L1537">
        <v>442.7999878</v>
      </c>
      <c r="M1537">
        <f t="shared" si="258"/>
        <v>4.8791420169358446E-3</v>
      </c>
      <c r="N1537">
        <v>1013.799988</v>
      </c>
      <c r="O1537">
        <f t="shared" si="259"/>
        <v>5.0061838909540857E-3</v>
      </c>
      <c r="P1537">
        <v>153.6499939</v>
      </c>
      <c r="Q1537">
        <f t="shared" si="260"/>
        <v>-1.1261261703305658E-2</v>
      </c>
      <c r="R1537">
        <v>555.75</v>
      </c>
      <c r="S1537">
        <f t="shared" si="261"/>
        <v>1.7391304347825987E-2</v>
      </c>
      <c r="T1537">
        <v>3527.75</v>
      </c>
      <c r="U1537">
        <f t="shared" si="262"/>
        <v>-2.5729385605417487E-3</v>
      </c>
      <c r="W1537">
        <f t="shared" si="263"/>
        <v>-3.1634904844258125E-3</v>
      </c>
      <c r="X1537">
        <v>9.7006941759132936E-3</v>
      </c>
    </row>
    <row r="1538" spans="1:24" x14ac:dyDescent="0.35">
      <c r="A1538" s="1">
        <v>45084</v>
      </c>
      <c r="B1538">
        <v>2305.7917480000001</v>
      </c>
      <c r="C1538">
        <f t="shared" si="253"/>
        <v>7.5826960715215108E-3</v>
      </c>
      <c r="D1538">
        <v>3274.8999020000001</v>
      </c>
      <c r="E1538">
        <f t="shared" si="254"/>
        <v>1.3179424049193589E-2</v>
      </c>
      <c r="F1538">
        <v>1607.6999510000001</v>
      </c>
      <c r="G1538">
        <f t="shared" si="255"/>
        <v>5.1894003222798801E-3</v>
      </c>
      <c r="H1538">
        <v>844.25</v>
      </c>
      <c r="I1538">
        <f t="shared" si="256"/>
        <v>1.7843134103699754E-2</v>
      </c>
      <c r="J1538">
        <v>1288.9499510000001</v>
      </c>
      <c r="K1538">
        <f t="shared" si="257"/>
        <v>7.7794769351056114E-3</v>
      </c>
      <c r="L1538">
        <v>443.9500122</v>
      </c>
      <c r="M1538">
        <f t="shared" si="258"/>
        <v>2.5971644798676863E-3</v>
      </c>
      <c r="N1538">
        <v>1014.599976</v>
      </c>
      <c r="O1538">
        <f t="shared" si="259"/>
        <v>7.8909845084740304E-4</v>
      </c>
      <c r="P1538">
        <v>153.8500061</v>
      </c>
      <c r="Q1538">
        <f t="shared" si="260"/>
        <v>1.3017390689269437E-3</v>
      </c>
      <c r="R1538">
        <v>567.95001219999995</v>
      </c>
      <c r="S1538">
        <f t="shared" si="261"/>
        <v>2.1952338641475277E-2</v>
      </c>
      <c r="T1538">
        <v>3544.0500489999999</v>
      </c>
      <c r="U1538">
        <f t="shared" si="262"/>
        <v>4.6205227127773529E-3</v>
      </c>
      <c r="W1538">
        <f t="shared" si="263"/>
        <v>8.2834994835695001E-3</v>
      </c>
      <c r="X1538">
        <v>9.7027530679671733E-3</v>
      </c>
    </row>
    <row r="1539" spans="1:24" x14ac:dyDescent="0.35">
      <c r="A1539" s="1">
        <v>45085</v>
      </c>
      <c r="B1539">
        <v>2307.1760250000002</v>
      </c>
      <c r="C1539">
        <f t="shared" si="253"/>
        <v>6.0034779862516707E-4</v>
      </c>
      <c r="D1539">
        <v>3236.4499510000001</v>
      </c>
      <c r="E1539">
        <f t="shared" si="254"/>
        <v>-1.1740801902530906E-2</v>
      </c>
      <c r="F1539">
        <v>1608.6999510000001</v>
      </c>
      <c r="G1539">
        <f t="shared" si="255"/>
        <v>6.2200661222755471E-4</v>
      </c>
      <c r="H1539">
        <v>836</v>
      </c>
      <c r="I1539">
        <f t="shared" si="256"/>
        <v>-9.7719869706840434E-3</v>
      </c>
      <c r="J1539">
        <v>1282.8000489999999</v>
      </c>
      <c r="K1539">
        <f t="shared" si="257"/>
        <v>-4.7712496480013522E-3</v>
      </c>
      <c r="L1539">
        <v>442.89999390000003</v>
      </c>
      <c r="M1539">
        <f t="shared" si="258"/>
        <v>-2.3651723643313138E-3</v>
      </c>
      <c r="N1539">
        <v>987</v>
      </c>
      <c r="O1539">
        <f t="shared" si="259"/>
        <v>-2.720281554589743E-2</v>
      </c>
      <c r="P1539">
        <v>156.1000061</v>
      </c>
      <c r="Q1539">
        <f t="shared" si="260"/>
        <v>1.4624633804288134E-2</v>
      </c>
      <c r="R1539">
        <v>559.70001219999995</v>
      </c>
      <c r="S1539">
        <f t="shared" si="261"/>
        <v>-1.4525926266015898E-2</v>
      </c>
      <c r="T1539">
        <v>3546.8000489999999</v>
      </c>
      <c r="U1539">
        <f t="shared" si="262"/>
        <v>7.7594840986394686E-4</v>
      </c>
      <c r="W1539">
        <f t="shared" si="263"/>
        <v>-5.3755016072456153E-3</v>
      </c>
      <c r="X1539">
        <v>9.7427704206094479E-3</v>
      </c>
    </row>
    <row r="1540" spans="1:24" x14ac:dyDescent="0.35">
      <c r="A1540" s="1">
        <v>45086</v>
      </c>
      <c r="B1540">
        <v>2290.8391109999998</v>
      </c>
      <c r="C1540">
        <f t="shared" ref="C1540:C1603" si="264">B1540/B1539 - 1</f>
        <v>-7.0809135596840989E-3</v>
      </c>
      <c r="D1540">
        <v>3209.3000489999999</v>
      </c>
      <c r="E1540">
        <f t="shared" ref="E1540:E1603" si="265">D1540/D1539 - 1</f>
        <v>-8.3887909317464926E-3</v>
      </c>
      <c r="F1540">
        <v>1610.599976</v>
      </c>
      <c r="G1540">
        <f t="shared" ref="G1540:G1603" si="266">F1540/F1539 - 1</f>
        <v>1.1810934654525873E-3</v>
      </c>
      <c r="H1540">
        <v>833.5</v>
      </c>
      <c r="I1540">
        <f t="shared" ref="I1540:I1603" si="267">H1540/H1539 - 1</f>
        <v>-2.9904306220095433E-3</v>
      </c>
      <c r="J1540">
        <v>1265.9499510000001</v>
      </c>
      <c r="K1540">
        <f t="shared" ref="K1540:K1603" si="268">J1540/J1539 -1</f>
        <v>-1.3135404861525646E-2</v>
      </c>
      <c r="L1540">
        <v>438.4500122</v>
      </c>
      <c r="M1540">
        <f t="shared" ref="M1540:M1603" si="269">L1540/L1539 -1</f>
        <v>-1.0047373586111963E-2</v>
      </c>
      <c r="N1540">
        <v>983.95001219999995</v>
      </c>
      <c r="O1540">
        <f t="shared" ref="O1540:O1603" si="270">N1540/N1539-1</f>
        <v>-3.0901598784195405E-3</v>
      </c>
      <c r="P1540">
        <v>154.25</v>
      </c>
      <c r="Q1540">
        <f t="shared" ref="Q1540:Q1603" si="271">P1540/P1539 -1</f>
        <v>-1.1851415936619869E-2</v>
      </c>
      <c r="R1540">
        <v>562.29998780000005</v>
      </c>
      <c r="S1540">
        <f t="shared" ref="S1540:S1603" si="272">R1540/R1539 - 1</f>
        <v>4.6453020248837795E-3</v>
      </c>
      <c r="T1540">
        <v>3632.1000979999999</v>
      </c>
      <c r="U1540">
        <f t="shared" ref="U1540:U1603" si="273">T1540/T1539 - 1</f>
        <v>2.4049861233099268E-2</v>
      </c>
      <c r="W1540">
        <f t="shared" ref="W1540:W1603" si="274">0.1*C1540+0.1*E1540+0.1*G1540+0.1*I1540+0.1*K1540+0.1*M1540+0.1*O1540+0.1*Q1540+0.1*S1540+0.1*U1540</f>
        <v>-2.6708232652681513E-3</v>
      </c>
      <c r="X1540">
        <v>9.7484628217604959E-3</v>
      </c>
    </row>
    <row r="1541" spans="1:24" x14ac:dyDescent="0.35">
      <c r="A1541" s="1">
        <v>45089</v>
      </c>
      <c r="B1541">
        <v>2292.8696289999998</v>
      </c>
      <c r="C1541">
        <f t="shared" si="264"/>
        <v>8.8636429780253323E-4</v>
      </c>
      <c r="D1541">
        <v>3246.8999020000001</v>
      </c>
      <c r="E1541">
        <f t="shared" si="265"/>
        <v>1.1715904535543942E-2</v>
      </c>
      <c r="F1541">
        <v>1600.8000489999999</v>
      </c>
      <c r="G1541">
        <f t="shared" si="266"/>
        <v>-6.0846437017455512E-3</v>
      </c>
      <c r="H1541">
        <v>836.34997559999999</v>
      </c>
      <c r="I1541">
        <f t="shared" si="267"/>
        <v>3.4192868626274908E-3</v>
      </c>
      <c r="J1541">
        <v>1291.9499510000001</v>
      </c>
      <c r="K1541">
        <f t="shared" si="268"/>
        <v>2.0537936732381912E-2</v>
      </c>
      <c r="L1541">
        <v>436.9500122</v>
      </c>
      <c r="M1541">
        <f t="shared" si="269"/>
        <v>-3.4211425664546491E-3</v>
      </c>
      <c r="N1541">
        <v>985.45001219999995</v>
      </c>
      <c r="O1541">
        <f t="shared" si="270"/>
        <v>1.5244676877905761E-3</v>
      </c>
      <c r="P1541">
        <v>155.0500031</v>
      </c>
      <c r="Q1541">
        <f t="shared" si="271"/>
        <v>5.1864058346839936E-3</v>
      </c>
      <c r="R1541">
        <v>564.15002440000001</v>
      </c>
      <c r="S1541">
        <f t="shared" si="272"/>
        <v>3.2901238487275108E-3</v>
      </c>
      <c r="T1541">
        <v>3629.3999020000001</v>
      </c>
      <c r="U1541">
        <f t="shared" si="273"/>
        <v>-7.4342554641781966E-4</v>
      </c>
      <c r="W1541">
        <f t="shared" si="274"/>
        <v>3.6311277984939936E-3</v>
      </c>
      <c r="X1541">
        <v>9.790996144525688E-3</v>
      </c>
    </row>
    <row r="1542" spans="1:24" x14ac:dyDescent="0.35">
      <c r="A1542" s="1">
        <v>45090</v>
      </c>
      <c r="B1542">
        <v>2326.7436520000001</v>
      </c>
      <c r="C1542">
        <f t="shared" si="264"/>
        <v>1.4773636743914631E-2</v>
      </c>
      <c r="D1542">
        <v>3243.6999510000001</v>
      </c>
      <c r="E1542">
        <f t="shared" si="265"/>
        <v>-9.8554039132192628E-4</v>
      </c>
      <c r="F1542">
        <v>1603.5</v>
      </c>
      <c r="G1542">
        <f t="shared" si="266"/>
        <v>1.6866260103418629E-3</v>
      </c>
      <c r="H1542">
        <v>834.34997559999999</v>
      </c>
      <c r="I1542">
        <f t="shared" si="267"/>
        <v>-2.3913434068856265E-3</v>
      </c>
      <c r="J1542">
        <v>1304.849976</v>
      </c>
      <c r="K1542">
        <f t="shared" si="268"/>
        <v>9.9849262659246207E-3</v>
      </c>
      <c r="L1542">
        <v>445.39999390000003</v>
      </c>
      <c r="M1542">
        <f t="shared" si="269"/>
        <v>1.9338554672318597E-2</v>
      </c>
      <c r="N1542">
        <v>988.09997559999999</v>
      </c>
      <c r="O1542">
        <f t="shared" si="270"/>
        <v>2.6890896211813065E-3</v>
      </c>
      <c r="P1542">
        <v>155.6499939</v>
      </c>
      <c r="Q1542">
        <f t="shared" si="271"/>
        <v>3.8696600322738472E-3</v>
      </c>
      <c r="R1542">
        <v>562.20001219999995</v>
      </c>
      <c r="S1542">
        <f t="shared" si="272"/>
        <v>-3.4565489952322892E-3</v>
      </c>
      <c r="T1542">
        <v>3677.8999020000001</v>
      </c>
      <c r="U1542">
        <f t="shared" si="273"/>
        <v>1.3363090678785161E-2</v>
      </c>
      <c r="W1542">
        <f t="shared" si="274"/>
        <v>5.8872151231300187E-3</v>
      </c>
      <c r="X1542">
        <v>9.7916983641218695E-3</v>
      </c>
    </row>
    <row r="1543" spans="1:24" x14ac:dyDescent="0.35">
      <c r="A1543" s="1">
        <v>45091</v>
      </c>
      <c r="B1543">
        <v>2355.3566890000002</v>
      </c>
      <c r="C1543">
        <f t="shared" si="264"/>
        <v>1.2297460003986682E-2</v>
      </c>
      <c r="D1543">
        <v>3251.0500489999999</v>
      </c>
      <c r="E1543">
        <f t="shared" si="265"/>
        <v>2.2659611280426706E-3</v>
      </c>
      <c r="F1543">
        <v>1601.75</v>
      </c>
      <c r="G1543">
        <f t="shared" si="266"/>
        <v>-1.091362644215832E-3</v>
      </c>
      <c r="H1543">
        <v>827.95001219999995</v>
      </c>
      <c r="I1543">
        <f t="shared" si="267"/>
        <v>-7.6705981748218521E-3</v>
      </c>
      <c r="J1543">
        <v>1300.400024</v>
      </c>
      <c r="K1543">
        <f t="shared" si="268"/>
        <v>-3.4103169573878045E-3</v>
      </c>
      <c r="L1543">
        <v>444.5</v>
      </c>
      <c r="M1543">
        <f t="shared" si="269"/>
        <v>-2.0206419225997641E-3</v>
      </c>
      <c r="N1543">
        <v>986.70001219999995</v>
      </c>
      <c r="O1543">
        <f t="shared" si="270"/>
        <v>-1.4168236358369501E-3</v>
      </c>
      <c r="P1543">
        <v>157.8500061</v>
      </c>
      <c r="Q1543">
        <f t="shared" si="271"/>
        <v>1.413435455328993E-2</v>
      </c>
      <c r="R1543">
        <v>570.29998780000005</v>
      </c>
      <c r="S1543">
        <f t="shared" si="272"/>
        <v>1.4407640384608511E-2</v>
      </c>
      <c r="T1543">
        <v>3704.8500979999999</v>
      </c>
      <c r="U1543">
        <f t="shared" si="273"/>
        <v>7.3276045346815089E-3</v>
      </c>
      <c r="W1543">
        <f t="shared" si="274"/>
        <v>3.4823277269747099E-3</v>
      </c>
      <c r="X1543">
        <v>9.88131603901422E-3</v>
      </c>
    </row>
    <row r="1544" spans="1:24" x14ac:dyDescent="0.35">
      <c r="A1544" s="1">
        <v>45092</v>
      </c>
      <c r="B1544">
        <v>2356.0029300000001</v>
      </c>
      <c r="C1544">
        <f t="shared" si="264"/>
        <v>2.7437075794845001E-4</v>
      </c>
      <c r="D1544">
        <v>3216.3000489999999</v>
      </c>
      <c r="E1544">
        <f t="shared" si="265"/>
        <v>-1.0688854209023546E-2</v>
      </c>
      <c r="F1544">
        <v>1582.0500489999999</v>
      </c>
      <c r="G1544">
        <f t="shared" si="266"/>
        <v>-1.2299017324800987E-2</v>
      </c>
      <c r="H1544">
        <v>829.70001219999995</v>
      </c>
      <c r="I1544">
        <f t="shared" si="267"/>
        <v>2.1136541750268467E-3</v>
      </c>
      <c r="J1544">
        <v>1286.8000489999999</v>
      </c>
      <c r="K1544">
        <f t="shared" si="268"/>
        <v>-1.0458301098893341E-2</v>
      </c>
      <c r="L1544">
        <v>448.10000609999997</v>
      </c>
      <c r="M1544">
        <f t="shared" si="269"/>
        <v>8.0990013498312141E-3</v>
      </c>
      <c r="N1544">
        <v>988.40002440000001</v>
      </c>
      <c r="O1544">
        <f t="shared" si="270"/>
        <v>1.7229271095371423E-3</v>
      </c>
      <c r="P1544">
        <v>157.6499939</v>
      </c>
      <c r="Q1544">
        <f t="shared" si="271"/>
        <v>-1.2671028968683773E-3</v>
      </c>
      <c r="R1544">
        <v>568.45001219999995</v>
      </c>
      <c r="S1544">
        <f t="shared" si="272"/>
        <v>-3.2438640006580144E-3</v>
      </c>
      <c r="T1544">
        <v>3917.6999510000001</v>
      </c>
      <c r="U1544">
        <f t="shared" si="273"/>
        <v>5.7451677495643727E-2</v>
      </c>
      <c r="W1544">
        <f t="shared" si="274"/>
        <v>3.1704491357743116E-3</v>
      </c>
      <c r="X1544">
        <v>9.8829672779959018E-3</v>
      </c>
    </row>
    <row r="1545" spans="1:24" x14ac:dyDescent="0.35">
      <c r="A1545" s="1">
        <v>45093</v>
      </c>
      <c r="B1545">
        <v>2378.939453</v>
      </c>
      <c r="C1545">
        <f t="shared" si="264"/>
        <v>9.7353541916009867E-3</v>
      </c>
      <c r="D1545">
        <v>3174.8999020000001</v>
      </c>
      <c r="E1545">
        <f t="shared" si="265"/>
        <v>-1.2871979096873098E-2</v>
      </c>
      <c r="F1545">
        <v>1602.75</v>
      </c>
      <c r="G1545">
        <f t="shared" si="266"/>
        <v>1.3084257993660975E-2</v>
      </c>
      <c r="H1545">
        <v>837.79998780000005</v>
      </c>
      <c r="I1545">
        <f t="shared" si="267"/>
        <v>9.7625352306824897E-3</v>
      </c>
      <c r="J1545">
        <v>1291.650024</v>
      </c>
      <c r="K1545">
        <f t="shared" si="268"/>
        <v>3.7690199062154761E-3</v>
      </c>
      <c r="L1545">
        <v>453.10000609999997</v>
      </c>
      <c r="M1545">
        <f t="shared" si="269"/>
        <v>1.1158223458903826E-2</v>
      </c>
      <c r="N1545">
        <v>992</v>
      </c>
      <c r="O1545">
        <f t="shared" si="270"/>
        <v>3.6422253248984404E-3</v>
      </c>
      <c r="P1545">
        <v>157</v>
      </c>
      <c r="Q1545">
        <f t="shared" si="271"/>
        <v>-4.1230188718707206E-3</v>
      </c>
      <c r="R1545">
        <v>569.79998780000005</v>
      </c>
      <c r="S1545">
        <f t="shared" si="272"/>
        <v>2.3748360823767634E-3</v>
      </c>
      <c r="T1545">
        <v>4085.6000979999999</v>
      </c>
      <c r="U1545">
        <f t="shared" si="273"/>
        <v>4.2856816269746023E-2</v>
      </c>
      <c r="W1545">
        <f t="shared" si="274"/>
        <v>7.9388270489341179E-3</v>
      </c>
      <c r="X1545">
        <v>9.8833153285767354E-3</v>
      </c>
    </row>
    <row r="1546" spans="1:24" x14ac:dyDescent="0.35">
      <c r="A1546" s="1">
        <v>45096</v>
      </c>
      <c r="B1546">
        <v>2355.310547</v>
      </c>
      <c r="C1546">
        <f t="shared" si="264"/>
        <v>-9.9325377828352046E-3</v>
      </c>
      <c r="D1546">
        <v>3210.3999020000001</v>
      </c>
      <c r="E1546">
        <f t="shared" si="265"/>
        <v>1.118145487914024E-2</v>
      </c>
      <c r="F1546">
        <v>1604.150024</v>
      </c>
      <c r="G1546">
        <f t="shared" si="266"/>
        <v>8.7351364841681267E-4</v>
      </c>
      <c r="H1546">
        <v>828.15002440000001</v>
      </c>
      <c r="I1546">
        <f t="shared" si="267"/>
        <v>-1.1518218596947127E-2</v>
      </c>
      <c r="J1546">
        <v>1294</v>
      </c>
      <c r="K1546">
        <f t="shared" si="268"/>
        <v>1.8193596998685724E-3</v>
      </c>
      <c r="L1546">
        <v>453.60000609999997</v>
      </c>
      <c r="M1546">
        <f t="shared" si="269"/>
        <v>1.1035091442697098E-3</v>
      </c>
      <c r="N1546">
        <v>1001.799988</v>
      </c>
      <c r="O1546">
        <f t="shared" si="270"/>
        <v>9.8790201612903861E-3</v>
      </c>
      <c r="P1546">
        <v>157.8000031</v>
      </c>
      <c r="Q1546">
        <f t="shared" si="271"/>
        <v>5.0955611464968964E-3</v>
      </c>
      <c r="R1546">
        <v>566.04998780000005</v>
      </c>
      <c r="S1546">
        <f t="shared" si="272"/>
        <v>-6.5812567221680274E-3</v>
      </c>
      <c r="T1546">
        <v>3975.6999510000001</v>
      </c>
      <c r="U1546">
        <f t="shared" si="273"/>
        <v>-2.6899389162879261E-2</v>
      </c>
      <c r="W1546">
        <f t="shared" si="274"/>
        <v>-2.4978983585347003E-3</v>
      </c>
      <c r="X1546">
        <v>9.9174152063234225E-3</v>
      </c>
    </row>
    <row r="1547" spans="1:24" x14ac:dyDescent="0.35">
      <c r="A1547" s="1">
        <v>45097</v>
      </c>
      <c r="B1547">
        <v>2360.202393</v>
      </c>
      <c r="C1547">
        <f t="shared" si="264"/>
        <v>2.0769431046920861E-3</v>
      </c>
      <c r="D1547">
        <v>3227.6999510000001</v>
      </c>
      <c r="E1547">
        <f t="shared" si="265"/>
        <v>5.3887520334219285E-3</v>
      </c>
      <c r="F1547">
        <v>1607.5</v>
      </c>
      <c r="G1547">
        <f t="shared" si="266"/>
        <v>2.0883183928437354E-3</v>
      </c>
      <c r="H1547">
        <v>831.20001219999995</v>
      </c>
      <c r="I1547">
        <f t="shared" si="267"/>
        <v>3.6828928456649201E-3</v>
      </c>
      <c r="J1547">
        <v>1303.400024</v>
      </c>
      <c r="K1547">
        <f t="shared" si="268"/>
        <v>7.2643153013911554E-3</v>
      </c>
      <c r="L1547">
        <v>452.85000609999997</v>
      </c>
      <c r="M1547">
        <f t="shared" si="269"/>
        <v>-1.6534391312037489E-3</v>
      </c>
      <c r="N1547">
        <v>991.95001219999995</v>
      </c>
      <c r="O1547">
        <f t="shared" si="270"/>
        <v>-9.8322778179151804E-3</v>
      </c>
      <c r="P1547">
        <v>157.25</v>
      </c>
      <c r="Q1547">
        <f t="shared" si="271"/>
        <v>-3.485444164734619E-3</v>
      </c>
      <c r="R1547">
        <v>583.25</v>
      </c>
      <c r="S1547">
        <f t="shared" si="272"/>
        <v>3.038603051092581E-2</v>
      </c>
      <c r="T1547">
        <v>3986.8999020000001</v>
      </c>
      <c r="U1547">
        <f t="shared" si="273"/>
        <v>2.817101677198508E-3</v>
      </c>
      <c r="W1547">
        <f t="shared" si="274"/>
        <v>3.8733192752284594E-3</v>
      </c>
      <c r="X1547">
        <v>9.9470325924246091E-3</v>
      </c>
    </row>
    <row r="1548" spans="1:24" x14ac:dyDescent="0.35">
      <c r="A1548" s="1">
        <v>45098</v>
      </c>
      <c r="B1548">
        <v>2366.8481449999999</v>
      </c>
      <c r="C1548">
        <f t="shared" si="264"/>
        <v>2.8157551317251617E-3</v>
      </c>
      <c r="D1548">
        <v>3258.1999510000001</v>
      </c>
      <c r="E1548">
        <f t="shared" si="265"/>
        <v>9.4494533144415804E-3</v>
      </c>
      <c r="F1548">
        <v>1635.599976</v>
      </c>
      <c r="G1548">
        <f t="shared" si="266"/>
        <v>1.7480544945567722E-2</v>
      </c>
      <c r="H1548">
        <v>839</v>
      </c>
      <c r="I1548">
        <f t="shared" si="267"/>
        <v>9.3840082838247962E-3</v>
      </c>
      <c r="J1548">
        <v>1299.349976</v>
      </c>
      <c r="K1548">
        <f t="shared" si="268"/>
        <v>-3.1072947103153448E-3</v>
      </c>
      <c r="L1548">
        <v>447.0499878</v>
      </c>
      <c r="M1548">
        <f t="shared" si="269"/>
        <v>-1.2807813231472509E-2</v>
      </c>
      <c r="N1548">
        <v>991.90002440000001</v>
      </c>
      <c r="O1548">
        <f t="shared" si="270"/>
        <v>-5.0393466792808539E-5</v>
      </c>
      <c r="P1548">
        <v>160.1999969</v>
      </c>
      <c r="Q1548">
        <f t="shared" si="271"/>
        <v>1.8759916693163792E-2</v>
      </c>
      <c r="R1548">
        <v>581.40002440000001</v>
      </c>
      <c r="S1548">
        <f t="shared" si="272"/>
        <v>-3.1718398628375333E-3</v>
      </c>
      <c r="T1548">
        <v>3919.5</v>
      </c>
      <c r="U1548">
        <f t="shared" si="273"/>
        <v>-1.6905340905646882E-2</v>
      </c>
      <c r="W1548">
        <f t="shared" si="274"/>
        <v>2.1846996191657972E-3</v>
      </c>
      <c r="X1548">
        <v>1.0021355119591104E-2</v>
      </c>
    </row>
    <row r="1549" spans="1:24" x14ac:dyDescent="0.35">
      <c r="A1549" s="1">
        <v>45099</v>
      </c>
      <c r="B1549">
        <v>2340.265625</v>
      </c>
      <c r="C1549">
        <f t="shared" si="264"/>
        <v>-1.1231189485542581E-2</v>
      </c>
      <c r="D1549">
        <v>3238.5</v>
      </c>
      <c r="E1549">
        <f t="shared" si="265"/>
        <v>-6.0462682758171127E-3</v>
      </c>
      <c r="F1549">
        <v>1643.599976</v>
      </c>
      <c r="G1549">
        <f t="shared" si="266"/>
        <v>4.8911715073294282E-3</v>
      </c>
      <c r="H1549">
        <v>842.79998780000005</v>
      </c>
      <c r="I1549">
        <f t="shared" si="267"/>
        <v>4.5291868891537135E-3</v>
      </c>
      <c r="J1549">
        <v>1281.5500489999999</v>
      </c>
      <c r="K1549">
        <f t="shared" si="268"/>
        <v>-1.3699101342039111E-2</v>
      </c>
      <c r="L1549">
        <v>447.64999390000003</v>
      </c>
      <c r="M1549">
        <f t="shared" si="269"/>
        <v>1.3421454342337213E-3</v>
      </c>
      <c r="N1549">
        <v>990.29998780000005</v>
      </c>
      <c r="O1549">
        <f t="shared" si="270"/>
        <v>-1.6131026924490754E-3</v>
      </c>
      <c r="P1549">
        <v>158.9499969</v>
      </c>
      <c r="Q1549">
        <f t="shared" si="271"/>
        <v>-7.8027467177810284E-3</v>
      </c>
      <c r="R1549">
        <v>569.34997559999999</v>
      </c>
      <c r="S1549">
        <f t="shared" si="272"/>
        <v>-2.0725917258836657E-2</v>
      </c>
      <c r="T1549">
        <v>3812.1499020000001</v>
      </c>
      <c r="U1549">
        <f t="shared" si="273"/>
        <v>-2.7388722541140442E-2</v>
      </c>
      <c r="W1549">
        <f t="shared" si="274"/>
        <v>-7.7744544482889148E-3</v>
      </c>
      <c r="X1549">
        <v>1.0036144860870523E-2</v>
      </c>
    </row>
    <row r="1550" spans="1:24" x14ac:dyDescent="0.35">
      <c r="A1550" s="1">
        <v>45100</v>
      </c>
      <c r="B1550">
        <v>2321.1135250000002</v>
      </c>
      <c r="C1550">
        <f t="shared" si="264"/>
        <v>-8.1837291439940119E-3</v>
      </c>
      <c r="D1550">
        <v>3216.3500979999999</v>
      </c>
      <c r="E1550">
        <f t="shared" si="265"/>
        <v>-6.8395559672688178E-3</v>
      </c>
      <c r="F1550">
        <v>1643.5</v>
      </c>
      <c r="G1550">
        <f t="shared" si="266"/>
        <v>-6.0827452822986849E-5</v>
      </c>
      <c r="H1550">
        <v>854.79998780000005</v>
      </c>
      <c r="I1550">
        <f t="shared" si="267"/>
        <v>1.4238253647017807E-2</v>
      </c>
      <c r="J1550">
        <v>1265</v>
      </c>
      <c r="K1550">
        <f t="shared" si="268"/>
        <v>-1.2914087134493157E-2</v>
      </c>
      <c r="L1550">
        <v>444.75</v>
      </c>
      <c r="M1550">
        <f t="shared" si="269"/>
        <v>-6.4782618999607022E-3</v>
      </c>
      <c r="N1550">
        <v>991.45001219999995</v>
      </c>
      <c r="O1550">
        <f t="shared" si="270"/>
        <v>1.1612889166592311E-3</v>
      </c>
      <c r="P1550">
        <v>156.8999939</v>
      </c>
      <c r="Q1550">
        <f t="shared" si="271"/>
        <v>-1.2897156590004344E-2</v>
      </c>
      <c r="R1550">
        <v>559.65002440000001</v>
      </c>
      <c r="S1550">
        <f t="shared" si="272"/>
        <v>-1.7036887003951895E-2</v>
      </c>
      <c r="T1550">
        <v>3744.0500489999999</v>
      </c>
      <c r="U1550">
        <f t="shared" si="273"/>
        <v>-1.7863896948090208E-2</v>
      </c>
      <c r="W1550">
        <f t="shared" si="274"/>
        <v>-6.6874859576909092E-3</v>
      </c>
      <c r="X1550">
        <v>1.004374917743832E-2</v>
      </c>
    </row>
    <row r="1551" spans="1:24" x14ac:dyDescent="0.35">
      <c r="A1551" s="1">
        <v>45103</v>
      </c>
      <c r="B1551">
        <v>2303.391846</v>
      </c>
      <c r="C1551">
        <f t="shared" si="264"/>
        <v>-7.634990192907587E-3</v>
      </c>
      <c r="D1551">
        <v>3189.6499020000001</v>
      </c>
      <c r="E1551">
        <f t="shared" si="265"/>
        <v>-8.3013960503250939E-3</v>
      </c>
      <c r="F1551">
        <v>1635.5500489999999</v>
      </c>
      <c r="G1551">
        <f t="shared" si="266"/>
        <v>-4.8372077882568032E-3</v>
      </c>
      <c r="H1551">
        <v>851.95001219999995</v>
      </c>
      <c r="I1551">
        <f t="shared" si="267"/>
        <v>-3.3340847457603573E-3</v>
      </c>
      <c r="J1551">
        <v>1270.349976</v>
      </c>
      <c r="K1551">
        <f t="shared" si="268"/>
        <v>4.2292300395256888E-3</v>
      </c>
      <c r="L1551">
        <v>445.7000122</v>
      </c>
      <c r="M1551">
        <f t="shared" si="269"/>
        <v>2.1360589094996385E-3</v>
      </c>
      <c r="N1551">
        <v>994.95001219999995</v>
      </c>
      <c r="O1551">
        <f t="shared" si="270"/>
        <v>3.5301830217677743E-3</v>
      </c>
      <c r="P1551">
        <v>156.8999939</v>
      </c>
      <c r="Q1551">
        <f t="shared" si="271"/>
        <v>0</v>
      </c>
      <c r="R1551">
        <v>567.84997559999999</v>
      </c>
      <c r="S1551">
        <f t="shared" si="272"/>
        <v>1.4651926815854477E-2</v>
      </c>
      <c r="T1551">
        <v>3848.25</v>
      </c>
      <c r="U1551">
        <f t="shared" si="273"/>
        <v>2.7830811457189464E-2</v>
      </c>
      <c r="W1551">
        <f t="shared" si="274"/>
        <v>2.8270531466587203E-3</v>
      </c>
      <c r="X1551">
        <v>1.005651244102769E-2</v>
      </c>
    </row>
    <row r="1552" spans="1:24" x14ac:dyDescent="0.35">
      <c r="A1552" s="1">
        <v>45104</v>
      </c>
      <c r="B1552">
        <v>2304.2226559999999</v>
      </c>
      <c r="C1552">
        <f t="shared" si="264"/>
        <v>3.6068982420101037E-4</v>
      </c>
      <c r="D1552">
        <v>3197.3500979999999</v>
      </c>
      <c r="E1552">
        <f t="shared" si="265"/>
        <v>2.414119491663147E-3</v>
      </c>
      <c r="F1552">
        <v>1658.599976</v>
      </c>
      <c r="G1552">
        <f t="shared" si="266"/>
        <v>1.4093073467298156E-2</v>
      </c>
      <c r="H1552">
        <v>864.90002440000001</v>
      </c>
      <c r="I1552">
        <f t="shared" si="267"/>
        <v>1.5200436662426986E-2</v>
      </c>
      <c r="J1552">
        <v>1279.150024</v>
      </c>
      <c r="K1552">
        <f t="shared" si="268"/>
        <v>6.9272626963075012E-3</v>
      </c>
      <c r="L1552">
        <v>445.10000609999997</v>
      </c>
      <c r="M1552">
        <f t="shared" si="269"/>
        <v>-1.3462106429801279E-3</v>
      </c>
      <c r="N1552">
        <v>1001.799988</v>
      </c>
      <c r="O1552">
        <f t="shared" si="270"/>
        <v>6.8847436715475663E-3</v>
      </c>
      <c r="P1552">
        <v>157.8500061</v>
      </c>
      <c r="Q1552">
        <f t="shared" si="271"/>
        <v>6.0548899740906492E-3</v>
      </c>
      <c r="R1552">
        <v>573.09997559999999</v>
      </c>
      <c r="S1552">
        <f t="shared" si="272"/>
        <v>9.2453997104653407E-3</v>
      </c>
      <c r="T1552">
        <v>3872.1000979999999</v>
      </c>
      <c r="U1552">
        <f t="shared" si="273"/>
        <v>6.1976477619696269E-3</v>
      </c>
      <c r="W1552">
        <f t="shared" si="274"/>
        <v>6.6032052616989854E-3</v>
      </c>
      <c r="X1552">
        <v>1.0059395154942008E-2</v>
      </c>
    </row>
    <row r="1553" spans="1:24" x14ac:dyDescent="0.35">
      <c r="A1553" s="1">
        <v>45105</v>
      </c>
      <c r="B1553">
        <v>2334.7277829999998</v>
      </c>
      <c r="C1553">
        <f t="shared" si="264"/>
        <v>1.323879310038345E-2</v>
      </c>
      <c r="D1553">
        <v>3215.4499510000001</v>
      </c>
      <c r="E1553">
        <f t="shared" si="265"/>
        <v>5.6608918151697107E-3</v>
      </c>
      <c r="F1553">
        <v>1676.150024</v>
      </c>
      <c r="G1553">
        <f t="shared" si="266"/>
        <v>1.0581242164445781E-2</v>
      </c>
      <c r="H1553">
        <v>872.20001219999995</v>
      </c>
      <c r="I1553">
        <f t="shared" si="267"/>
        <v>8.4402677697508199E-3</v>
      </c>
      <c r="J1553">
        <v>1293.349976</v>
      </c>
      <c r="K1553">
        <f t="shared" si="268"/>
        <v>1.1101084105518355E-2</v>
      </c>
      <c r="L1553">
        <v>449.35000609999997</v>
      </c>
      <c r="M1553">
        <f t="shared" si="269"/>
        <v>9.5484159554137804E-3</v>
      </c>
      <c r="N1553">
        <v>1021.799988</v>
      </c>
      <c r="O1553">
        <f t="shared" si="270"/>
        <v>1.9964064922707969E-2</v>
      </c>
      <c r="P1553">
        <v>158.5500031</v>
      </c>
      <c r="Q1553">
        <f t="shared" si="271"/>
        <v>4.4345706236876836E-3</v>
      </c>
      <c r="R1553">
        <v>586.65002440000001</v>
      </c>
      <c r="S1553">
        <f t="shared" si="272"/>
        <v>2.3643429378641834E-2</v>
      </c>
      <c r="T1553">
        <v>3963.6000979999999</v>
      </c>
      <c r="U1553">
        <f t="shared" si="273"/>
        <v>2.3630587454921637E-2</v>
      </c>
      <c r="W1553">
        <f t="shared" si="274"/>
        <v>1.3024334729064103E-2</v>
      </c>
      <c r="X1553">
        <v>1.0059439362426627E-2</v>
      </c>
    </row>
    <row r="1554" spans="1:24" x14ac:dyDescent="0.35">
      <c r="A1554" s="1">
        <v>45107</v>
      </c>
      <c r="B1554">
        <v>2353.8798830000001</v>
      </c>
      <c r="C1554">
        <f t="shared" si="264"/>
        <v>8.2031404857789703E-3</v>
      </c>
      <c r="D1554">
        <v>3302.25</v>
      </c>
      <c r="E1554">
        <f t="shared" si="265"/>
        <v>2.6994682026695971E-2</v>
      </c>
      <c r="F1554">
        <v>1701.400024</v>
      </c>
      <c r="G1554">
        <f t="shared" si="266"/>
        <v>1.5064284007074047E-2</v>
      </c>
      <c r="H1554">
        <v>878.75</v>
      </c>
      <c r="I1554">
        <f t="shared" si="267"/>
        <v>7.5097313785614794E-3</v>
      </c>
      <c r="J1554">
        <v>1335.5</v>
      </c>
      <c r="K1554">
        <f t="shared" si="268"/>
        <v>3.2589805375308645E-2</v>
      </c>
      <c r="L1554">
        <v>451.60000609999997</v>
      </c>
      <c r="M1554">
        <f t="shared" si="269"/>
        <v>5.007232601437428E-3</v>
      </c>
      <c r="N1554">
        <v>1051.599976</v>
      </c>
      <c r="O1554">
        <f t="shared" si="270"/>
        <v>2.9164208602437292E-2</v>
      </c>
      <c r="P1554">
        <v>160.3000031</v>
      </c>
      <c r="Q1554">
        <f t="shared" si="271"/>
        <v>1.1037527378011225E-2</v>
      </c>
      <c r="R1554">
        <v>595.54998780000005</v>
      </c>
      <c r="S1554">
        <f t="shared" si="272"/>
        <v>1.5170822517398763E-2</v>
      </c>
      <c r="T1554">
        <v>3889.1999510000001</v>
      </c>
      <c r="U1554">
        <f t="shared" si="273"/>
        <v>-1.8770851034528357E-2</v>
      </c>
      <c r="W1554">
        <f t="shared" si="274"/>
        <v>1.3197058333817548E-2</v>
      </c>
      <c r="X1554">
        <v>1.008095627449045E-2</v>
      </c>
    </row>
    <row r="1555" spans="1:24" x14ac:dyDescent="0.35">
      <c r="A1555" s="1">
        <v>45110</v>
      </c>
      <c r="B1555">
        <v>2414.2902829999998</v>
      </c>
      <c r="C1555">
        <f t="shared" si="264"/>
        <v>2.5664181267825548E-2</v>
      </c>
      <c r="D1555">
        <v>3272.3000489999999</v>
      </c>
      <c r="E1555">
        <f t="shared" si="265"/>
        <v>-9.0695589370883845E-3</v>
      </c>
      <c r="F1555">
        <v>1719.8000489999999</v>
      </c>
      <c r="G1555">
        <f t="shared" si="266"/>
        <v>1.081463779266989E-2</v>
      </c>
      <c r="H1555">
        <v>879.15002440000001</v>
      </c>
      <c r="I1555">
        <f t="shared" si="267"/>
        <v>4.5521980085339031E-4</v>
      </c>
      <c r="J1555">
        <v>1333.6999510000001</v>
      </c>
      <c r="K1555">
        <f t="shared" si="268"/>
        <v>-1.3478464994384209E-3</v>
      </c>
      <c r="L1555">
        <v>463.25</v>
      </c>
      <c r="M1555">
        <f t="shared" si="269"/>
        <v>2.5797151777319227E-2</v>
      </c>
      <c r="N1555">
        <v>1032.6999510000001</v>
      </c>
      <c r="O1555">
        <f t="shared" si="270"/>
        <v>-1.7972637344373488E-2</v>
      </c>
      <c r="P1555">
        <v>162.8999939</v>
      </c>
      <c r="Q1555">
        <f t="shared" si="271"/>
        <v>1.6219530565935392E-2</v>
      </c>
      <c r="R1555">
        <v>590.79998780000005</v>
      </c>
      <c r="S1555">
        <f t="shared" si="272"/>
        <v>-7.9758208333557956E-3</v>
      </c>
      <c r="T1555">
        <v>3868.6000979999999</v>
      </c>
      <c r="U1555">
        <f t="shared" si="273"/>
        <v>-5.296681389369895E-3</v>
      </c>
      <c r="W1555">
        <f t="shared" si="274"/>
        <v>3.7288176200977467E-3</v>
      </c>
      <c r="X1555">
        <v>1.0090134646130467E-2</v>
      </c>
    </row>
    <row r="1556" spans="1:24" x14ac:dyDescent="0.35">
      <c r="A1556" s="1">
        <v>45111</v>
      </c>
      <c r="B1556">
        <v>2389.4155270000001</v>
      </c>
      <c r="C1556">
        <f t="shared" si="264"/>
        <v>-1.0303133875471771E-2</v>
      </c>
      <c r="D1556">
        <v>3308.8500979999999</v>
      </c>
      <c r="E1556">
        <f t="shared" si="265"/>
        <v>1.1169528604557444E-2</v>
      </c>
      <c r="F1556">
        <v>1728.1999510000001</v>
      </c>
      <c r="G1556">
        <f t="shared" si="266"/>
        <v>4.8842317482689079E-3</v>
      </c>
      <c r="H1556">
        <v>865.15002440000001</v>
      </c>
      <c r="I1556">
        <f t="shared" si="267"/>
        <v>-1.5924472059879347E-2</v>
      </c>
      <c r="J1556">
        <v>1345.150024</v>
      </c>
      <c r="K1556">
        <f t="shared" si="268"/>
        <v>8.5851941371182239E-3</v>
      </c>
      <c r="L1556">
        <v>466.35000609999997</v>
      </c>
      <c r="M1556">
        <f t="shared" si="269"/>
        <v>6.6918642201834189E-3</v>
      </c>
      <c r="N1556">
        <v>1048.8000489999999</v>
      </c>
      <c r="O1556">
        <f t="shared" si="270"/>
        <v>1.5590296082041544E-2</v>
      </c>
      <c r="P1556">
        <v>161.1999969</v>
      </c>
      <c r="Q1556">
        <f t="shared" si="271"/>
        <v>-1.0435832189432559E-2</v>
      </c>
      <c r="R1556">
        <v>591.45001219999995</v>
      </c>
      <c r="S1556">
        <f t="shared" si="272"/>
        <v>1.10024443707335E-3</v>
      </c>
      <c r="T1556">
        <v>3857.1999510000001</v>
      </c>
      <c r="U1556">
        <f t="shared" si="273"/>
        <v>-2.9468403844309377E-3</v>
      </c>
      <c r="W1556">
        <f t="shared" si="274"/>
        <v>8.4110807200282755E-4</v>
      </c>
      <c r="X1556">
        <v>1.0108844587168707E-2</v>
      </c>
    </row>
    <row r="1557" spans="1:24" x14ac:dyDescent="0.35">
      <c r="A1557" s="1">
        <v>45112</v>
      </c>
      <c r="B1557">
        <v>2385.4926759999998</v>
      </c>
      <c r="C1557">
        <f t="shared" si="264"/>
        <v>-1.6417617428499121E-3</v>
      </c>
      <c r="D1557">
        <v>3319.9499510000001</v>
      </c>
      <c r="E1557">
        <f t="shared" si="265"/>
        <v>3.3545953038820464E-3</v>
      </c>
      <c r="F1557">
        <v>1673.3000489999999</v>
      </c>
      <c r="G1557">
        <f t="shared" si="266"/>
        <v>-3.1767100773398949E-2</v>
      </c>
      <c r="H1557">
        <v>866.65002440000001</v>
      </c>
      <c r="I1557">
        <f t="shared" si="267"/>
        <v>1.7338033377971573E-3</v>
      </c>
      <c r="J1557">
        <v>1347.3000489999999</v>
      </c>
      <c r="K1557">
        <f t="shared" si="268"/>
        <v>1.598353314975709E-3</v>
      </c>
      <c r="L1557">
        <v>475.10000609999997</v>
      </c>
      <c r="M1557">
        <f t="shared" si="269"/>
        <v>1.8762731608335637E-2</v>
      </c>
      <c r="N1557">
        <v>1044.6999510000001</v>
      </c>
      <c r="O1557">
        <f t="shared" si="270"/>
        <v>-3.9093228532065538E-3</v>
      </c>
      <c r="P1557">
        <v>162.8000031</v>
      </c>
      <c r="Q1557">
        <f t="shared" si="271"/>
        <v>9.925596965070449E-3</v>
      </c>
      <c r="R1557">
        <v>588.25</v>
      </c>
      <c r="S1557">
        <f t="shared" si="272"/>
        <v>-5.4104525048481733E-3</v>
      </c>
      <c r="T1557">
        <v>3820.1000979999999</v>
      </c>
      <c r="U1557">
        <f t="shared" si="273"/>
        <v>-9.6183380356991144E-3</v>
      </c>
      <c r="W1557">
        <f t="shared" si="274"/>
        <v>-1.6971895379941709E-3</v>
      </c>
      <c r="X1557">
        <v>1.0108949067668916E-2</v>
      </c>
    </row>
    <row r="1558" spans="1:24" x14ac:dyDescent="0.35">
      <c r="A1558" s="1">
        <v>45113</v>
      </c>
      <c r="B1558">
        <v>2435.5654300000001</v>
      </c>
      <c r="C1558">
        <f t="shared" si="264"/>
        <v>2.0990529337512998E-2</v>
      </c>
      <c r="D1558">
        <v>3322.8999020000001</v>
      </c>
      <c r="E1558">
        <f t="shared" si="265"/>
        <v>8.8855285276556728E-4</v>
      </c>
      <c r="F1558">
        <v>1675</v>
      </c>
      <c r="G1558">
        <f t="shared" si="266"/>
        <v>1.015927179955467E-3</v>
      </c>
      <c r="H1558">
        <v>869.65002440000001</v>
      </c>
      <c r="I1558">
        <f t="shared" si="267"/>
        <v>3.4616049334066368E-3</v>
      </c>
      <c r="J1558">
        <v>1343.900024</v>
      </c>
      <c r="K1558">
        <f t="shared" si="268"/>
        <v>-2.5235841136675985E-3</v>
      </c>
      <c r="L1558">
        <v>473.89999390000003</v>
      </c>
      <c r="M1558">
        <f t="shared" si="269"/>
        <v>-2.5258096918385764E-3</v>
      </c>
      <c r="N1558">
        <v>1042.5</v>
      </c>
      <c r="O1558">
        <f t="shared" si="270"/>
        <v>-2.1058209085721424E-3</v>
      </c>
      <c r="P1558">
        <v>165.3999939</v>
      </c>
      <c r="Q1558">
        <f t="shared" si="271"/>
        <v>1.5970459155353778E-2</v>
      </c>
      <c r="R1558">
        <v>600.79998780000005</v>
      </c>
      <c r="S1558">
        <f t="shared" si="272"/>
        <v>2.1334445898852694E-2</v>
      </c>
      <c r="T1558">
        <v>3815.8999020000001</v>
      </c>
      <c r="U1558">
        <f t="shared" si="273"/>
        <v>-1.0994989377892672E-3</v>
      </c>
      <c r="W1558">
        <f t="shared" si="274"/>
        <v>5.5406805705979561E-3</v>
      </c>
      <c r="X1558">
        <v>1.0109073972133764E-2</v>
      </c>
    </row>
    <row r="1559" spans="1:24" x14ac:dyDescent="0.35">
      <c r="A1559" s="1">
        <v>45114</v>
      </c>
      <c r="B1559">
        <v>2430.8120119999999</v>
      </c>
      <c r="C1559">
        <f t="shared" si="264"/>
        <v>-1.9516691859106094E-3</v>
      </c>
      <c r="D1559">
        <v>3329.25</v>
      </c>
      <c r="E1559">
        <f t="shared" si="265"/>
        <v>1.9110109203643866E-3</v>
      </c>
      <c r="F1559">
        <v>1660.400024</v>
      </c>
      <c r="G1559">
        <f t="shared" si="266"/>
        <v>-8.7164035820895824E-3</v>
      </c>
      <c r="H1559">
        <v>870.45001219999995</v>
      </c>
      <c r="I1559">
        <f t="shared" si="267"/>
        <v>9.1989625430288768E-4</v>
      </c>
      <c r="J1559">
        <v>1330.1999510000001</v>
      </c>
      <c r="K1559">
        <f t="shared" si="268"/>
        <v>-1.0194265016249426E-2</v>
      </c>
      <c r="L1559">
        <v>468.39999390000003</v>
      </c>
      <c r="M1559">
        <f t="shared" si="269"/>
        <v>-1.1605824162894129E-2</v>
      </c>
      <c r="N1559">
        <v>1035.6999510000001</v>
      </c>
      <c r="O1559">
        <f t="shared" si="270"/>
        <v>-6.5228287769784066E-3</v>
      </c>
      <c r="P1559">
        <v>163.5</v>
      </c>
      <c r="Q1559">
        <f t="shared" si="271"/>
        <v>-1.1487267050014016E-2</v>
      </c>
      <c r="R1559">
        <v>618.20001219999995</v>
      </c>
      <c r="S1559">
        <f t="shared" si="272"/>
        <v>2.8961426020854386E-2</v>
      </c>
      <c r="T1559">
        <v>3808.9499510000001</v>
      </c>
      <c r="U1559">
        <f t="shared" si="273"/>
        <v>-1.8213137604468077E-3</v>
      </c>
      <c r="W1559">
        <f t="shared" si="274"/>
        <v>-2.0507238339061316E-3</v>
      </c>
      <c r="X1559">
        <v>1.0124221101905872E-2</v>
      </c>
    </row>
    <row r="1560" spans="1:24" x14ac:dyDescent="0.35">
      <c r="A1560" s="1">
        <v>45117</v>
      </c>
      <c r="B1560">
        <v>2524.4501949999999</v>
      </c>
      <c r="C1560">
        <f t="shared" si="264"/>
        <v>3.8521359339078298E-2</v>
      </c>
      <c r="D1560">
        <v>3271.9499510000001</v>
      </c>
      <c r="E1560">
        <f t="shared" si="265"/>
        <v>-1.7211098295411897E-2</v>
      </c>
      <c r="F1560">
        <v>1656.4499510000001</v>
      </c>
      <c r="G1560">
        <f t="shared" si="266"/>
        <v>-2.3789887634932949E-3</v>
      </c>
      <c r="H1560">
        <v>885.40002440000001</v>
      </c>
      <c r="I1560">
        <f t="shared" si="267"/>
        <v>1.7175038187678293E-2</v>
      </c>
      <c r="J1560">
        <v>1329.150024</v>
      </c>
      <c r="K1560">
        <f t="shared" si="268"/>
        <v>-7.8930013432243484E-4</v>
      </c>
      <c r="L1560">
        <v>465.85000609999997</v>
      </c>
      <c r="M1560">
        <f t="shared" si="269"/>
        <v>-5.4440389265770772E-3</v>
      </c>
      <c r="N1560">
        <v>1045</v>
      </c>
      <c r="O1560">
        <f t="shared" si="270"/>
        <v>8.9794819349180433E-3</v>
      </c>
      <c r="P1560">
        <v>162.75</v>
      </c>
      <c r="Q1560">
        <f t="shared" si="271"/>
        <v>-4.5871559633027248E-3</v>
      </c>
      <c r="R1560">
        <v>618.65002440000001</v>
      </c>
      <c r="S1560">
        <f t="shared" si="272"/>
        <v>7.2793948741378678E-4</v>
      </c>
      <c r="T1560">
        <v>3767.6999510000001</v>
      </c>
      <c r="U1560">
        <f t="shared" si="273"/>
        <v>-1.0829756371351196E-2</v>
      </c>
      <c r="W1560">
        <f t="shared" si="274"/>
        <v>2.4163480494629793E-3</v>
      </c>
      <c r="X1560">
        <v>1.0135898520218433E-2</v>
      </c>
    </row>
    <row r="1561" spans="1:24" x14ac:dyDescent="0.35">
      <c r="A1561" s="1">
        <v>45118</v>
      </c>
      <c r="B1561">
        <v>2551.8171390000002</v>
      </c>
      <c r="C1561">
        <f t="shared" si="264"/>
        <v>1.0840754178555123E-2</v>
      </c>
      <c r="D1561">
        <v>3272.3999020000001</v>
      </c>
      <c r="E1561">
        <f t="shared" si="265"/>
        <v>1.375176902882469E-4</v>
      </c>
      <c r="F1561">
        <v>1648.400024</v>
      </c>
      <c r="G1561">
        <f t="shared" si="266"/>
        <v>-4.859746589469971E-3</v>
      </c>
      <c r="H1561">
        <v>891.90002440000001</v>
      </c>
      <c r="I1561">
        <f t="shared" si="267"/>
        <v>7.3413144577274547E-3</v>
      </c>
      <c r="J1561">
        <v>1348.599976</v>
      </c>
      <c r="K1561">
        <f t="shared" si="268"/>
        <v>1.4633375953653882E-2</v>
      </c>
      <c r="L1561">
        <v>473.14999390000003</v>
      </c>
      <c r="M1561">
        <f t="shared" si="269"/>
        <v>1.5670253739211049E-2</v>
      </c>
      <c r="N1561">
        <v>1072.25</v>
      </c>
      <c r="O1561">
        <f t="shared" si="270"/>
        <v>2.6076555023923476E-2</v>
      </c>
      <c r="P1561">
        <v>164.6000061</v>
      </c>
      <c r="Q1561">
        <f t="shared" si="271"/>
        <v>1.1367164976958444E-2</v>
      </c>
      <c r="R1561">
        <v>628.5</v>
      </c>
      <c r="S1561">
        <f t="shared" si="272"/>
        <v>1.5921725065076942E-2</v>
      </c>
      <c r="T1561">
        <v>3827.1000979999999</v>
      </c>
      <c r="U1561">
        <f t="shared" si="273"/>
        <v>1.5765625652922388E-2</v>
      </c>
      <c r="W1561">
        <f t="shared" si="274"/>
        <v>1.1289454014884704E-2</v>
      </c>
      <c r="X1561">
        <v>1.0167160132119879E-2</v>
      </c>
    </row>
    <row r="1562" spans="1:24" x14ac:dyDescent="0.35">
      <c r="A1562" s="1">
        <v>45119</v>
      </c>
      <c r="B1562">
        <v>2554.6323240000002</v>
      </c>
      <c r="C1562">
        <f t="shared" si="264"/>
        <v>1.1032079677555373E-3</v>
      </c>
      <c r="D1562">
        <v>3259.8999020000001</v>
      </c>
      <c r="E1562">
        <f t="shared" si="265"/>
        <v>-3.8198265414811639E-3</v>
      </c>
      <c r="F1562">
        <v>1632.9499510000001</v>
      </c>
      <c r="G1562">
        <f t="shared" si="266"/>
        <v>-9.372769215635457E-3</v>
      </c>
      <c r="H1562">
        <v>889.95001219999995</v>
      </c>
      <c r="I1562">
        <f t="shared" si="267"/>
        <v>-2.1863573793620139E-3</v>
      </c>
      <c r="J1562">
        <v>1333.3000489999999</v>
      </c>
      <c r="K1562">
        <f t="shared" si="268"/>
        <v>-1.1345044692481876E-2</v>
      </c>
      <c r="L1562">
        <v>472.2999878</v>
      </c>
      <c r="M1562">
        <f t="shared" si="269"/>
        <v>-1.7964833793904234E-3</v>
      </c>
      <c r="N1562">
        <v>1078.75</v>
      </c>
      <c r="O1562">
        <f t="shared" si="270"/>
        <v>6.0620191186757655E-3</v>
      </c>
      <c r="P1562">
        <v>167.6499939</v>
      </c>
      <c r="Q1562">
        <f t="shared" si="271"/>
        <v>1.8529694331524071E-2</v>
      </c>
      <c r="R1562">
        <v>621.45001219999995</v>
      </c>
      <c r="S1562">
        <f t="shared" si="272"/>
        <v>-1.1217164359586418E-2</v>
      </c>
      <c r="T1562">
        <v>3806.3500979999999</v>
      </c>
      <c r="U1562">
        <f t="shared" si="273"/>
        <v>-5.4218597550776959E-3</v>
      </c>
      <c r="W1562">
        <f t="shared" si="274"/>
        <v>-1.9464583905059677E-3</v>
      </c>
      <c r="X1562">
        <v>1.0199710144854414E-2</v>
      </c>
    </row>
    <row r="1563" spans="1:24" x14ac:dyDescent="0.35">
      <c r="A1563" s="1">
        <v>45120</v>
      </c>
      <c r="B1563">
        <v>2531.788086</v>
      </c>
      <c r="C1563">
        <f t="shared" si="264"/>
        <v>-8.94228018074672E-3</v>
      </c>
      <c r="D1563">
        <v>3340.5500489999999</v>
      </c>
      <c r="E1563">
        <f t="shared" si="265"/>
        <v>2.4740068537233206E-2</v>
      </c>
      <c r="F1563">
        <v>1641.099976</v>
      </c>
      <c r="G1563">
        <f t="shared" si="266"/>
        <v>4.9909827273082463E-3</v>
      </c>
      <c r="H1563">
        <v>885.04998780000005</v>
      </c>
      <c r="I1563">
        <f t="shared" si="267"/>
        <v>-5.5059546410778371E-3</v>
      </c>
      <c r="J1563">
        <v>1365.099976</v>
      </c>
      <c r="K1563">
        <f t="shared" si="268"/>
        <v>2.3850540637008644E-2</v>
      </c>
      <c r="L1563">
        <v>472</v>
      </c>
      <c r="M1563">
        <f t="shared" si="269"/>
        <v>-6.3516368356764108E-4</v>
      </c>
      <c r="N1563">
        <v>1075.650024</v>
      </c>
      <c r="O1563">
        <f t="shared" si="270"/>
        <v>-2.8736741599072468E-3</v>
      </c>
      <c r="P1563">
        <v>167.8000031</v>
      </c>
      <c r="Q1563">
        <f t="shared" si="271"/>
        <v>8.9477605403009974E-4</v>
      </c>
      <c r="R1563">
        <v>620.65002440000001</v>
      </c>
      <c r="S1563">
        <f t="shared" si="272"/>
        <v>-1.287292274993912E-3</v>
      </c>
      <c r="T1563">
        <v>3821.6499020000001</v>
      </c>
      <c r="U1563">
        <f t="shared" si="273"/>
        <v>4.0195472318846903E-3</v>
      </c>
      <c r="W1563">
        <f t="shared" si="274"/>
        <v>3.9251550247171533E-3</v>
      </c>
      <c r="X1563">
        <v>1.0208993944864632E-2</v>
      </c>
    </row>
    <row r="1564" spans="1:24" x14ac:dyDescent="0.35">
      <c r="A1564" s="1">
        <v>45121</v>
      </c>
      <c r="B1564">
        <v>2529.6652829999998</v>
      </c>
      <c r="C1564">
        <f t="shared" si="264"/>
        <v>-8.3845998475884365E-4</v>
      </c>
      <c r="D1564">
        <v>3514.6499020000001</v>
      </c>
      <c r="E1564">
        <f t="shared" si="265"/>
        <v>5.2117121565688596E-2</v>
      </c>
      <c r="F1564">
        <v>1644.5</v>
      </c>
      <c r="G1564">
        <f t="shared" si="266"/>
        <v>2.0717957770539641E-3</v>
      </c>
      <c r="H1564">
        <v>886.5</v>
      </c>
      <c r="I1564">
        <f t="shared" si="267"/>
        <v>1.6383393254479905E-3</v>
      </c>
      <c r="J1564">
        <v>1425.9499510000001</v>
      </c>
      <c r="K1564">
        <f t="shared" si="268"/>
        <v>4.4575471445177151E-2</v>
      </c>
      <c r="L1564">
        <v>472.89999390000003</v>
      </c>
      <c r="M1564">
        <f t="shared" si="269"/>
        <v>1.9067667372882902E-3</v>
      </c>
      <c r="N1564">
        <v>1072.9499510000001</v>
      </c>
      <c r="O1564">
        <f t="shared" si="270"/>
        <v>-2.5101779758803788E-3</v>
      </c>
      <c r="P1564">
        <v>169.25</v>
      </c>
      <c r="Q1564">
        <f t="shared" si="271"/>
        <v>8.6412209369024495E-3</v>
      </c>
      <c r="R1564">
        <v>624.90002440000001</v>
      </c>
      <c r="S1564">
        <f t="shared" si="272"/>
        <v>6.8476594423863002E-3</v>
      </c>
      <c r="T1564">
        <v>3838.75</v>
      </c>
      <c r="U1564">
        <f t="shared" si="273"/>
        <v>4.4745328427522324E-3</v>
      </c>
      <c r="W1564">
        <f t="shared" si="274"/>
        <v>1.1892427011205776E-2</v>
      </c>
      <c r="X1564">
        <v>1.0290370456312259E-2</v>
      </c>
    </row>
    <row r="1565" spans="1:24" x14ac:dyDescent="0.35">
      <c r="A1565" s="1">
        <v>45124</v>
      </c>
      <c r="B1565">
        <v>2581.3532709999999</v>
      </c>
      <c r="C1565">
        <f t="shared" si="264"/>
        <v>2.0432738017696073E-2</v>
      </c>
      <c r="D1565">
        <v>3491.6999510000001</v>
      </c>
      <c r="E1565">
        <f t="shared" si="265"/>
        <v>-6.5297971746604011E-3</v>
      </c>
      <c r="F1565">
        <v>1678.900024</v>
      </c>
      <c r="G1565">
        <f t="shared" si="266"/>
        <v>2.0918226816661667E-2</v>
      </c>
      <c r="H1565">
        <v>878.09997559999999</v>
      </c>
      <c r="I1565">
        <f t="shared" si="267"/>
        <v>-9.475492836999444E-3</v>
      </c>
      <c r="J1565">
        <v>1422.9499510000001</v>
      </c>
      <c r="K1565">
        <f t="shared" si="268"/>
        <v>-2.1038606564670603E-3</v>
      </c>
      <c r="L1565">
        <v>472.35000609999997</v>
      </c>
      <c r="M1565">
        <f t="shared" si="269"/>
        <v>-1.1630107995229677E-3</v>
      </c>
      <c r="N1565">
        <v>1077.599976</v>
      </c>
      <c r="O1565">
        <f t="shared" si="270"/>
        <v>4.3338694369350339E-3</v>
      </c>
      <c r="P1565">
        <v>166.3999939</v>
      </c>
      <c r="Q1565">
        <f t="shared" si="271"/>
        <v>-1.6839031610044297E-2</v>
      </c>
      <c r="R1565">
        <v>618.5</v>
      </c>
      <c r="S1565">
        <f t="shared" si="272"/>
        <v>-1.0241677308534314E-2</v>
      </c>
      <c r="T1565">
        <v>3713.5500489999999</v>
      </c>
      <c r="U1565">
        <f t="shared" si="273"/>
        <v>-3.2614770693585204E-2</v>
      </c>
      <c r="W1565">
        <f t="shared" si="274"/>
        <v>-3.3282806808520916E-3</v>
      </c>
      <c r="X1565">
        <v>1.0327422355737604E-2</v>
      </c>
    </row>
    <row r="1566" spans="1:24" x14ac:dyDescent="0.35">
      <c r="A1566" s="1">
        <v>45125</v>
      </c>
      <c r="B1566">
        <v>2603.274414</v>
      </c>
      <c r="C1566">
        <f t="shared" si="264"/>
        <v>8.4921127403487784E-3</v>
      </c>
      <c r="D1566">
        <v>3496.8500979999999</v>
      </c>
      <c r="E1566">
        <f t="shared" si="265"/>
        <v>1.4749683742225628E-3</v>
      </c>
      <c r="F1566">
        <v>1677.5</v>
      </c>
      <c r="G1566">
        <f t="shared" si="266"/>
        <v>-8.3389360890262498E-4</v>
      </c>
      <c r="H1566">
        <v>875.45001219999995</v>
      </c>
      <c r="I1566">
        <f t="shared" si="267"/>
        <v>-3.0178379155395563E-3</v>
      </c>
      <c r="J1566">
        <v>1475.1999510000001</v>
      </c>
      <c r="K1566">
        <f t="shared" si="268"/>
        <v>3.671949246231776E-2</v>
      </c>
      <c r="L1566">
        <v>472.5</v>
      </c>
      <c r="M1566">
        <f t="shared" si="269"/>
        <v>3.1754821226415153E-4</v>
      </c>
      <c r="N1566">
        <v>1067.150024</v>
      </c>
      <c r="O1566">
        <f t="shared" si="270"/>
        <v>-9.69743154485736E-3</v>
      </c>
      <c r="P1566">
        <v>166.8999939</v>
      </c>
      <c r="Q1566">
        <f t="shared" si="271"/>
        <v>3.004807802459819E-3</v>
      </c>
      <c r="R1566">
        <v>612.09997559999999</v>
      </c>
      <c r="S1566">
        <f t="shared" si="272"/>
        <v>-1.0347654648342752E-2</v>
      </c>
      <c r="T1566">
        <v>3676.5</v>
      </c>
      <c r="U1566">
        <f t="shared" si="273"/>
        <v>-9.9769892720247277E-3</v>
      </c>
      <c r="W1566">
        <f t="shared" si="274"/>
        <v>1.6135122601946056E-3</v>
      </c>
      <c r="X1566">
        <v>1.0347454992432649E-2</v>
      </c>
    </row>
    <row r="1567" spans="1:24" x14ac:dyDescent="0.35">
      <c r="A1567" s="1">
        <v>45126</v>
      </c>
      <c r="B1567">
        <v>2623.0266109999998</v>
      </c>
      <c r="C1567">
        <f t="shared" si="264"/>
        <v>7.5874432959412985E-3</v>
      </c>
      <c r="D1567">
        <v>3470.0500489999999</v>
      </c>
      <c r="E1567">
        <f t="shared" si="265"/>
        <v>-7.6640542914115928E-3</v>
      </c>
      <c r="F1567">
        <v>1685.099976</v>
      </c>
      <c r="G1567">
        <f t="shared" si="266"/>
        <v>4.5305371087929203E-3</v>
      </c>
      <c r="H1567">
        <v>870.75</v>
      </c>
      <c r="I1567">
        <f t="shared" si="267"/>
        <v>-5.3686814032806174E-3</v>
      </c>
      <c r="J1567">
        <v>1474.9499510000001</v>
      </c>
      <c r="K1567">
        <f t="shared" si="268"/>
        <v>-1.6946855226673829E-4</v>
      </c>
      <c r="L1567">
        <v>478.85000609999997</v>
      </c>
      <c r="M1567">
        <f t="shared" si="269"/>
        <v>1.3439166349206388E-2</v>
      </c>
      <c r="N1567">
        <v>1081.849976</v>
      </c>
      <c r="O1567">
        <f t="shared" si="270"/>
        <v>1.3774962909994581E-2</v>
      </c>
      <c r="P1567">
        <v>166.75</v>
      </c>
      <c r="Q1567">
        <f t="shared" si="271"/>
        <v>-8.9870524554880316E-4</v>
      </c>
      <c r="R1567">
        <v>620.59997559999999</v>
      </c>
      <c r="S1567">
        <f t="shared" si="272"/>
        <v>1.3886620386919679E-2</v>
      </c>
      <c r="T1567">
        <v>3705.8500979999999</v>
      </c>
      <c r="U1567">
        <f t="shared" si="273"/>
        <v>7.9831627906976621E-3</v>
      </c>
      <c r="W1567">
        <f t="shared" si="274"/>
        <v>4.7100983349044785E-3</v>
      </c>
      <c r="X1567">
        <v>1.0348407897237967E-2</v>
      </c>
    </row>
    <row r="1568" spans="1:24" x14ac:dyDescent="0.35">
      <c r="A1568" s="1">
        <v>45127</v>
      </c>
      <c r="B1568">
        <v>2619.8500979999999</v>
      </c>
      <c r="C1568">
        <f t="shared" si="264"/>
        <v>-1.2110105885616562E-3</v>
      </c>
      <c r="D1568">
        <v>3463.3000489999999</v>
      </c>
      <c r="E1568">
        <f t="shared" si="265"/>
        <v>-1.9452169002418529E-3</v>
      </c>
      <c r="F1568">
        <v>1688.75</v>
      </c>
      <c r="G1568">
        <f t="shared" si="266"/>
        <v>2.1660578315740864E-3</v>
      </c>
      <c r="H1568">
        <v>884.84997559999999</v>
      </c>
      <c r="I1568">
        <f t="shared" si="267"/>
        <v>1.6192909101349295E-2</v>
      </c>
      <c r="J1568">
        <v>1449.5</v>
      </c>
      <c r="K1568">
        <f t="shared" si="268"/>
        <v>-1.7254789549126959E-2</v>
      </c>
      <c r="L1568">
        <v>492.14999390000003</v>
      </c>
      <c r="M1568">
        <f t="shared" si="269"/>
        <v>2.7774851478695739E-2</v>
      </c>
      <c r="N1568">
        <v>1097.650024</v>
      </c>
      <c r="O1568">
        <f t="shared" si="270"/>
        <v>1.4604657161817025E-2</v>
      </c>
      <c r="P1568">
        <v>167.1999969</v>
      </c>
      <c r="Q1568">
        <f t="shared" si="271"/>
        <v>2.6986320839579303E-3</v>
      </c>
      <c r="R1568">
        <v>621.65002440000001</v>
      </c>
      <c r="S1568">
        <f t="shared" si="272"/>
        <v>1.6919897539229289E-3</v>
      </c>
      <c r="T1568">
        <v>3678.8000489999999</v>
      </c>
      <c r="U1568">
        <f t="shared" si="273"/>
        <v>-7.2992831023032112E-3</v>
      </c>
      <c r="W1568">
        <f t="shared" si="274"/>
        <v>3.7418797271083328E-3</v>
      </c>
      <c r="X1568">
        <v>1.0356323870768394E-2</v>
      </c>
    </row>
    <row r="1569" spans="1:24" x14ac:dyDescent="0.35">
      <c r="A1569" s="1">
        <v>45128</v>
      </c>
      <c r="B1569">
        <v>2538.75</v>
      </c>
      <c r="C1569">
        <f t="shared" si="264"/>
        <v>-3.0956007010443765E-2</v>
      </c>
      <c r="D1569">
        <v>3368.3000489999999</v>
      </c>
      <c r="E1569">
        <f t="shared" si="265"/>
        <v>-2.743048498712386E-2</v>
      </c>
      <c r="F1569">
        <v>1675.75</v>
      </c>
      <c r="G1569">
        <f t="shared" si="266"/>
        <v>-7.6980014803849084E-3</v>
      </c>
      <c r="H1569">
        <v>886</v>
      </c>
      <c r="I1569">
        <f t="shared" si="267"/>
        <v>1.2996829199438675E-3</v>
      </c>
      <c r="J1569">
        <v>1331.599976</v>
      </c>
      <c r="K1569">
        <f t="shared" si="268"/>
        <v>-8.1338409106588516E-2</v>
      </c>
      <c r="L1569">
        <v>490.4500122</v>
      </c>
      <c r="M1569">
        <f t="shared" si="269"/>
        <v>-3.4541942925340186E-3</v>
      </c>
      <c r="N1569">
        <v>1097.150024</v>
      </c>
      <c r="O1569">
        <f t="shared" si="270"/>
        <v>-4.5551859797532401E-4</v>
      </c>
      <c r="P1569">
        <v>170.5500031</v>
      </c>
      <c r="Q1569">
        <f t="shared" si="271"/>
        <v>2.0035922620283309E-2</v>
      </c>
      <c r="R1569">
        <v>625.75</v>
      </c>
      <c r="S1569">
        <f t="shared" si="272"/>
        <v>6.5953115725478906E-3</v>
      </c>
      <c r="T1569">
        <v>3675.6999510000001</v>
      </c>
      <c r="U1569">
        <f t="shared" si="273"/>
        <v>-8.42692714664528E-4</v>
      </c>
      <c r="W1569">
        <f t="shared" si="274"/>
        <v>-1.2424439107693986E-2</v>
      </c>
      <c r="X1569">
        <v>1.0371889377088517E-2</v>
      </c>
    </row>
    <row r="1570" spans="1:24" x14ac:dyDescent="0.35">
      <c r="A1570" s="1">
        <v>45131</v>
      </c>
      <c r="B1570">
        <v>2487.3999020000001</v>
      </c>
      <c r="C1570">
        <f t="shared" si="264"/>
        <v>-2.0226528015755751E-2</v>
      </c>
      <c r="D1570">
        <v>3394.75</v>
      </c>
      <c r="E1570">
        <f t="shared" si="265"/>
        <v>7.8526112921124547E-3</v>
      </c>
      <c r="F1570">
        <v>1678.400024</v>
      </c>
      <c r="G1570">
        <f t="shared" si="266"/>
        <v>1.5813957929284861E-3</v>
      </c>
      <c r="H1570">
        <v>888.15002440000001</v>
      </c>
      <c r="I1570">
        <f t="shared" si="267"/>
        <v>2.4266641083521279E-3</v>
      </c>
      <c r="J1570">
        <v>1336.599976</v>
      </c>
      <c r="K1570">
        <f t="shared" si="268"/>
        <v>3.7548814134253927E-3</v>
      </c>
      <c r="L1570">
        <v>471.35000609999997</v>
      </c>
      <c r="M1570">
        <f t="shared" si="269"/>
        <v>-3.8943838566388389E-2</v>
      </c>
      <c r="N1570">
        <v>1100.400024</v>
      </c>
      <c r="O1570">
        <f t="shared" si="270"/>
        <v>2.9622202332468817E-3</v>
      </c>
      <c r="P1570">
        <v>171</v>
      </c>
      <c r="Q1570">
        <f t="shared" si="271"/>
        <v>2.638504202994163E-3</v>
      </c>
      <c r="R1570">
        <v>629.25</v>
      </c>
      <c r="S1570">
        <f t="shared" si="272"/>
        <v>5.5932880543347885E-3</v>
      </c>
      <c r="T1570">
        <v>3668.1999510000001</v>
      </c>
      <c r="U1570">
        <f t="shared" si="273"/>
        <v>-2.0404277008408966E-3</v>
      </c>
      <c r="W1570">
        <f t="shared" si="274"/>
        <v>-3.4401229185590742E-3</v>
      </c>
      <c r="X1570">
        <v>1.0475193335808541E-2</v>
      </c>
    </row>
    <row r="1571" spans="1:24" x14ac:dyDescent="0.35">
      <c r="A1571" s="1">
        <v>45132</v>
      </c>
      <c r="B1571">
        <v>2485.8000489999999</v>
      </c>
      <c r="C1571">
        <f t="shared" si="264"/>
        <v>-6.4318286686182446E-4</v>
      </c>
      <c r="D1571">
        <v>3399.1499020000001</v>
      </c>
      <c r="E1571">
        <f t="shared" si="265"/>
        <v>1.296090139185635E-3</v>
      </c>
      <c r="F1571">
        <v>1696.599976</v>
      </c>
      <c r="G1571">
        <f t="shared" si="266"/>
        <v>1.0843631875448567E-2</v>
      </c>
      <c r="H1571">
        <v>883.65002440000001</v>
      </c>
      <c r="I1571">
        <f t="shared" si="267"/>
        <v>-5.0667115649071226E-3</v>
      </c>
      <c r="J1571">
        <v>1334.599976</v>
      </c>
      <c r="K1571">
        <f t="shared" si="268"/>
        <v>-1.4963340086129318E-3</v>
      </c>
      <c r="L1571">
        <v>462.2999878</v>
      </c>
      <c r="M1571">
        <f t="shared" si="269"/>
        <v>-1.9200208301429322E-2</v>
      </c>
      <c r="N1571">
        <v>1095.0500489999999</v>
      </c>
      <c r="O1571">
        <f t="shared" si="270"/>
        <v>-4.8618455864374299E-3</v>
      </c>
      <c r="P1571">
        <v>173</v>
      </c>
      <c r="Q1571">
        <f t="shared" si="271"/>
        <v>1.1695906432748648E-2</v>
      </c>
      <c r="R1571">
        <v>639.45001219999995</v>
      </c>
      <c r="S1571">
        <f t="shared" si="272"/>
        <v>1.6209792928088884E-2</v>
      </c>
      <c r="T1571">
        <v>3677.0500489999999</v>
      </c>
      <c r="U1571">
        <f t="shared" si="273"/>
        <v>2.4126541950328928E-3</v>
      </c>
      <c r="W1571">
        <f t="shared" si="274"/>
        <v>1.1189793242255997E-3</v>
      </c>
      <c r="X1571">
        <v>1.0543221776957767E-2</v>
      </c>
    </row>
    <row r="1572" spans="1:24" x14ac:dyDescent="0.35">
      <c r="A1572" s="1">
        <v>45133</v>
      </c>
      <c r="B1572">
        <v>2526.1999510000001</v>
      </c>
      <c r="C1572">
        <f t="shared" si="264"/>
        <v>1.6252273394335326E-2</v>
      </c>
      <c r="D1572">
        <v>3388.3000489999999</v>
      </c>
      <c r="E1572">
        <f t="shared" si="265"/>
        <v>-3.1919313101244073E-3</v>
      </c>
      <c r="F1572">
        <v>1690.6999510000001</v>
      </c>
      <c r="G1572">
        <f t="shared" si="266"/>
        <v>-3.4775581064843131E-3</v>
      </c>
      <c r="H1572">
        <v>889.40002440000001</v>
      </c>
      <c r="I1572">
        <f t="shared" si="267"/>
        <v>6.5071010481827507E-3</v>
      </c>
      <c r="J1572">
        <v>1348.849976</v>
      </c>
      <c r="K1572">
        <f t="shared" si="268"/>
        <v>1.0677356703324259E-2</v>
      </c>
      <c r="L1572">
        <v>472.25</v>
      </c>
      <c r="M1572">
        <f t="shared" si="269"/>
        <v>2.1522847636986198E-2</v>
      </c>
      <c r="N1572">
        <v>1112</v>
      </c>
      <c r="O1572">
        <f t="shared" si="270"/>
        <v>1.5478699823335607E-2</v>
      </c>
      <c r="P1572">
        <v>172.9499969</v>
      </c>
      <c r="Q1572">
        <f t="shared" si="271"/>
        <v>-2.8903526011558878E-4</v>
      </c>
      <c r="R1572">
        <v>641.09997559999999</v>
      </c>
      <c r="S1572">
        <f t="shared" si="272"/>
        <v>2.5802851959035866E-3</v>
      </c>
      <c r="T1572">
        <v>3712.6499020000001</v>
      </c>
      <c r="U1572">
        <f t="shared" si="273"/>
        <v>9.6816340614351848E-3</v>
      </c>
      <c r="W1572">
        <f t="shared" si="274"/>
        <v>7.5741673186778607E-3</v>
      </c>
      <c r="X1572">
        <v>1.0563585505048613E-2</v>
      </c>
    </row>
    <row r="1573" spans="1:24" x14ac:dyDescent="0.35">
      <c r="A1573" s="1">
        <v>45134</v>
      </c>
      <c r="B1573">
        <v>2502.6999510000001</v>
      </c>
      <c r="C1573">
        <f t="shared" si="264"/>
        <v>-9.3025098787993254E-3</v>
      </c>
      <c r="D1573">
        <v>3396.8999020000001</v>
      </c>
      <c r="E1573">
        <f t="shared" si="265"/>
        <v>2.5381025516137967E-3</v>
      </c>
      <c r="F1573">
        <v>1673.150024</v>
      </c>
      <c r="G1573">
        <f t="shared" si="266"/>
        <v>-1.0380272968967486E-2</v>
      </c>
      <c r="H1573">
        <v>895.15002440000001</v>
      </c>
      <c r="I1573">
        <f t="shared" si="267"/>
        <v>6.4650324288881844E-3</v>
      </c>
      <c r="J1573">
        <v>1353.150024</v>
      </c>
      <c r="K1573">
        <f t="shared" si="268"/>
        <v>3.1879364469811211E-3</v>
      </c>
      <c r="L1573">
        <v>465.0499878</v>
      </c>
      <c r="M1573">
        <f t="shared" si="269"/>
        <v>-1.5246187824245694E-2</v>
      </c>
      <c r="N1573">
        <v>1134.9499510000001</v>
      </c>
      <c r="O1573">
        <f t="shared" si="270"/>
        <v>2.063844514388502E-2</v>
      </c>
      <c r="P1573">
        <v>171</v>
      </c>
      <c r="Q1573">
        <f t="shared" si="271"/>
        <v>-1.1274917230137294E-2</v>
      </c>
      <c r="R1573">
        <v>643.70001219999995</v>
      </c>
      <c r="S1573">
        <f t="shared" si="272"/>
        <v>4.0555868023026687E-3</v>
      </c>
      <c r="T1573">
        <v>3693.3500979999999</v>
      </c>
      <c r="U1573">
        <f t="shared" si="273"/>
        <v>-5.198390505283923E-3</v>
      </c>
      <c r="W1573">
        <f t="shared" si="274"/>
        <v>-1.4517175033762928E-3</v>
      </c>
      <c r="X1573">
        <v>1.0567826390919612E-2</v>
      </c>
    </row>
    <row r="1574" spans="1:24" x14ac:dyDescent="0.35">
      <c r="A1574" s="1">
        <v>45135</v>
      </c>
      <c r="B1574">
        <v>2527.8500979999999</v>
      </c>
      <c r="C1574">
        <f t="shared" si="264"/>
        <v>1.0049205854641308E-2</v>
      </c>
      <c r="D1574">
        <v>3355.3999020000001</v>
      </c>
      <c r="E1574">
        <f t="shared" si="265"/>
        <v>-1.2217021754325486E-2</v>
      </c>
      <c r="F1574">
        <v>1643.5</v>
      </c>
      <c r="G1574">
        <f t="shared" si="266"/>
        <v>-1.7721079146934882E-2</v>
      </c>
      <c r="H1574">
        <v>895.09997559999999</v>
      </c>
      <c r="I1574">
        <f t="shared" si="267"/>
        <v>-5.5911074831938024E-5</v>
      </c>
      <c r="J1574">
        <v>1340.5</v>
      </c>
      <c r="K1574">
        <f t="shared" si="268"/>
        <v>-9.3485746411220427E-3</v>
      </c>
      <c r="L1574">
        <v>468.4500122</v>
      </c>
      <c r="M1574">
        <f t="shared" si="269"/>
        <v>7.3110944827337043E-3</v>
      </c>
      <c r="N1574">
        <v>1138.5500489999999</v>
      </c>
      <c r="O1574">
        <f t="shared" si="270"/>
        <v>3.1720323850650267E-3</v>
      </c>
      <c r="P1574">
        <v>171.8000031</v>
      </c>
      <c r="Q1574">
        <f t="shared" si="271"/>
        <v>4.6783807017543033E-3</v>
      </c>
      <c r="R1574">
        <v>635.29998780000005</v>
      </c>
      <c r="S1574">
        <f t="shared" si="272"/>
        <v>-1.3049594905693351E-2</v>
      </c>
      <c r="T1574">
        <v>3713.8999020000001</v>
      </c>
      <c r="U1574">
        <f t="shared" si="273"/>
        <v>5.5640010978457166E-3</v>
      </c>
      <c r="W1574">
        <f t="shared" si="274"/>
        <v>-2.1617467000867646E-3</v>
      </c>
      <c r="X1574">
        <v>1.060035643440488E-2</v>
      </c>
    </row>
    <row r="1575" spans="1:24" x14ac:dyDescent="0.35">
      <c r="A1575" s="1">
        <v>45138</v>
      </c>
      <c r="B1575">
        <v>2549.25</v>
      </c>
      <c r="C1575">
        <f t="shared" si="264"/>
        <v>8.46565309269387E-3</v>
      </c>
      <c r="D1575">
        <v>3421.4499510000001</v>
      </c>
      <c r="E1575">
        <f t="shared" si="265"/>
        <v>1.9684702547863475E-2</v>
      </c>
      <c r="F1575">
        <v>1651.1999510000001</v>
      </c>
      <c r="G1575">
        <f t="shared" si="266"/>
        <v>4.6850933982354181E-3</v>
      </c>
      <c r="H1575">
        <v>889.90002440000001</v>
      </c>
      <c r="I1575">
        <f t="shared" si="267"/>
        <v>-5.8093524095053084E-3</v>
      </c>
      <c r="J1575">
        <v>1355.6999510000001</v>
      </c>
      <c r="K1575">
        <f t="shared" si="268"/>
        <v>1.1339016038791616E-2</v>
      </c>
      <c r="L1575">
        <v>465.7000122</v>
      </c>
      <c r="M1575">
        <f t="shared" si="269"/>
        <v>-5.8704235849734721E-3</v>
      </c>
      <c r="N1575">
        <v>1143.400024</v>
      </c>
      <c r="O1575">
        <f t="shared" si="270"/>
        <v>4.2597819957583827E-3</v>
      </c>
      <c r="P1575">
        <v>177.0500031</v>
      </c>
      <c r="Q1575">
        <f t="shared" si="271"/>
        <v>3.0558788738461962E-2</v>
      </c>
      <c r="R1575">
        <v>644.29998780000005</v>
      </c>
      <c r="S1575">
        <f t="shared" si="272"/>
        <v>1.4166535767089039E-2</v>
      </c>
      <c r="T1575">
        <v>3752.8000489999999</v>
      </c>
      <c r="U1575">
        <f t="shared" si="273"/>
        <v>1.0474204482207927E-2</v>
      </c>
      <c r="W1575">
        <f t="shared" si="274"/>
        <v>9.1954000066622917E-3</v>
      </c>
      <c r="X1575">
        <v>1.0618569995526937E-2</v>
      </c>
    </row>
    <row r="1576" spans="1:24" x14ac:dyDescent="0.35">
      <c r="A1576" s="1">
        <v>45139</v>
      </c>
      <c r="B1576">
        <v>2513.1999510000001</v>
      </c>
      <c r="C1576">
        <f t="shared" si="264"/>
        <v>-1.4141433362753753E-2</v>
      </c>
      <c r="D1576">
        <v>3452.0500489999999</v>
      </c>
      <c r="E1576">
        <f t="shared" si="265"/>
        <v>8.9436053247122782E-3</v>
      </c>
      <c r="F1576">
        <v>1662.25</v>
      </c>
      <c r="G1576">
        <f t="shared" si="266"/>
        <v>6.6921325871573956E-3</v>
      </c>
      <c r="H1576">
        <v>891.65002440000001</v>
      </c>
      <c r="I1576">
        <f t="shared" si="267"/>
        <v>1.9665130374391104E-3</v>
      </c>
      <c r="J1576">
        <v>1365.1999510000001</v>
      </c>
      <c r="K1576">
        <f t="shared" si="268"/>
        <v>7.0074502790919979E-3</v>
      </c>
      <c r="L1576">
        <v>464.7999878</v>
      </c>
      <c r="M1576">
        <f t="shared" si="269"/>
        <v>-1.9326269624693193E-3</v>
      </c>
      <c r="N1576">
        <v>1143.4499510000001</v>
      </c>
      <c r="O1576">
        <f t="shared" si="270"/>
        <v>4.366538302602585E-5</v>
      </c>
      <c r="P1576">
        <v>176.6999969</v>
      </c>
      <c r="Q1576">
        <f t="shared" si="271"/>
        <v>-1.9768776835451529E-3</v>
      </c>
      <c r="R1576">
        <v>643.65002440000001</v>
      </c>
      <c r="S1576">
        <f t="shared" si="272"/>
        <v>-1.0087900237579772E-3</v>
      </c>
      <c r="T1576">
        <v>3740.3000489999999</v>
      </c>
      <c r="U1576">
        <f t="shared" si="273"/>
        <v>-3.3308462579376696E-3</v>
      </c>
      <c r="W1576">
        <f t="shared" si="274"/>
        <v>2.2627923209629365E-4</v>
      </c>
      <c r="X1576">
        <v>1.0672882008983621E-2</v>
      </c>
    </row>
    <row r="1577" spans="1:24" x14ac:dyDescent="0.35">
      <c r="A1577" s="1">
        <v>45140</v>
      </c>
      <c r="B1577">
        <v>2486.3500979999999</v>
      </c>
      <c r="C1577">
        <f t="shared" si="264"/>
        <v>-1.0683532358544134E-2</v>
      </c>
      <c r="D1577">
        <v>3440.6499020000001</v>
      </c>
      <c r="E1577">
        <f t="shared" si="265"/>
        <v>-3.3024280755438173E-3</v>
      </c>
      <c r="F1577">
        <v>1640.5</v>
      </c>
      <c r="G1577">
        <f t="shared" si="266"/>
        <v>-1.3084674387125905E-2</v>
      </c>
      <c r="H1577">
        <v>878.09997559999999</v>
      </c>
      <c r="I1577">
        <f t="shared" si="267"/>
        <v>-1.5196600043966724E-2</v>
      </c>
      <c r="J1577">
        <v>1356.849976</v>
      </c>
      <c r="K1577">
        <f t="shared" si="268"/>
        <v>-6.1163018603126451E-3</v>
      </c>
      <c r="L1577">
        <v>460.10000609999997</v>
      </c>
      <c r="M1577">
        <f t="shared" si="269"/>
        <v>-1.0111836969372678E-2</v>
      </c>
      <c r="N1577">
        <v>1135.25</v>
      </c>
      <c r="O1577">
        <f t="shared" si="270"/>
        <v>-7.1712373530898876E-3</v>
      </c>
      <c r="P1577">
        <v>175.9499969</v>
      </c>
      <c r="Q1577">
        <f t="shared" si="271"/>
        <v>-4.2444822476395139E-3</v>
      </c>
      <c r="R1577">
        <v>622.65002440000001</v>
      </c>
      <c r="S1577">
        <f t="shared" si="272"/>
        <v>-3.2626426169370282E-2</v>
      </c>
      <c r="T1577">
        <v>3713.3999020000001</v>
      </c>
      <c r="U1577">
        <f t="shared" si="273"/>
        <v>-7.1919756831251291E-3</v>
      </c>
      <c r="W1577">
        <f t="shared" si="274"/>
        <v>-1.0972949514809073E-2</v>
      </c>
      <c r="X1577">
        <v>1.0719059116483477E-2</v>
      </c>
    </row>
    <row r="1578" spans="1:24" x14ac:dyDescent="0.35">
      <c r="A1578" s="1">
        <v>45141</v>
      </c>
      <c r="B1578">
        <v>2475.8999020000001</v>
      </c>
      <c r="C1578">
        <f t="shared" si="264"/>
        <v>-4.2030267613583083E-3</v>
      </c>
      <c r="D1578">
        <v>3399.9499510000001</v>
      </c>
      <c r="E1578">
        <f t="shared" si="265"/>
        <v>-1.1829146283189651E-2</v>
      </c>
      <c r="F1578">
        <v>1628.650024</v>
      </c>
      <c r="G1578">
        <f t="shared" si="266"/>
        <v>-7.223392868027978E-3</v>
      </c>
      <c r="H1578">
        <v>871.70001219999995</v>
      </c>
      <c r="I1578">
        <f t="shared" si="267"/>
        <v>-7.288422250128157E-3</v>
      </c>
      <c r="J1578">
        <v>1364.3000489999999</v>
      </c>
      <c r="K1578">
        <f t="shared" si="268"/>
        <v>5.4907124087240078E-3</v>
      </c>
      <c r="L1578">
        <v>456.0499878</v>
      </c>
      <c r="M1578">
        <f t="shared" si="269"/>
        <v>-8.8024739106822292E-3</v>
      </c>
      <c r="N1578">
        <v>1141</v>
      </c>
      <c r="O1578">
        <f t="shared" si="270"/>
        <v>5.0649636643911311E-3</v>
      </c>
      <c r="P1578">
        <v>172.1000061</v>
      </c>
      <c r="Q1578">
        <f t="shared" si="271"/>
        <v>-2.1881164352552496E-2</v>
      </c>
      <c r="R1578">
        <v>618.95001219999995</v>
      </c>
      <c r="S1578">
        <f t="shared" si="272"/>
        <v>-5.9423625712782258E-3</v>
      </c>
      <c r="T1578">
        <v>3699.8999020000001</v>
      </c>
      <c r="U1578">
        <f t="shared" si="273"/>
        <v>-3.6354824032631683E-3</v>
      </c>
      <c r="W1578">
        <f t="shared" si="274"/>
        <v>-6.0249795327365083E-3</v>
      </c>
      <c r="X1578">
        <v>1.0875567714095192E-2</v>
      </c>
    </row>
    <row r="1579" spans="1:24" x14ac:dyDescent="0.35">
      <c r="A1579" s="1">
        <v>45142</v>
      </c>
      <c r="B1579">
        <v>2509.5500489999999</v>
      </c>
      <c r="C1579">
        <f t="shared" si="264"/>
        <v>1.3591077318116707E-2</v>
      </c>
      <c r="D1579">
        <v>3443.5500489999999</v>
      </c>
      <c r="E1579">
        <f t="shared" si="265"/>
        <v>1.2823747004621744E-2</v>
      </c>
      <c r="F1579">
        <v>1652.1999510000001</v>
      </c>
      <c r="G1579">
        <f t="shared" si="266"/>
        <v>1.4459783656995295E-2</v>
      </c>
      <c r="H1579">
        <v>889.65002440000001</v>
      </c>
      <c r="I1579">
        <f t="shared" si="267"/>
        <v>2.0591960478121063E-2</v>
      </c>
      <c r="J1579">
        <v>1378.349976</v>
      </c>
      <c r="K1579">
        <f t="shared" si="268"/>
        <v>1.0298267606380529E-2</v>
      </c>
      <c r="L1579">
        <v>454.9500122</v>
      </c>
      <c r="M1579">
        <f t="shared" si="269"/>
        <v>-2.4119627879091166E-3</v>
      </c>
      <c r="N1579">
        <v>1138.9499510000001</v>
      </c>
      <c r="O1579">
        <f t="shared" si="270"/>
        <v>-1.7967125328658407E-3</v>
      </c>
      <c r="P1579">
        <v>173.3500061</v>
      </c>
      <c r="Q1579">
        <f t="shared" si="271"/>
        <v>7.2632188012455856E-3</v>
      </c>
      <c r="R1579">
        <v>615</v>
      </c>
      <c r="S1579">
        <f t="shared" si="272"/>
        <v>-6.3817951726989897E-3</v>
      </c>
      <c r="T1579">
        <v>3652.1000979999999</v>
      </c>
      <c r="U1579">
        <f t="shared" si="273"/>
        <v>-1.2919215456115962E-2</v>
      </c>
      <c r="W1579">
        <f t="shared" si="274"/>
        <v>5.551836891589103E-3</v>
      </c>
      <c r="X1579">
        <v>1.0877275471210202E-2</v>
      </c>
    </row>
    <row r="1580" spans="1:24" x14ac:dyDescent="0.35">
      <c r="A1580" s="1">
        <v>45145</v>
      </c>
      <c r="B1580">
        <v>2523.8500979999999</v>
      </c>
      <c r="C1580">
        <f t="shared" si="264"/>
        <v>5.6982521650437157E-3</v>
      </c>
      <c r="D1580">
        <v>3484.0500489999999</v>
      </c>
      <c r="E1580">
        <f t="shared" si="265"/>
        <v>1.1761118445704266E-2</v>
      </c>
      <c r="F1580">
        <v>1651.25</v>
      </c>
      <c r="G1580">
        <f t="shared" si="266"/>
        <v>-5.7496128082146214E-4</v>
      </c>
      <c r="H1580">
        <v>891.40002440000001</v>
      </c>
      <c r="I1580">
        <f t="shared" si="267"/>
        <v>1.9670656460446523E-3</v>
      </c>
      <c r="J1580">
        <v>1393</v>
      </c>
      <c r="K1580">
        <f t="shared" si="268"/>
        <v>1.0628667794891022E-2</v>
      </c>
      <c r="L1580">
        <v>454.89999390000003</v>
      </c>
      <c r="M1580">
        <f t="shared" si="269"/>
        <v>-1.0994240830575208E-4</v>
      </c>
      <c r="N1580">
        <v>1160.8000489999999</v>
      </c>
      <c r="O1580">
        <f t="shared" si="270"/>
        <v>1.918442331975645E-2</v>
      </c>
      <c r="P1580">
        <v>172.9499969</v>
      </c>
      <c r="Q1580">
        <f t="shared" si="271"/>
        <v>-2.3075234261558109E-3</v>
      </c>
      <c r="R1580">
        <v>609.5</v>
      </c>
      <c r="S1580">
        <f t="shared" si="272"/>
        <v>-8.9430894308942799E-3</v>
      </c>
      <c r="T1580">
        <v>3640.3500979999999</v>
      </c>
      <c r="U1580">
        <f t="shared" si="273"/>
        <v>-3.217326930999187E-3</v>
      </c>
      <c r="W1580">
        <f t="shared" si="274"/>
        <v>3.4086683894263619E-3</v>
      </c>
      <c r="X1580">
        <v>1.0886561019290086E-2</v>
      </c>
    </row>
    <row r="1581" spans="1:24" x14ac:dyDescent="0.35">
      <c r="A1581" s="1">
        <v>45146</v>
      </c>
      <c r="B1581">
        <v>2508.6499020000001</v>
      </c>
      <c r="C1581">
        <f t="shared" si="264"/>
        <v>-6.0226223467253481E-3</v>
      </c>
      <c r="D1581">
        <v>3470.6000979999999</v>
      </c>
      <c r="E1581">
        <f t="shared" si="265"/>
        <v>-3.860435645538618E-3</v>
      </c>
      <c r="F1581">
        <v>1649.900024</v>
      </c>
      <c r="G1581">
        <f t="shared" si="266"/>
        <v>-8.1754791824373285E-4</v>
      </c>
      <c r="H1581">
        <v>885.40002440000001</v>
      </c>
      <c r="I1581">
        <f t="shared" si="267"/>
        <v>-6.7309847832218717E-3</v>
      </c>
      <c r="J1581">
        <v>1390.1999510000001</v>
      </c>
      <c r="K1581">
        <f t="shared" si="268"/>
        <v>-2.010085427135655E-3</v>
      </c>
      <c r="L1581">
        <v>452.35000609999997</v>
      </c>
      <c r="M1581">
        <f t="shared" si="269"/>
        <v>-5.6056008665513746E-3</v>
      </c>
      <c r="N1581">
        <v>1148.650024</v>
      </c>
      <c r="O1581">
        <f t="shared" si="270"/>
        <v>-1.046694046099228E-2</v>
      </c>
      <c r="P1581">
        <v>173.3500061</v>
      </c>
      <c r="Q1581">
        <f t="shared" si="271"/>
        <v>2.312860405723427E-3</v>
      </c>
      <c r="R1581">
        <v>607.29998780000005</v>
      </c>
      <c r="S1581">
        <f t="shared" si="272"/>
        <v>-3.6095360131254139E-3</v>
      </c>
      <c r="T1581">
        <v>3648.4499510000001</v>
      </c>
      <c r="U1581">
        <f t="shared" si="273"/>
        <v>2.2250203364919674E-3</v>
      </c>
      <c r="W1581">
        <f t="shared" si="274"/>
        <v>-3.4585872719318901E-3</v>
      </c>
      <c r="X1581">
        <v>1.0898986820776059E-2</v>
      </c>
    </row>
    <row r="1582" spans="1:24" x14ac:dyDescent="0.35">
      <c r="A1582" s="1">
        <v>45147</v>
      </c>
      <c r="B1582">
        <v>2525.1999510000001</v>
      </c>
      <c r="C1582">
        <f t="shared" si="264"/>
        <v>6.5971935688617922E-3</v>
      </c>
      <c r="D1582">
        <v>3462.5</v>
      </c>
      <c r="E1582">
        <f t="shared" si="265"/>
        <v>-2.3339185648809657E-3</v>
      </c>
      <c r="F1582">
        <v>1650.5</v>
      </c>
      <c r="G1582">
        <f t="shared" si="266"/>
        <v>3.6364385191367532E-4</v>
      </c>
      <c r="H1582">
        <v>883.70001219999995</v>
      </c>
      <c r="I1582">
        <f t="shared" si="267"/>
        <v>-1.9200498680267408E-3</v>
      </c>
      <c r="J1582">
        <v>1394.400024</v>
      </c>
      <c r="K1582">
        <f t="shared" si="268"/>
        <v>3.021200653171352E-3</v>
      </c>
      <c r="L1582">
        <v>458.64999390000003</v>
      </c>
      <c r="M1582">
        <f t="shared" si="269"/>
        <v>1.3927241549781977E-2</v>
      </c>
      <c r="N1582">
        <v>1152.8000489999999</v>
      </c>
      <c r="O1582">
        <f t="shared" si="270"/>
        <v>3.6129586151472104E-3</v>
      </c>
      <c r="P1582">
        <v>176.8999939</v>
      </c>
      <c r="Q1582">
        <f t="shared" si="271"/>
        <v>2.0478729016900843E-2</v>
      </c>
      <c r="R1582">
        <v>622.54998780000005</v>
      </c>
      <c r="S1582">
        <f t="shared" si="272"/>
        <v>2.5111148207403344E-2</v>
      </c>
      <c r="T1582">
        <v>3628.75</v>
      </c>
      <c r="U1582">
        <f t="shared" si="273"/>
        <v>-5.3995398770922964E-3</v>
      </c>
      <c r="W1582">
        <f t="shared" si="274"/>
        <v>6.3458607153180201E-3</v>
      </c>
      <c r="X1582">
        <v>1.0907104955485136E-2</v>
      </c>
    </row>
    <row r="1583" spans="1:24" x14ac:dyDescent="0.35">
      <c r="A1583" s="1">
        <v>45148</v>
      </c>
      <c r="B1583">
        <v>2536.4499510000001</v>
      </c>
      <c r="C1583">
        <f t="shared" si="264"/>
        <v>4.4550927523758777E-3</v>
      </c>
      <c r="D1583">
        <v>3442.1000979999999</v>
      </c>
      <c r="E1583">
        <f t="shared" si="265"/>
        <v>-5.8916684476534309E-3</v>
      </c>
      <c r="F1583">
        <v>1635.849976</v>
      </c>
      <c r="G1583">
        <f t="shared" si="266"/>
        <v>-8.8761126931232726E-3</v>
      </c>
      <c r="H1583">
        <v>874.79998780000005</v>
      </c>
      <c r="I1583">
        <f t="shared" si="267"/>
        <v>-1.0071318634298776E-2</v>
      </c>
      <c r="J1583">
        <v>1389.099976</v>
      </c>
      <c r="K1583">
        <f t="shared" si="268"/>
        <v>-3.8009523155315694E-3</v>
      </c>
      <c r="L1583">
        <v>451.75</v>
      </c>
      <c r="M1583">
        <f t="shared" si="269"/>
        <v>-1.5044138213821556E-2</v>
      </c>
      <c r="N1583">
        <v>1150.3000489999999</v>
      </c>
      <c r="O1583">
        <f t="shared" si="270"/>
        <v>-2.1686328016455869E-3</v>
      </c>
      <c r="P1583">
        <v>178.6499939</v>
      </c>
      <c r="Q1583">
        <f t="shared" si="271"/>
        <v>9.8925950273873742E-3</v>
      </c>
      <c r="R1583">
        <v>618.25</v>
      </c>
      <c r="S1583">
        <f t="shared" si="272"/>
        <v>-6.9070562754255382E-3</v>
      </c>
      <c r="T1583">
        <v>3598.1999510000001</v>
      </c>
      <c r="U1583">
        <f t="shared" si="273"/>
        <v>-8.4188905270409231E-3</v>
      </c>
      <c r="W1583">
        <f t="shared" si="274"/>
        <v>-4.6831082128777398E-3</v>
      </c>
      <c r="X1583">
        <v>1.091389871765921E-2</v>
      </c>
    </row>
    <row r="1584" spans="1:24" x14ac:dyDescent="0.35">
      <c r="A1584" s="1">
        <v>45149</v>
      </c>
      <c r="B1584">
        <v>2547.1499020000001</v>
      </c>
      <c r="C1584">
        <f t="shared" si="264"/>
        <v>4.2184751154981104E-3</v>
      </c>
      <c r="D1584">
        <v>3448.8000489999999</v>
      </c>
      <c r="E1584">
        <f t="shared" si="265"/>
        <v>1.946471865792887E-3</v>
      </c>
      <c r="F1584">
        <v>1618.8000489999999</v>
      </c>
      <c r="G1584">
        <f t="shared" si="266"/>
        <v>-1.0422671546990392E-2</v>
      </c>
      <c r="H1584">
        <v>870.54998780000005</v>
      </c>
      <c r="I1584">
        <f t="shared" si="267"/>
        <v>-4.8582533827968843E-3</v>
      </c>
      <c r="J1584">
        <v>1371.849976</v>
      </c>
      <c r="K1584">
        <f t="shared" si="268"/>
        <v>-1.2418112661460423E-2</v>
      </c>
      <c r="L1584">
        <v>448.75</v>
      </c>
      <c r="M1584">
        <f t="shared" si="269"/>
        <v>-6.6408411732152839E-3</v>
      </c>
      <c r="N1584">
        <v>1132.349976</v>
      </c>
      <c r="O1584">
        <f t="shared" si="270"/>
        <v>-1.5604687677449602E-2</v>
      </c>
      <c r="P1584">
        <v>177.1999969</v>
      </c>
      <c r="Q1584">
        <f t="shared" si="271"/>
        <v>-8.1164122558640139E-3</v>
      </c>
      <c r="R1584">
        <v>611.79998780000005</v>
      </c>
      <c r="S1584">
        <f t="shared" si="272"/>
        <v>-1.043269260008084E-2</v>
      </c>
      <c r="T1584">
        <v>3550.0500489999999</v>
      </c>
      <c r="U1584">
        <f t="shared" si="273"/>
        <v>-1.3381663791813048E-2</v>
      </c>
      <c r="W1584">
        <f t="shared" si="274"/>
        <v>-7.5710388108379493E-3</v>
      </c>
      <c r="X1584">
        <v>1.0991468216026324E-2</v>
      </c>
    </row>
    <row r="1585" spans="1:24" x14ac:dyDescent="0.35">
      <c r="A1585" s="1">
        <v>45152</v>
      </c>
      <c r="B1585">
        <v>2577.25</v>
      </c>
      <c r="C1585">
        <f t="shared" si="264"/>
        <v>1.1817167877071322E-2</v>
      </c>
      <c r="D1585">
        <v>3449.8500979999999</v>
      </c>
      <c r="E1585">
        <f t="shared" si="265"/>
        <v>3.0446792654870158E-4</v>
      </c>
      <c r="F1585">
        <v>1610.900024</v>
      </c>
      <c r="G1585">
        <f t="shared" si="266"/>
        <v>-4.8801734376522354E-3</v>
      </c>
      <c r="H1585">
        <v>867.04998780000005</v>
      </c>
      <c r="I1585">
        <f t="shared" si="267"/>
        <v>-4.0204469002922405E-3</v>
      </c>
      <c r="J1585">
        <v>1393.5500489999999</v>
      </c>
      <c r="K1585">
        <f t="shared" si="268"/>
        <v>1.5818109399449387E-2</v>
      </c>
      <c r="L1585">
        <v>449.2000122</v>
      </c>
      <c r="M1585">
        <f t="shared" si="269"/>
        <v>1.0028127019499067E-3</v>
      </c>
      <c r="N1585">
        <v>1134.25</v>
      </c>
      <c r="O1585">
        <f t="shared" si="270"/>
        <v>1.6779476665966797E-3</v>
      </c>
      <c r="P1585">
        <v>178</v>
      </c>
      <c r="Q1585">
        <f t="shared" si="271"/>
        <v>4.5146902595685212E-3</v>
      </c>
      <c r="R1585">
        <v>607.34997559999999</v>
      </c>
      <c r="S1585">
        <f t="shared" si="272"/>
        <v>-7.2736389158850612E-3</v>
      </c>
      <c r="T1585">
        <v>3509.3000489999999</v>
      </c>
      <c r="U1585">
        <f t="shared" si="273"/>
        <v>-1.1478711409006359E-2</v>
      </c>
      <c r="W1585">
        <f t="shared" si="274"/>
        <v>7.4822251683486179E-4</v>
      </c>
      <c r="X1585">
        <v>1.1003623300464149E-2</v>
      </c>
    </row>
    <row r="1586" spans="1:24" x14ac:dyDescent="0.35">
      <c r="A1586" s="1">
        <v>45154</v>
      </c>
      <c r="B1586">
        <v>2575.1499020000001</v>
      </c>
      <c r="C1586">
        <f t="shared" si="264"/>
        <v>-8.1486002522068723E-4</v>
      </c>
      <c r="D1586">
        <v>3458.3999020000001</v>
      </c>
      <c r="E1586">
        <f t="shared" si="265"/>
        <v>2.4783117402569221E-3</v>
      </c>
      <c r="F1586">
        <v>1606.1999510000001</v>
      </c>
      <c r="G1586">
        <f t="shared" si="266"/>
        <v>-2.9176689614351936E-3</v>
      </c>
      <c r="H1586">
        <v>856.95001219999995</v>
      </c>
      <c r="I1586">
        <f t="shared" si="267"/>
        <v>-1.1648665869458341E-2</v>
      </c>
      <c r="J1586">
        <v>1418.5</v>
      </c>
      <c r="K1586">
        <f t="shared" si="268"/>
        <v>1.7903878671529538E-2</v>
      </c>
      <c r="L1586">
        <v>450.25</v>
      </c>
      <c r="M1586">
        <f t="shared" si="269"/>
        <v>2.337461646222172E-3</v>
      </c>
      <c r="N1586">
        <v>1143.650024</v>
      </c>
      <c r="O1586">
        <f t="shared" si="270"/>
        <v>8.2874357504958418E-3</v>
      </c>
      <c r="P1586">
        <v>179.0500031</v>
      </c>
      <c r="Q1586">
        <f t="shared" si="271"/>
        <v>5.8988938202246821E-3</v>
      </c>
      <c r="R1586">
        <v>618.75</v>
      </c>
      <c r="S1586">
        <f t="shared" si="272"/>
        <v>1.8770107611740583E-2</v>
      </c>
      <c r="T1586">
        <v>3499.3500979999999</v>
      </c>
      <c r="U1586">
        <f t="shared" si="273"/>
        <v>-2.8353092813581116E-3</v>
      </c>
      <c r="W1586">
        <f t="shared" si="274"/>
        <v>3.7459585102997415E-3</v>
      </c>
      <c r="X1586">
        <v>1.1020399840300144E-2</v>
      </c>
    </row>
    <row r="1587" spans="1:24" x14ac:dyDescent="0.35">
      <c r="A1587" s="1">
        <v>45155</v>
      </c>
      <c r="B1587">
        <v>2538</v>
      </c>
      <c r="C1587">
        <f t="shared" si="264"/>
        <v>-1.4426306589432891E-2</v>
      </c>
      <c r="D1587">
        <v>3435.75</v>
      </c>
      <c r="E1587">
        <f t="shared" si="265"/>
        <v>-6.5492431881292168E-3</v>
      </c>
      <c r="F1587">
        <v>1597.3000489999999</v>
      </c>
      <c r="G1587">
        <f t="shared" si="266"/>
        <v>-5.5409676699710309E-3</v>
      </c>
      <c r="H1587">
        <v>856.70001219999995</v>
      </c>
      <c r="I1587">
        <f t="shared" si="267"/>
        <v>-2.9173230228241032E-4</v>
      </c>
      <c r="J1587">
        <v>1411.5500489999999</v>
      </c>
      <c r="K1587">
        <f t="shared" si="268"/>
        <v>-4.8995072259429007E-3</v>
      </c>
      <c r="L1587">
        <v>441</v>
      </c>
      <c r="M1587">
        <f t="shared" si="269"/>
        <v>-2.054414214325373E-2</v>
      </c>
      <c r="N1587">
        <v>1144.8000489999999</v>
      </c>
      <c r="O1587">
        <f t="shared" si="270"/>
        <v>1.0055742367560683E-3</v>
      </c>
      <c r="P1587">
        <v>177.75</v>
      </c>
      <c r="Q1587">
        <f t="shared" si="271"/>
        <v>-7.2605589360081879E-3</v>
      </c>
      <c r="R1587">
        <v>613.75</v>
      </c>
      <c r="S1587">
        <f t="shared" si="272"/>
        <v>-8.0808080808081328E-3</v>
      </c>
      <c r="T1587">
        <v>3507.6499020000001</v>
      </c>
      <c r="U1587">
        <f t="shared" si="273"/>
        <v>2.3718129845722302E-3</v>
      </c>
      <c r="W1587">
        <f t="shared" si="274"/>
        <v>-6.42158789145002E-3</v>
      </c>
      <c r="X1587">
        <v>1.1046250536002699E-2</v>
      </c>
    </row>
    <row r="1588" spans="1:24" x14ac:dyDescent="0.35">
      <c r="A1588" s="1">
        <v>45156</v>
      </c>
      <c r="B1588">
        <v>2556.8000489999999</v>
      </c>
      <c r="C1588">
        <f t="shared" si="264"/>
        <v>7.4074267139478955E-3</v>
      </c>
      <c r="D1588">
        <v>3367.1000979999999</v>
      </c>
      <c r="E1588">
        <f t="shared" si="265"/>
        <v>-1.9981052754129425E-2</v>
      </c>
      <c r="F1588">
        <v>1590.75</v>
      </c>
      <c r="G1588">
        <f t="shared" si="266"/>
        <v>-4.1007004313939888E-3</v>
      </c>
      <c r="H1588">
        <v>856.25</v>
      </c>
      <c r="I1588">
        <f t="shared" si="267"/>
        <v>-5.2528562342879503E-4</v>
      </c>
      <c r="J1588">
        <v>1388.8000489999999</v>
      </c>
      <c r="K1588">
        <f t="shared" si="268"/>
        <v>-1.6117033906177802E-2</v>
      </c>
      <c r="L1588">
        <v>441.64999390000003</v>
      </c>
      <c r="M1588">
        <f t="shared" si="269"/>
        <v>1.4739090702948765E-3</v>
      </c>
      <c r="N1588">
        <v>1134.900024</v>
      </c>
      <c r="O1588">
        <f t="shared" si="270"/>
        <v>-8.6478202098678736E-3</v>
      </c>
      <c r="P1588">
        <v>175.3000031</v>
      </c>
      <c r="Q1588">
        <f t="shared" si="271"/>
        <v>-1.3783386216596361E-2</v>
      </c>
      <c r="R1588">
        <v>615.79998780000005</v>
      </c>
      <c r="S1588">
        <f t="shared" si="272"/>
        <v>3.340102321792271E-3</v>
      </c>
      <c r="T1588">
        <v>3540.9499510000001</v>
      </c>
      <c r="U1588">
        <f t="shared" si="273"/>
        <v>9.493549792701117E-3</v>
      </c>
      <c r="W1588">
        <f t="shared" si="274"/>
        <v>-4.1440291242858087E-3</v>
      </c>
      <c r="X1588">
        <v>1.1071043560155359E-2</v>
      </c>
    </row>
    <row r="1589" spans="1:24" x14ac:dyDescent="0.35">
      <c r="A1589" s="1">
        <v>45159</v>
      </c>
      <c r="B1589">
        <v>2520</v>
      </c>
      <c r="C1589">
        <f t="shared" si="264"/>
        <v>-1.4393010127793482E-2</v>
      </c>
      <c r="D1589">
        <v>3401.6499020000001</v>
      </c>
      <c r="E1589">
        <f t="shared" si="265"/>
        <v>1.0260996998729732E-2</v>
      </c>
      <c r="F1589">
        <v>1589.5</v>
      </c>
      <c r="G1589">
        <f t="shared" si="266"/>
        <v>-7.8579286500080059E-4</v>
      </c>
      <c r="H1589">
        <v>871.95001219999995</v>
      </c>
      <c r="I1589">
        <f t="shared" si="267"/>
        <v>1.8335780671532742E-2</v>
      </c>
      <c r="J1589">
        <v>1405.400024</v>
      </c>
      <c r="K1589">
        <f t="shared" si="268"/>
        <v>1.1952746554086735E-2</v>
      </c>
      <c r="L1589">
        <v>447.7999878</v>
      </c>
      <c r="M1589">
        <f t="shared" si="269"/>
        <v>1.392504015610263E-2</v>
      </c>
      <c r="N1589">
        <v>1137.400024</v>
      </c>
      <c r="O1589">
        <f t="shared" si="270"/>
        <v>2.2028372077997904E-3</v>
      </c>
      <c r="P1589">
        <v>176.0500031</v>
      </c>
      <c r="Q1589">
        <f t="shared" si="271"/>
        <v>4.2783798444780974E-3</v>
      </c>
      <c r="R1589">
        <v>620.5</v>
      </c>
      <c r="S1589">
        <f t="shared" si="272"/>
        <v>7.6323681278254174E-3</v>
      </c>
      <c r="T1589">
        <v>3547.6999510000001</v>
      </c>
      <c r="U1589">
        <f t="shared" si="273"/>
        <v>1.9062681182753227E-3</v>
      </c>
      <c r="W1589">
        <f t="shared" si="274"/>
        <v>5.5315614686036194E-3</v>
      </c>
      <c r="X1589">
        <v>1.1128066269179428E-2</v>
      </c>
    </row>
    <row r="1590" spans="1:24" x14ac:dyDescent="0.35">
      <c r="A1590" s="1">
        <v>45160</v>
      </c>
      <c r="B1590">
        <v>2519.3999020000001</v>
      </c>
      <c r="C1590">
        <f t="shared" si="264"/>
        <v>-2.3813412698403535E-4</v>
      </c>
      <c r="D1590">
        <v>3382.1499020000001</v>
      </c>
      <c r="E1590">
        <f t="shared" si="265"/>
        <v>-5.732512328366024E-3</v>
      </c>
      <c r="F1590">
        <v>1582.6999510000001</v>
      </c>
      <c r="G1590">
        <f t="shared" si="266"/>
        <v>-4.2781056936143091E-3</v>
      </c>
      <c r="H1590">
        <v>877.65002440000001</v>
      </c>
      <c r="I1590">
        <f t="shared" si="267"/>
        <v>6.5370859799847025E-3</v>
      </c>
      <c r="J1590">
        <v>1403.75</v>
      </c>
      <c r="K1590">
        <f t="shared" si="268"/>
        <v>-1.1740600340277574E-3</v>
      </c>
      <c r="L1590">
        <v>454.25</v>
      </c>
      <c r="M1590">
        <f t="shared" si="269"/>
        <v>1.4403779311581211E-2</v>
      </c>
      <c r="N1590">
        <v>1137.5500489999999</v>
      </c>
      <c r="O1590">
        <f t="shared" si="270"/>
        <v>1.31901702861148E-4</v>
      </c>
      <c r="P1590">
        <v>176.1499939</v>
      </c>
      <c r="Q1590">
        <f t="shared" si="271"/>
        <v>5.6796818085369516E-4</v>
      </c>
      <c r="R1590">
        <v>620.20001219999995</v>
      </c>
      <c r="S1590">
        <f t="shared" si="272"/>
        <v>-4.8346140209520883E-4</v>
      </c>
      <c r="T1590">
        <v>3568.8999020000001</v>
      </c>
      <c r="U1590">
        <f t="shared" si="273"/>
        <v>5.9756888386304219E-3</v>
      </c>
      <c r="W1590">
        <f t="shared" si="274"/>
        <v>1.5710150428823843E-3</v>
      </c>
      <c r="X1590">
        <v>1.1163349830940085E-2</v>
      </c>
    </row>
    <row r="1591" spans="1:24" x14ac:dyDescent="0.35">
      <c r="A1591" s="1">
        <v>45161</v>
      </c>
      <c r="B1591">
        <v>2522.1999510000001</v>
      </c>
      <c r="C1591">
        <f t="shared" si="264"/>
        <v>1.1113952166852403E-3</v>
      </c>
      <c r="D1591">
        <v>3398.25</v>
      </c>
      <c r="E1591">
        <f t="shared" si="265"/>
        <v>4.7603147307218041E-3</v>
      </c>
      <c r="F1591">
        <v>1586.599976</v>
      </c>
      <c r="G1591">
        <f t="shared" si="266"/>
        <v>2.4641594242393872E-3</v>
      </c>
      <c r="H1591">
        <v>868.15002440000001</v>
      </c>
      <c r="I1591">
        <f t="shared" si="267"/>
        <v>-1.0824360207241646E-2</v>
      </c>
      <c r="J1591">
        <v>1407.9499510000001</v>
      </c>
      <c r="K1591">
        <f t="shared" si="268"/>
        <v>2.9919508459483879E-3</v>
      </c>
      <c r="L1591">
        <v>450.4500122</v>
      </c>
      <c r="M1591">
        <f t="shared" si="269"/>
        <v>-8.3654106769399661E-3</v>
      </c>
      <c r="N1591">
        <v>1123.6999510000001</v>
      </c>
      <c r="O1591">
        <f t="shared" si="270"/>
        <v>-1.21753746238904E-2</v>
      </c>
      <c r="P1591">
        <v>175.5</v>
      </c>
      <c r="Q1591">
        <f t="shared" si="271"/>
        <v>-3.6900023985751984E-3</v>
      </c>
      <c r="R1591">
        <v>613.90002440000001</v>
      </c>
      <c r="S1591">
        <f t="shared" si="272"/>
        <v>-1.0157993673125421E-2</v>
      </c>
      <c r="T1591">
        <v>3539.3000489999999</v>
      </c>
      <c r="U1591">
        <f t="shared" si="273"/>
        <v>-8.2938311000015918E-3</v>
      </c>
      <c r="W1591">
        <f t="shared" si="274"/>
        <v>-4.2179152462179402E-3</v>
      </c>
      <c r="X1591">
        <v>1.1168114517005624E-2</v>
      </c>
    </row>
    <row r="1592" spans="1:24" x14ac:dyDescent="0.35">
      <c r="A1592" s="1">
        <v>45162</v>
      </c>
      <c r="B1592">
        <v>2479.8000489999999</v>
      </c>
      <c r="C1592">
        <f t="shared" si="264"/>
        <v>-1.6810682270923638E-2</v>
      </c>
      <c r="D1592">
        <v>3387.75</v>
      </c>
      <c r="E1592">
        <f t="shared" si="265"/>
        <v>-3.0898256455528239E-3</v>
      </c>
      <c r="F1592">
        <v>1579.3000489999999</v>
      </c>
      <c r="G1592">
        <f t="shared" si="266"/>
        <v>-4.6009877161374835E-3</v>
      </c>
      <c r="H1592">
        <v>869.45001219999995</v>
      </c>
      <c r="I1592">
        <f t="shared" si="267"/>
        <v>1.4974229838884412E-3</v>
      </c>
      <c r="J1592">
        <v>1423.599976</v>
      </c>
      <c r="K1592">
        <f t="shared" si="268"/>
        <v>1.1115469686180601E-2</v>
      </c>
      <c r="L1592">
        <v>450.89999390000003</v>
      </c>
      <c r="M1592">
        <f t="shared" si="269"/>
        <v>9.9896034590463145E-4</v>
      </c>
      <c r="N1592">
        <v>1118.3000489999999</v>
      </c>
      <c r="O1592">
        <f t="shared" si="270"/>
        <v>-4.8054660812208994E-3</v>
      </c>
      <c r="P1592">
        <v>173.1000061</v>
      </c>
      <c r="Q1592">
        <f t="shared" si="271"/>
        <v>-1.3675178917378905E-2</v>
      </c>
      <c r="R1592">
        <v>610.95001219999995</v>
      </c>
      <c r="S1592">
        <f t="shared" si="272"/>
        <v>-4.8053625716716342E-3</v>
      </c>
      <c r="T1592">
        <v>3561.5</v>
      </c>
      <c r="U1592">
        <f t="shared" si="273"/>
        <v>6.2724128196682827E-3</v>
      </c>
      <c r="W1592">
        <f t="shared" si="274"/>
        <v>-2.7903237367243429E-3</v>
      </c>
      <c r="X1592">
        <v>1.1172032178471847E-2</v>
      </c>
    </row>
    <row r="1593" spans="1:24" x14ac:dyDescent="0.35">
      <c r="A1593" s="1">
        <v>45163</v>
      </c>
      <c r="B1593">
        <v>2468.3500979999999</v>
      </c>
      <c r="C1593">
        <f t="shared" si="264"/>
        <v>-4.6172879965129532E-3</v>
      </c>
      <c r="D1593">
        <v>3381.3000489999999</v>
      </c>
      <c r="E1593">
        <f t="shared" si="265"/>
        <v>-1.9039040661206208E-3</v>
      </c>
      <c r="F1593">
        <v>1561.5</v>
      </c>
      <c r="G1593">
        <f t="shared" si="266"/>
        <v>-1.1270846861095696E-2</v>
      </c>
      <c r="H1593">
        <v>873.5</v>
      </c>
      <c r="I1593">
        <f t="shared" si="267"/>
        <v>4.6581031033081643E-3</v>
      </c>
      <c r="J1593">
        <v>1420.099976</v>
      </c>
      <c r="K1593">
        <f t="shared" si="268"/>
        <v>-2.4585558155417742E-3</v>
      </c>
      <c r="L1593">
        <v>443.35000609999997</v>
      </c>
      <c r="M1593">
        <f t="shared" si="269"/>
        <v>-1.6744262368906804E-2</v>
      </c>
      <c r="N1593">
        <v>1106.3000489999999</v>
      </c>
      <c r="O1593">
        <f t="shared" si="270"/>
        <v>-1.0730572721275089E-2</v>
      </c>
      <c r="P1593">
        <v>174.6999969</v>
      </c>
      <c r="Q1593">
        <f t="shared" si="271"/>
        <v>9.243158541979879E-3</v>
      </c>
      <c r="R1593">
        <v>605.09997559999999</v>
      </c>
      <c r="S1593">
        <f t="shared" si="272"/>
        <v>-9.5753113727492511E-3</v>
      </c>
      <c r="T1593">
        <v>3534.6000979999999</v>
      </c>
      <c r="U1593">
        <f t="shared" si="273"/>
        <v>-7.5529698160887726E-3</v>
      </c>
      <c r="W1593">
        <f t="shared" si="274"/>
        <v>-5.0952449373002917E-3</v>
      </c>
      <c r="X1593">
        <v>1.1229210196707407E-2</v>
      </c>
    </row>
    <row r="1594" spans="1:24" x14ac:dyDescent="0.35">
      <c r="A1594" s="1">
        <v>45166</v>
      </c>
      <c r="B1594">
        <v>2443.75</v>
      </c>
      <c r="C1594">
        <f t="shared" si="264"/>
        <v>-9.9662110411048443E-3</v>
      </c>
      <c r="D1594">
        <v>3375.5500489999999</v>
      </c>
      <c r="E1594">
        <f t="shared" si="265"/>
        <v>-1.7005293575471647E-3</v>
      </c>
      <c r="F1594">
        <v>1577.75</v>
      </c>
      <c r="G1594">
        <f t="shared" si="266"/>
        <v>1.040666026256809E-2</v>
      </c>
      <c r="H1594">
        <v>870.34997559999999</v>
      </c>
      <c r="I1594">
        <f t="shared" si="267"/>
        <v>-3.606209959931328E-3</v>
      </c>
      <c r="J1594">
        <v>1415.650024</v>
      </c>
      <c r="K1594">
        <f t="shared" si="268"/>
        <v>-3.1335483946236531E-3</v>
      </c>
      <c r="L1594">
        <v>441.39999390000003</v>
      </c>
      <c r="M1594">
        <f t="shared" si="269"/>
        <v>-4.3983583470620369E-3</v>
      </c>
      <c r="N1594">
        <v>1117</v>
      </c>
      <c r="O1594">
        <f t="shared" si="270"/>
        <v>9.6718345169304332E-3</v>
      </c>
      <c r="P1594">
        <v>175.1999969</v>
      </c>
      <c r="Q1594">
        <f t="shared" si="271"/>
        <v>2.8620492780329077E-3</v>
      </c>
      <c r="R1594">
        <v>602.40002440000001</v>
      </c>
      <c r="S1594">
        <f t="shared" si="272"/>
        <v>-4.4619919168279454E-3</v>
      </c>
      <c r="T1594">
        <v>3592.8999020000001</v>
      </c>
      <c r="U1594">
        <f t="shared" si="273"/>
        <v>1.6494031116274899E-2</v>
      </c>
      <c r="W1594">
        <f t="shared" si="274"/>
        <v>1.2167726156709358E-3</v>
      </c>
      <c r="X1594">
        <v>1.1289454014884704E-2</v>
      </c>
    </row>
    <row r="1595" spans="1:24" x14ac:dyDescent="0.35">
      <c r="A1595" s="1">
        <v>45167</v>
      </c>
      <c r="B1595">
        <v>2420.3500979999999</v>
      </c>
      <c r="C1595">
        <f t="shared" si="264"/>
        <v>-9.575407468030761E-3</v>
      </c>
      <c r="D1595">
        <v>3376.1499020000001</v>
      </c>
      <c r="E1595">
        <f t="shared" si="265"/>
        <v>1.7770526026650302E-4</v>
      </c>
      <c r="F1595">
        <v>1590.3000489999999</v>
      </c>
      <c r="G1595">
        <f t="shared" si="266"/>
        <v>7.9543964506416653E-3</v>
      </c>
      <c r="H1595">
        <v>855.20001219999995</v>
      </c>
      <c r="I1595">
        <f t="shared" si="267"/>
        <v>-1.7406748807634487E-2</v>
      </c>
      <c r="J1595">
        <v>1417.650024</v>
      </c>
      <c r="K1595">
        <f t="shared" si="268"/>
        <v>1.4127785583253338E-3</v>
      </c>
      <c r="L1595">
        <v>440.10000609999997</v>
      </c>
      <c r="M1595">
        <f t="shared" si="269"/>
        <v>-2.9451468463195241E-3</v>
      </c>
      <c r="N1595">
        <v>1111.599976</v>
      </c>
      <c r="O1595">
        <f t="shared" si="270"/>
        <v>-4.8343992837959204E-3</v>
      </c>
      <c r="P1595">
        <v>175.6999969</v>
      </c>
      <c r="Q1595">
        <f t="shared" si="271"/>
        <v>2.8538813290355236E-3</v>
      </c>
      <c r="R1595">
        <v>607.15002440000001</v>
      </c>
      <c r="S1595">
        <f t="shared" si="272"/>
        <v>7.885125842634455E-3</v>
      </c>
      <c r="T1595">
        <v>3664.3500979999999</v>
      </c>
      <c r="U1595">
        <f t="shared" si="273"/>
        <v>1.9886497800906344E-2</v>
      </c>
      <c r="W1595">
        <f t="shared" si="274"/>
        <v>5.4086828360291319E-4</v>
      </c>
      <c r="X1595">
        <v>1.1478646730639277E-2</v>
      </c>
    </row>
    <row r="1596" spans="1:24" x14ac:dyDescent="0.35">
      <c r="A1596" s="1">
        <v>45168</v>
      </c>
      <c r="B1596">
        <v>2418.0500489999999</v>
      </c>
      <c r="C1596">
        <f t="shared" si="264"/>
        <v>-9.5029599308815715E-4</v>
      </c>
      <c r="D1596">
        <v>3390.9499510000001</v>
      </c>
      <c r="E1596">
        <f t="shared" si="265"/>
        <v>4.3837061237217423E-3</v>
      </c>
      <c r="F1596">
        <v>1578.6999510000001</v>
      </c>
      <c r="G1596">
        <f t="shared" si="266"/>
        <v>-7.2942826149657858E-3</v>
      </c>
      <c r="H1596">
        <v>857.75</v>
      </c>
      <c r="I1596">
        <f t="shared" si="267"/>
        <v>2.9817443447412995E-3</v>
      </c>
      <c r="J1596">
        <v>1435.150024</v>
      </c>
      <c r="K1596">
        <f t="shared" si="268"/>
        <v>1.2344372520534108E-2</v>
      </c>
      <c r="L1596">
        <v>442.7999878</v>
      </c>
      <c r="M1596">
        <f t="shared" si="269"/>
        <v>6.1349276586615265E-3</v>
      </c>
      <c r="N1596">
        <v>1114.900024</v>
      </c>
      <c r="O1596">
        <f t="shared" si="270"/>
        <v>2.9687370198361318E-3</v>
      </c>
      <c r="P1596">
        <v>175.75</v>
      </c>
      <c r="Q1596">
        <f t="shared" si="271"/>
        <v>2.845936305193586E-4</v>
      </c>
      <c r="R1596">
        <v>605.54998780000005</v>
      </c>
      <c r="S1596">
        <f t="shared" si="272"/>
        <v>-2.6353232902874835E-3</v>
      </c>
      <c r="T1596">
        <v>3736.3000489999999</v>
      </c>
      <c r="U1596">
        <f t="shared" si="273"/>
        <v>1.963511920961647E-2</v>
      </c>
      <c r="W1596">
        <f t="shared" si="274"/>
        <v>3.7853298609289215E-3</v>
      </c>
      <c r="X1596">
        <v>1.1483558549400662E-2</v>
      </c>
    </row>
    <row r="1597" spans="1:24" x14ac:dyDescent="0.35">
      <c r="A1597" s="1">
        <v>45169</v>
      </c>
      <c r="B1597">
        <v>2407</v>
      </c>
      <c r="C1597">
        <f t="shared" si="264"/>
        <v>-4.5698181493678547E-3</v>
      </c>
      <c r="D1597">
        <v>3356.8000489999999</v>
      </c>
      <c r="E1597">
        <f t="shared" si="265"/>
        <v>-1.007089532239458E-2</v>
      </c>
      <c r="F1597">
        <v>1571.4499510000001</v>
      </c>
      <c r="G1597">
        <f t="shared" si="266"/>
        <v>-4.5923862830347106E-3</v>
      </c>
      <c r="H1597">
        <v>856.40002440000001</v>
      </c>
      <c r="I1597">
        <f t="shared" si="267"/>
        <v>-1.5738567181580176E-3</v>
      </c>
      <c r="J1597">
        <v>1435.4499510000001</v>
      </c>
      <c r="K1597">
        <f t="shared" si="268"/>
        <v>2.0898651359391174E-4</v>
      </c>
      <c r="L1597">
        <v>439.7000122</v>
      </c>
      <c r="M1597">
        <f t="shared" si="269"/>
        <v>-7.0008484313693886E-3</v>
      </c>
      <c r="N1597">
        <v>1111.599976</v>
      </c>
      <c r="O1597">
        <f t="shared" si="270"/>
        <v>-2.9599497075623038E-3</v>
      </c>
      <c r="P1597">
        <v>174.1499939</v>
      </c>
      <c r="Q1597">
        <f t="shared" si="271"/>
        <v>-9.1038753911806269E-3</v>
      </c>
      <c r="R1597">
        <v>601</v>
      </c>
      <c r="S1597">
        <f t="shared" si="272"/>
        <v>-7.5138104065205491E-3</v>
      </c>
      <c r="T1597">
        <v>3720.3999020000001</v>
      </c>
      <c r="U1597">
        <f t="shared" si="273"/>
        <v>-4.2555862193818239E-3</v>
      </c>
      <c r="W1597">
        <f t="shared" si="274"/>
        <v>-5.1432040115375957E-3</v>
      </c>
      <c r="X1597">
        <v>1.1567526401242704E-2</v>
      </c>
    </row>
    <row r="1598" spans="1:24" x14ac:dyDescent="0.35">
      <c r="A1598" s="1">
        <v>45170</v>
      </c>
      <c r="B1598">
        <v>2412.6499020000001</v>
      </c>
      <c r="C1598">
        <f t="shared" si="264"/>
        <v>2.3472796011632102E-3</v>
      </c>
      <c r="D1598">
        <v>3379.1999510000001</v>
      </c>
      <c r="E1598">
        <f t="shared" si="265"/>
        <v>6.6729926337654177E-3</v>
      </c>
      <c r="F1598">
        <v>1574.6999510000001</v>
      </c>
      <c r="G1598">
        <f t="shared" si="266"/>
        <v>2.0681536805748912E-3</v>
      </c>
      <c r="H1598">
        <v>865.95001219999995</v>
      </c>
      <c r="I1598">
        <f t="shared" si="267"/>
        <v>1.1151316590270577E-2</v>
      </c>
      <c r="J1598">
        <v>1443.849976</v>
      </c>
      <c r="K1598">
        <f t="shared" si="268"/>
        <v>5.851841085889431E-3</v>
      </c>
      <c r="L1598">
        <v>441.0499878</v>
      </c>
      <c r="M1598">
        <f t="shared" si="269"/>
        <v>3.0702196100598211E-3</v>
      </c>
      <c r="N1598">
        <v>1109</v>
      </c>
      <c r="O1598">
        <f t="shared" si="270"/>
        <v>-2.3389493128236349E-3</v>
      </c>
      <c r="P1598">
        <v>181.75</v>
      </c>
      <c r="Q1598">
        <f t="shared" si="271"/>
        <v>4.3640576320456592E-2</v>
      </c>
      <c r="R1598">
        <v>611.20001219999995</v>
      </c>
      <c r="S1598">
        <f t="shared" si="272"/>
        <v>1.6971734109816783E-2</v>
      </c>
      <c r="T1598">
        <v>3761.0500489999999</v>
      </c>
      <c r="U1598">
        <f t="shared" si="273"/>
        <v>1.0926284289532129E-2</v>
      </c>
      <c r="W1598">
        <f t="shared" si="274"/>
        <v>1.0036144860870523E-2</v>
      </c>
      <c r="X1598">
        <v>1.1574294691113261E-2</v>
      </c>
    </row>
    <row r="1599" spans="1:24" x14ac:dyDescent="0.35">
      <c r="A1599" s="1">
        <v>45173</v>
      </c>
      <c r="B1599">
        <v>2410.6999510000001</v>
      </c>
      <c r="C1599">
        <f t="shared" si="264"/>
        <v>-8.0821962539345815E-4</v>
      </c>
      <c r="D1599">
        <v>3418.5</v>
      </c>
      <c r="E1599">
        <f t="shared" si="265"/>
        <v>1.1629986260022873E-2</v>
      </c>
      <c r="F1599">
        <v>1584.5500489999999</v>
      </c>
      <c r="G1599">
        <f t="shared" si="266"/>
        <v>6.2552221416813936E-3</v>
      </c>
      <c r="H1599">
        <v>865.29998780000005</v>
      </c>
      <c r="I1599">
        <f t="shared" si="267"/>
        <v>-7.5064887215425813E-4</v>
      </c>
      <c r="J1599">
        <v>1465.099976</v>
      </c>
      <c r="K1599">
        <f t="shared" si="268"/>
        <v>1.4717595562712349E-2</v>
      </c>
      <c r="L1599">
        <v>437.5</v>
      </c>
      <c r="M1599">
        <f t="shared" si="269"/>
        <v>-8.0489466006057331E-3</v>
      </c>
      <c r="N1599">
        <v>1108.900024</v>
      </c>
      <c r="O1599">
        <f t="shared" si="270"/>
        <v>-9.0149684400353536E-5</v>
      </c>
      <c r="P1599">
        <v>182.9499969</v>
      </c>
      <c r="Q1599">
        <f t="shared" si="271"/>
        <v>6.6024588720769994E-3</v>
      </c>
      <c r="R1599">
        <v>609</v>
      </c>
      <c r="S1599">
        <f t="shared" si="272"/>
        <v>-3.5994963286748449E-3</v>
      </c>
      <c r="T1599">
        <v>3755.75</v>
      </c>
      <c r="U1599">
        <f t="shared" si="273"/>
        <v>-1.4091939567273393E-3</v>
      </c>
      <c r="W1599">
        <f t="shared" si="274"/>
        <v>2.4498607768537622E-3</v>
      </c>
      <c r="X1599">
        <v>1.1601807610385784E-2</v>
      </c>
    </row>
    <row r="1600" spans="1:24" x14ac:dyDescent="0.35">
      <c r="A1600" s="1">
        <v>45174</v>
      </c>
      <c r="B1600">
        <v>2423.6000979999999</v>
      </c>
      <c r="C1600">
        <f t="shared" si="264"/>
        <v>5.3512039084948615E-3</v>
      </c>
      <c r="D1600">
        <v>3429.3500979999999</v>
      </c>
      <c r="E1600">
        <f t="shared" si="265"/>
        <v>3.1739353517623581E-3</v>
      </c>
      <c r="F1600">
        <v>1574.900024</v>
      </c>
      <c r="G1600">
        <f t="shared" si="266"/>
        <v>-6.0900727030300805E-3</v>
      </c>
      <c r="H1600">
        <v>865.90002440000001</v>
      </c>
      <c r="I1600">
        <f t="shared" si="267"/>
        <v>6.9344343980115575E-4</v>
      </c>
      <c r="J1600">
        <v>1478.900024</v>
      </c>
      <c r="K1600">
        <f t="shared" si="268"/>
        <v>9.4191851928608905E-3</v>
      </c>
      <c r="L1600">
        <v>443.10000609999997</v>
      </c>
      <c r="M1600">
        <f t="shared" si="269"/>
        <v>1.2800013942857014E-2</v>
      </c>
      <c r="N1600">
        <v>1131.900024</v>
      </c>
      <c r="O1600">
        <f t="shared" si="270"/>
        <v>2.074127468861886E-2</v>
      </c>
      <c r="P1600">
        <v>183.1000061</v>
      </c>
      <c r="Q1600">
        <f t="shared" si="271"/>
        <v>8.1994644734528777E-4</v>
      </c>
      <c r="R1600">
        <v>611.15002440000001</v>
      </c>
      <c r="S1600">
        <f t="shared" si="272"/>
        <v>3.5304177339900988E-3</v>
      </c>
      <c r="T1600">
        <v>3776.8999020000001</v>
      </c>
      <c r="U1600">
        <f t="shared" si="273"/>
        <v>5.6313391466418228E-3</v>
      </c>
      <c r="W1600">
        <f t="shared" si="274"/>
        <v>5.6070687149342279E-3</v>
      </c>
      <c r="X1600">
        <v>1.1646775516992159E-2</v>
      </c>
    </row>
    <row r="1601" spans="1:24" x14ac:dyDescent="0.35">
      <c r="A1601" s="1">
        <v>45175</v>
      </c>
      <c r="B1601">
        <v>2428.6999510000001</v>
      </c>
      <c r="C1601">
        <f t="shared" si="264"/>
        <v>2.1042469028651478E-3</v>
      </c>
      <c r="D1601">
        <v>3429.8999020000001</v>
      </c>
      <c r="E1601">
        <f t="shared" si="265"/>
        <v>1.603230887161633E-4</v>
      </c>
      <c r="F1601">
        <v>1595.5</v>
      </c>
      <c r="G1601">
        <f t="shared" si="266"/>
        <v>1.3080180129580121E-2</v>
      </c>
      <c r="H1601">
        <v>880.29998780000005</v>
      </c>
      <c r="I1601">
        <f t="shared" si="267"/>
        <v>1.6630053117250077E-2</v>
      </c>
      <c r="J1601">
        <v>1477.4499510000001</v>
      </c>
      <c r="K1601">
        <f t="shared" si="268"/>
        <v>-9.8050779394676102E-4</v>
      </c>
      <c r="L1601">
        <v>447.4500122</v>
      </c>
      <c r="M1601">
        <f t="shared" si="269"/>
        <v>9.8172106524825331E-3</v>
      </c>
      <c r="N1601">
        <v>1142.349976</v>
      </c>
      <c r="O1601">
        <f t="shared" si="270"/>
        <v>9.2322217319786848E-3</v>
      </c>
      <c r="P1601">
        <v>183.0500031</v>
      </c>
      <c r="Q1601">
        <f t="shared" si="271"/>
        <v>-2.730911978926498E-4</v>
      </c>
      <c r="R1601">
        <v>610.25</v>
      </c>
      <c r="S1601">
        <f t="shared" si="272"/>
        <v>-1.4726734256185203E-3</v>
      </c>
      <c r="T1601">
        <v>3796.8000489999999</v>
      </c>
      <c r="U1601">
        <f t="shared" si="273"/>
        <v>5.2689103540874971E-3</v>
      </c>
      <c r="W1601">
        <f t="shared" si="274"/>
        <v>5.35668735595023E-3</v>
      </c>
      <c r="X1601">
        <v>1.1685785763915013E-2</v>
      </c>
    </row>
    <row r="1602" spans="1:24" x14ac:dyDescent="0.35">
      <c r="A1602" s="1">
        <v>45176</v>
      </c>
      <c r="B1602">
        <v>2432</v>
      </c>
      <c r="C1602">
        <f t="shared" si="264"/>
        <v>1.358771798319891E-3</v>
      </c>
      <c r="D1602">
        <v>3455.25</v>
      </c>
      <c r="E1602">
        <f t="shared" si="265"/>
        <v>7.3909148150994586E-3</v>
      </c>
      <c r="F1602">
        <v>1610.849976</v>
      </c>
      <c r="G1602">
        <f t="shared" si="266"/>
        <v>9.6207934816672225E-3</v>
      </c>
      <c r="H1602">
        <v>875.29998780000005</v>
      </c>
      <c r="I1602">
        <f t="shared" si="267"/>
        <v>-5.6798819371742804E-3</v>
      </c>
      <c r="J1602">
        <v>1466.1999510000001</v>
      </c>
      <c r="K1602">
        <f t="shared" si="268"/>
        <v>-7.6144711314150015E-3</v>
      </c>
      <c r="L1602">
        <v>445.89999390000003</v>
      </c>
      <c r="M1602">
        <f t="shared" si="269"/>
        <v>-3.4641150022075573E-3</v>
      </c>
      <c r="N1602">
        <v>1133.0500489999999</v>
      </c>
      <c r="O1602">
        <f t="shared" si="270"/>
        <v>-8.1410488864054331E-3</v>
      </c>
      <c r="P1602">
        <v>181.75</v>
      </c>
      <c r="Q1602">
        <f t="shared" si="271"/>
        <v>-7.1019015459388157E-3</v>
      </c>
      <c r="R1602">
        <v>614.90002440000001</v>
      </c>
      <c r="S1602">
        <f t="shared" si="272"/>
        <v>7.6198679229824151E-3</v>
      </c>
      <c r="T1602">
        <v>3785.1000979999999</v>
      </c>
      <c r="U1602">
        <f t="shared" si="273"/>
        <v>-3.0815294060801968E-3</v>
      </c>
      <c r="W1602">
        <f t="shared" si="274"/>
        <v>-9.0925998911522998E-4</v>
      </c>
      <c r="X1602">
        <v>1.169439215963324E-2</v>
      </c>
    </row>
    <row r="1603" spans="1:24" x14ac:dyDescent="0.35">
      <c r="A1603" s="1">
        <v>45177</v>
      </c>
      <c r="B1603">
        <v>2448.1999510000001</v>
      </c>
      <c r="C1603">
        <f t="shared" si="264"/>
        <v>6.6611640625000579E-3</v>
      </c>
      <c r="D1603">
        <v>3441.8999020000001</v>
      </c>
      <c r="E1603">
        <f t="shared" si="265"/>
        <v>-3.8637140583169804E-3</v>
      </c>
      <c r="F1603">
        <v>1623.400024</v>
      </c>
      <c r="G1603">
        <f t="shared" si="266"/>
        <v>7.7909477524180648E-3</v>
      </c>
      <c r="H1603">
        <v>885.84997559999999</v>
      </c>
      <c r="I1603">
        <f t="shared" si="267"/>
        <v>1.205299662635273E-2</v>
      </c>
      <c r="J1603">
        <v>1469.599976</v>
      </c>
      <c r="K1603">
        <f t="shared" si="268"/>
        <v>2.3189367846323528E-3</v>
      </c>
      <c r="L1603">
        <v>442.64999390000003</v>
      </c>
      <c r="M1603">
        <f t="shared" si="269"/>
        <v>-7.2886298373192604E-3</v>
      </c>
      <c r="N1603">
        <v>1130.4499510000001</v>
      </c>
      <c r="O1603">
        <f t="shared" si="270"/>
        <v>-2.2947777128597968E-3</v>
      </c>
      <c r="P1603">
        <v>184.4499969</v>
      </c>
      <c r="Q1603">
        <f t="shared" si="271"/>
        <v>1.4855553782668451E-2</v>
      </c>
      <c r="R1603">
        <v>627.25</v>
      </c>
      <c r="S1603">
        <f t="shared" si="272"/>
        <v>2.0084526117966517E-2</v>
      </c>
      <c r="T1603">
        <v>3782.3999020000001</v>
      </c>
      <c r="U1603">
        <f t="shared" si="273"/>
        <v>-7.1337505748569896E-4</v>
      </c>
      <c r="W1603">
        <f t="shared" si="274"/>
        <v>4.9603628460556442E-3</v>
      </c>
      <c r="X1603">
        <v>1.1714181588150997E-2</v>
      </c>
    </row>
    <row r="1604" spans="1:24" x14ac:dyDescent="0.35">
      <c r="A1604" s="1">
        <v>45180</v>
      </c>
      <c r="B1604">
        <v>2474.6000979999999</v>
      </c>
      <c r="C1604">
        <f t="shared" ref="C1604:C1667" si="275">B1604/B1603 - 1</f>
        <v>1.0783492986026877E-2</v>
      </c>
      <c r="D1604">
        <v>3480.6499020000001</v>
      </c>
      <c r="E1604">
        <f t="shared" ref="E1604:E1667" si="276">D1604/D1603 - 1</f>
        <v>1.1258316947998281E-2</v>
      </c>
      <c r="F1604">
        <v>1631.8000489999999</v>
      </c>
      <c r="G1604">
        <f t="shared" ref="G1604:G1667" si="277">F1604/F1603 - 1</f>
        <v>5.1743408129947266E-3</v>
      </c>
      <c r="H1604">
        <v>890.79998780000005</v>
      </c>
      <c r="I1604">
        <f t="shared" ref="I1604:I1667" si="278">H1604/H1603 - 1</f>
        <v>5.5878674000608974E-3</v>
      </c>
      <c r="J1604">
        <v>1476.4499510000001</v>
      </c>
      <c r="K1604">
        <f t="shared" ref="K1604:K1667" si="279">J1604/J1603 -1</f>
        <v>4.6611153455817789E-3</v>
      </c>
      <c r="L1604">
        <v>447.2000122</v>
      </c>
      <c r="M1604">
        <f t="shared" ref="M1604:M1667" si="280">L1604/L1603 -1</f>
        <v>1.0279042951998552E-2</v>
      </c>
      <c r="N1604">
        <v>1136.900024</v>
      </c>
      <c r="O1604">
        <f t="shared" ref="O1604:O1667" si="281">N1604/N1603-1</f>
        <v>5.7057572467442697E-3</v>
      </c>
      <c r="P1604">
        <v>183.3999939</v>
      </c>
      <c r="Q1604">
        <f t="shared" ref="Q1604:Q1667" si="282">P1604/P1603 -1</f>
        <v>-5.6926159807378918E-3</v>
      </c>
      <c r="R1604">
        <v>634.84997559999999</v>
      </c>
      <c r="S1604">
        <f t="shared" ref="S1604:S1667" si="283">R1604/R1603 - 1</f>
        <v>1.2116342128337898E-2</v>
      </c>
      <c r="T1604">
        <v>3810.75</v>
      </c>
      <c r="U1604">
        <f t="shared" ref="U1604:U1667" si="284">T1604/T1603 - 1</f>
        <v>7.4952672204251503E-3</v>
      </c>
      <c r="W1604">
        <f t="shared" ref="W1604:W1667" si="285">0.1*C1604+0.1*E1604+0.1*G1604+0.1*I1604+0.1*K1604+0.1*M1604+0.1*O1604+0.1*Q1604+0.1*S1604+0.1*U1604</f>
        <v>6.7368927059430535E-3</v>
      </c>
      <c r="X1604">
        <v>1.1734367235372535E-2</v>
      </c>
    </row>
    <row r="1605" spans="1:24" x14ac:dyDescent="0.35">
      <c r="A1605" s="1">
        <v>45181</v>
      </c>
      <c r="B1605">
        <v>2438.8500979999999</v>
      </c>
      <c r="C1605">
        <f t="shared" si="275"/>
        <v>-1.4446778705332508E-2</v>
      </c>
      <c r="D1605">
        <v>3580.8000489999999</v>
      </c>
      <c r="E1605">
        <f t="shared" si="276"/>
        <v>2.8773404341083886E-2</v>
      </c>
      <c r="F1605">
        <v>1636.900024</v>
      </c>
      <c r="G1605">
        <f t="shared" si="277"/>
        <v>3.1253675982700901E-3</v>
      </c>
      <c r="H1605">
        <v>890.40002440000001</v>
      </c>
      <c r="I1605">
        <f t="shared" si="278"/>
        <v>-4.489934951479313E-4</v>
      </c>
      <c r="J1605">
        <v>1501.099976</v>
      </c>
      <c r="K1605">
        <f t="shared" si="279"/>
        <v>1.6695469415203945E-2</v>
      </c>
      <c r="L1605">
        <v>451.14999390000003</v>
      </c>
      <c r="M1605">
        <f t="shared" si="280"/>
        <v>8.8326958681599343E-3</v>
      </c>
      <c r="N1605">
        <v>1145.25</v>
      </c>
      <c r="O1605">
        <f t="shared" si="281"/>
        <v>7.3445121151656245E-3</v>
      </c>
      <c r="P1605">
        <v>180.8999939</v>
      </c>
      <c r="Q1605">
        <f t="shared" si="282"/>
        <v>-1.3631407214567015E-2</v>
      </c>
      <c r="R1605">
        <v>620.79998780000005</v>
      </c>
      <c r="S1605">
        <f t="shared" si="283"/>
        <v>-2.2131193730804188E-2</v>
      </c>
      <c r="T1605">
        <v>3753.25</v>
      </c>
      <c r="U1605">
        <f t="shared" si="284"/>
        <v>-1.5088893262481085E-2</v>
      </c>
      <c r="W1605">
        <f t="shared" si="285"/>
        <v>-9.7581707044924141E-5</v>
      </c>
      <c r="X1605">
        <v>1.1739561314718896E-2</v>
      </c>
    </row>
    <row r="1606" spans="1:24" x14ac:dyDescent="0.35">
      <c r="A1606" s="1">
        <v>45182</v>
      </c>
      <c r="B1606">
        <v>2451.0500489999999</v>
      </c>
      <c r="C1606">
        <f t="shared" si="275"/>
        <v>5.0023373761285406E-3</v>
      </c>
      <c r="D1606">
        <v>3567.8500979999999</v>
      </c>
      <c r="E1606">
        <f t="shared" si="276"/>
        <v>-3.6164965434516416E-3</v>
      </c>
      <c r="F1606">
        <v>1643.900024</v>
      </c>
      <c r="G1606">
        <f t="shared" si="277"/>
        <v>4.2763760140307472E-3</v>
      </c>
      <c r="H1606">
        <v>915.15002440000001</v>
      </c>
      <c r="I1606">
        <f t="shared" si="278"/>
        <v>2.7796495195154369E-2</v>
      </c>
      <c r="J1606">
        <v>1498.349976</v>
      </c>
      <c r="K1606">
        <f t="shared" si="279"/>
        <v>-1.8319899033827358E-3</v>
      </c>
      <c r="L1606">
        <v>453.5</v>
      </c>
      <c r="M1606">
        <f t="shared" si="280"/>
        <v>5.2089241533290753E-3</v>
      </c>
      <c r="N1606">
        <v>1148.75</v>
      </c>
      <c r="O1606">
        <f t="shared" si="281"/>
        <v>3.0561012879284366E-3</v>
      </c>
      <c r="P1606">
        <v>183.8999939</v>
      </c>
      <c r="Q1606">
        <f t="shared" si="282"/>
        <v>1.6583748486240335E-2</v>
      </c>
      <c r="R1606">
        <v>625.90002440000001</v>
      </c>
      <c r="S1606">
        <f t="shared" si="283"/>
        <v>8.2152653031994927E-3</v>
      </c>
      <c r="T1606">
        <v>3813.6999510000001</v>
      </c>
      <c r="U1606">
        <f t="shared" si="284"/>
        <v>1.6106028375407977E-2</v>
      </c>
      <c r="W1606">
        <f t="shared" si="285"/>
        <v>8.07967897445846E-3</v>
      </c>
      <c r="X1606">
        <v>1.1743169192581971E-2</v>
      </c>
    </row>
    <row r="1607" spans="1:24" x14ac:dyDescent="0.35">
      <c r="A1607" s="1">
        <v>45183</v>
      </c>
      <c r="B1607">
        <v>2453.3000489999999</v>
      </c>
      <c r="C1607">
        <f t="shared" si="275"/>
        <v>9.1797391118886296E-4</v>
      </c>
      <c r="D1607">
        <v>3560.0500489999999</v>
      </c>
      <c r="E1607">
        <f t="shared" si="276"/>
        <v>-2.1862042366557199E-3</v>
      </c>
      <c r="F1607">
        <v>1642.900024</v>
      </c>
      <c r="G1607">
        <f t="shared" si="277"/>
        <v>-6.0830949899659537E-4</v>
      </c>
      <c r="H1607">
        <v>914.95001219999995</v>
      </c>
      <c r="I1607">
        <f t="shared" si="278"/>
        <v>-2.1855673350523741E-4</v>
      </c>
      <c r="J1607">
        <v>1506.9499510000001</v>
      </c>
      <c r="K1607">
        <f t="shared" si="279"/>
        <v>5.7396303518879588E-3</v>
      </c>
      <c r="L1607">
        <v>449.9500122</v>
      </c>
      <c r="M1607">
        <f t="shared" si="280"/>
        <v>-7.8279775082690239E-3</v>
      </c>
      <c r="N1607">
        <v>1143.8000489999999</v>
      </c>
      <c r="O1607">
        <f t="shared" si="281"/>
        <v>-4.3089889009794158E-3</v>
      </c>
      <c r="P1607">
        <v>187.8999939</v>
      </c>
      <c r="Q1607">
        <f t="shared" si="282"/>
        <v>2.175095232561608E-2</v>
      </c>
      <c r="R1607">
        <v>624.59997559999999</v>
      </c>
      <c r="S1607">
        <f t="shared" si="283"/>
        <v>-2.0770869936397318E-3</v>
      </c>
      <c r="T1607">
        <v>3808.0500489999999</v>
      </c>
      <c r="U1607">
        <f t="shared" si="284"/>
        <v>-1.4814752268380582E-3</v>
      </c>
      <c r="W1607">
        <f t="shared" si="285"/>
        <v>9.6999574898091209E-4</v>
      </c>
      <c r="X1607">
        <v>1.1765294439397542E-2</v>
      </c>
    </row>
    <row r="1608" spans="1:24" x14ac:dyDescent="0.35">
      <c r="A1608" s="1">
        <v>45184</v>
      </c>
      <c r="B1608">
        <v>2457.8500979999999</v>
      </c>
      <c r="C1608">
        <f t="shared" si="275"/>
        <v>1.8546647002493089E-3</v>
      </c>
      <c r="D1608">
        <v>3598.3000489999999</v>
      </c>
      <c r="E1608">
        <f t="shared" si="276"/>
        <v>1.0744230972467461E-2</v>
      </c>
      <c r="F1608">
        <v>1661.75</v>
      </c>
      <c r="G1608">
        <f t="shared" si="277"/>
        <v>1.1473598955891173E-2</v>
      </c>
      <c r="H1608">
        <v>936.15002440000001</v>
      </c>
      <c r="I1608">
        <f t="shared" si="278"/>
        <v>2.3170678088767493E-2</v>
      </c>
      <c r="J1608">
        <v>1511.599976</v>
      </c>
      <c r="K1608">
        <f t="shared" si="279"/>
        <v>3.0857195999869358E-3</v>
      </c>
      <c r="L1608">
        <v>448.35000609999997</v>
      </c>
      <c r="M1608">
        <f t="shared" si="280"/>
        <v>-3.55596412182968E-3</v>
      </c>
      <c r="N1608">
        <v>1149.8000489999999</v>
      </c>
      <c r="O1608">
        <f t="shared" si="281"/>
        <v>5.2456720956128855E-3</v>
      </c>
      <c r="P1608">
        <v>186.6499939</v>
      </c>
      <c r="Q1608">
        <f t="shared" si="282"/>
        <v>-6.6524749365625135E-3</v>
      </c>
      <c r="R1608">
        <v>634.25</v>
      </c>
      <c r="S1608">
        <f t="shared" si="283"/>
        <v>1.5449927596827173E-2</v>
      </c>
      <c r="T1608">
        <v>3796</v>
      </c>
      <c r="U1608">
        <f t="shared" si="284"/>
        <v>-3.1643620343604351E-3</v>
      </c>
      <c r="W1608">
        <f t="shared" si="285"/>
        <v>5.7651690917049801E-3</v>
      </c>
      <c r="X1608">
        <v>1.1768449348154075E-2</v>
      </c>
    </row>
    <row r="1609" spans="1:24" x14ac:dyDescent="0.35">
      <c r="A1609" s="1">
        <v>45187</v>
      </c>
      <c r="B1609">
        <v>2436.4499510000001</v>
      </c>
      <c r="C1609">
        <f t="shared" si="275"/>
        <v>-8.7068560517232774E-3</v>
      </c>
      <c r="D1609">
        <v>3606.1499020000001</v>
      </c>
      <c r="E1609">
        <f t="shared" si="276"/>
        <v>2.1815448664936898E-3</v>
      </c>
      <c r="F1609">
        <v>1629.0500489999999</v>
      </c>
      <c r="G1609">
        <f t="shared" si="277"/>
        <v>-1.9678020761245696E-2</v>
      </c>
      <c r="H1609">
        <v>920.20001219999995</v>
      </c>
      <c r="I1609">
        <f t="shared" si="278"/>
        <v>-1.7037880451077014E-2</v>
      </c>
      <c r="J1609">
        <v>1491.8000489999999</v>
      </c>
      <c r="K1609">
        <f t="shared" si="279"/>
        <v>-1.3098655275448401E-2</v>
      </c>
      <c r="L1609">
        <v>452.0499878</v>
      </c>
      <c r="M1609">
        <f t="shared" si="280"/>
        <v>8.2524403917925149E-3</v>
      </c>
      <c r="N1609">
        <v>1147.650024</v>
      </c>
      <c r="O1609">
        <f t="shared" si="281"/>
        <v>-1.8699120789478219E-3</v>
      </c>
      <c r="P1609">
        <v>186.75</v>
      </c>
      <c r="Q1609">
        <f t="shared" si="282"/>
        <v>5.3579482061794081E-4</v>
      </c>
      <c r="R1609">
        <v>640.65002440000001</v>
      </c>
      <c r="S1609">
        <f t="shared" si="283"/>
        <v>1.0090696728419335E-2</v>
      </c>
      <c r="T1609">
        <v>3797.8999020000001</v>
      </c>
      <c r="U1609">
        <f t="shared" si="284"/>
        <v>5.0050105374088716E-4</v>
      </c>
      <c r="W1609">
        <f t="shared" si="285"/>
        <v>-3.8830346757377844E-3</v>
      </c>
      <c r="X1609">
        <v>1.177131899530667E-2</v>
      </c>
    </row>
    <row r="1610" spans="1:24" x14ac:dyDescent="0.35">
      <c r="A1610" s="1">
        <v>45189</v>
      </c>
      <c r="B1610">
        <v>2382.1499020000001</v>
      </c>
      <c r="C1610">
        <f t="shared" si="275"/>
        <v>-2.2286543984912699E-2</v>
      </c>
      <c r="D1610">
        <v>3606.0500489999999</v>
      </c>
      <c r="E1610">
        <f t="shared" si="276"/>
        <v>-2.768964205979163E-5</v>
      </c>
      <c r="F1610">
        <v>1563.6999510000001</v>
      </c>
      <c r="G1610">
        <f t="shared" si="277"/>
        <v>-4.0115463634843751E-2</v>
      </c>
      <c r="H1610">
        <v>910.70001219999995</v>
      </c>
      <c r="I1610">
        <f t="shared" si="278"/>
        <v>-1.0323842506030356E-2</v>
      </c>
      <c r="J1610">
        <v>1490.25</v>
      </c>
      <c r="K1610">
        <f t="shared" si="279"/>
        <v>-1.0390460846538829E-3</v>
      </c>
      <c r="L1610">
        <v>452.9500122</v>
      </c>
      <c r="M1610">
        <f t="shared" si="280"/>
        <v>1.9909842368985853E-3</v>
      </c>
      <c r="N1610">
        <v>1153.150024</v>
      </c>
      <c r="O1610">
        <f t="shared" si="281"/>
        <v>4.7924017644598305E-3</v>
      </c>
      <c r="P1610">
        <v>188.1999969</v>
      </c>
      <c r="Q1610">
        <f t="shared" si="282"/>
        <v>7.7643742971886809E-3</v>
      </c>
      <c r="R1610">
        <v>638.5</v>
      </c>
      <c r="S1610">
        <f t="shared" si="283"/>
        <v>-3.3560045549262396E-3</v>
      </c>
      <c r="T1610">
        <v>3729.3999020000001</v>
      </c>
      <c r="U1610">
        <f t="shared" si="284"/>
        <v>-1.803628367454535E-2</v>
      </c>
      <c r="W1610">
        <f t="shared" si="285"/>
        <v>-8.0637113783424974E-3</v>
      </c>
      <c r="X1610">
        <v>1.1817199467924101E-2</v>
      </c>
    </row>
    <row r="1611" spans="1:24" x14ac:dyDescent="0.35">
      <c r="A1611" s="1">
        <v>45190</v>
      </c>
      <c r="B1611">
        <v>2364.8000489999999</v>
      </c>
      <c r="C1611">
        <f t="shared" si="275"/>
        <v>-7.283275072418216E-3</v>
      </c>
      <c r="D1611">
        <v>3585.3000489999999</v>
      </c>
      <c r="E1611">
        <f t="shared" si="276"/>
        <v>-5.7542185266546975E-3</v>
      </c>
      <c r="F1611">
        <v>1553.349976</v>
      </c>
      <c r="G1611">
        <f t="shared" si="277"/>
        <v>-6.618900891683932E-3</v>
      </c>
      <c r="H1611">
        <v>917.95001219999995</v>
      </c>
      <c r="I1611">
        <f t="shared" si="278"/>
        <v>7.9609090840857544E-3</v>
      </c>
      <c r="J1611">
        <v>1501.75</v>
      </c>
      <c r="K1611">
        <f t="shared" si="279"/>
        <v>7.7168260358999596E-3</v>
      </c>
      <c r="L1611">
        <v>447.5</v>
      </c>
      <c r="M1611">
        <f t="shared" si="280"/>
        <v>-1.2032259748772312E-2</v>
      </c>
      <c r="N1611">
        <v>1146.150024</v>
      </c>
      <c r="O1611">
        <f t="shared" si="281"/>
        <v>-6.0703289722170428E-3</v>
      </c>
      <c r="P1611">
        <v>186.6999969</v>
      </c>
      <c r="Q1611">
        <f t="shared" si="282"/>
        <v>-7.9702445521134813E-3</v>
      </c>
      <c r="R1611">
        <v>627.04998780000005</v>
      </c>
      <c r="S1611">
        <f t="shared" si="283"/>
        <v>-1.7932673766640428E-2</v>
      </c>
      <c r="T1611">
        <v>3686.9499510000001</v>
      </c>
      <c r="U1611">
        <f t="shared" si="284"/>
        <v>-1.1382515180856534E-2</v>
      </c>
      <c r="W1611">
        <f t="shared" si="285"/>
        <v>-5.9366681591370932E-3</v>
      </c>
      <c r="X1611">
        <v>1.1839645095674069E-2</v>
      </c>
    </row>
    <row r="1612" spans="1:24" x14ac:dyDescent="0.35">
      <c r="A1612" s="1">
        <v>45191</v>
      </c>
      <c r="B1612">
        <v>2354.9499510000001</v>
      </c>
      <c r="C1612">
        <f t="shared" si="275"/>
        <v>-4.165298459024136E-3</v>
      </c>
      <c r="D1612">
        <v>3603.6499020000001</v>
      </c>
      <c r="E1612">
        <f t="shared" si="276"/>
        <v>5.1180801464909553E-3</v>
      </c>
      <c r="F1612">
        <v>1529.650024</v>
      </c>
      <c r="G1612">
        <f t="shared" si="277"/>
        <v>-1.5257316358950335E-2</v>
      </c>
      <c r="H1612">
        <v>911.40002440000001</v>
      </c>
      <c r="I1612">
        <f t="shared" si="278"/>
        <v>-7.1354515092841853E-3</v>
      </c>
      <c r="J1612">
        <v>1496.150024</v>
      </c>
      <c r="K1612">
        <f t="shared" si="279"/>
        <v>-3.728966871982653E-3</v>
      </c>
      <c r="L1612">
        <v>443.10000609999997</v>
      </c>
      <c r="M1612">
        <f t="shared" si="280"/>
        <v>-9.8323886033520047E-3</v>
      </c>
      <c r="N1612">
        <v>1132.349976</v>
      </c>
      <c r="O1612">
        <f t="shared" si="281"/>
        <v>-1.2040350487311113E-2</v>
      </c>
      <c r="P1612">
        <v>185.1000061</v>
      </c>
      <c r="Q1612">
        <f t="shared" si="282"/>
        <v>-8.5698490978389774E-3</v>
      </c>
      <c r="R1612">
        <v>620.45001219999995</v>
      </c>
      <c r="S1612">
        <f t="shared" si="283"/>
        <v>-1.0525437729703269E-2</v>
      </c>
      <c r="T1612">
        <v>3689.1000979999999</v>
      </c>
      <c r="U1612">
        <f t="shared" si="284"/>
        <v>5.8317770205063013E-4</v>
      </c>
      <c r="W1612">
        <f t="shared" si="285"/>
        <v>-6.5553801268905089E-3</v>
      </c>
      <c r="X1612">
        <v>1.1854652935439892E-2</v>
      </c>
    </row>
    <row r="1613" spans="1:24" x14ac:dyDescent="0.35">
      <c r="A1613" s="1">
        <v>45194</v>
      </c>
      <c r="B1613">
        <v>2340.4499510000001</v>
      </c>
      <c r="C1613">
        <f t="shared" si="275"/>
        <v>-6.1572433816874383E-3</v>
      </c>
      <c r="D1613">
        <v>3577.1499020000001</v>
      </c>
      <c r="E1613">
        <f t="shared" si="276"/>
        <v>-7.353655521667779E-3</v>
      </c>
      <c r="F1613">
        <v>1531</v>
      </c>
      <c r="G1613">
        <f t="shared" si="277"/>
        <v>8.8253912909430632E-4</v>
      </c>
      <c r="H1613">
        <v>910.40002440000001</v>
      </c>
      <c r="I1613">
        <f t="shared" si="278"/>
        <v>-1.0972130494053545E-3</v>
      </c>
      <c r="J1613">
        <v>1474.150024</v>
      </c>
      <c r="K1613">
        <f t="shared" si="279"/>
        <v>-1.4704407744607351E-2</v>
      </c>
      <c r="L1613">
        <v>442.60000609999997</v>
      </c>
      <c r="M1613">
        <f t="shared" si="280"/>
        <v>-1.1284134351539077E-3</v>
      </c>
      <c r="N1613">
        <v>1124.0500489999999</v>
      </c>
      <c r="O1613">
        <f t="shared" si="281"/>
        <v>-7.3298248561980417E-3</v>
      </c>
      <c r="P1613">
        <v>185.5</v>
      </c>
      <c r="Q1613">
        <f t="shared" si="282"/>
        <v>2.160961030892139E-3</v>
      </c>
      <c r="R1613">
        <v>618.70001219999995</v>
      </c>
      <c r="S1613">
        <f t="shared" si="283"/>
        <v>-2.8205334283012418E-3</v>
      </c>
      <c r="T1613">
        <v>3664.1000979999999</v>
      </c>
      <c r="U1613">
        <f t="shared" si="284"/>
        <v>-6.7767204293408545E-3</v>
      </c>
      <c r="W1613">
        <f t="shared" si="285"/>
        <v>-4.4324511686375523E-3</v>
      </c>
      <c r="X1613">
        <v>1.1884134604852981E-2</v>
      </c>
    </row>
    <row r="1614" spans="1:24" x14ac:dyDescent="0.35">
      <c r="A1614" s="1">
        <v>45195</v>
      </c>
      <c r="B1614">
        <v>2342.5</v>
      </c>
      <c r="C1614">
        <f t="shared" si="275"/>
        <v>8.7592088825649839E-4</v>
      </c>
      <c r="D1614">
        <v>3585.6999510000001</v>
      </c>
      <c r="E1614">
        <f t="shared" si="276"/>
        <v>2.3901847096816642E-3</v>
      </c>
      <c r="F1614">
        <v>1537.650024</v>
      </c>
      <c r="G1614">
        <f t="shared" si="277"/>
        <v>4.3435819725670122E-3</v>
      </c>
      <c r="H1614">
        <v>912.70001219999995</v>
      </c>
      <c r="I1614">
        <f t="shared" si="278"/>
        <v>2.5263485702515798E-3</v>
      </c>
      <c r="J1614">
        <v>1460.650024</v>
      </c>
      <c r="K1614">
        <f t="shared" si="279"/>
        <v>-9.1578196114454613E-3</v>
      </c>
      <c r="L1614">
        <v>442.4500122</v>
      </c>
      <c r="M1614">
        <f t="shared" si="280"/>
        <v>-3.3889267494968678E-4</v>
      </c>
      <c r="N1614">
        <v>1125.849976</v>
      </c>
      <c r="O1614">
        <f t="shared" si="281"/>
        <v>1.6012872394794986E-3</v>
      </c>
      <c r="P1614">
        <v>187.75</v>
      </c>
      <c r="Q1614">
        <f t="shared" si="282"/>
        <v>1.2129380053908401E-2</v>
      </c>
      <c r="R1614">
        <v>619.79998780000005</v>
      </c>
      <c r="S1614">
        <f t="shared" si="283"/>
        <v>1.7778819756100184E-3</v>
      </c>
      <c r="T1614">
        <v>3633.6000979999999</v>
      </c>
      <c r="U1614">
        <f t="shared" si="284"/>
        <v>-8.3240084015848703E-3</v>
      </c>
      <c r="W1614">
        <f t="shared" si="285"/>
        <v>7.8238647217746546E-4</v>
      </c>
      <c r="X1614">
        <v>1.1892427011205776E-2</v>
      </c>
    </row>
    <row r="1615" spans="1:24" x14ac:dyDescent="0.35">
      <c r="A1615" s="1">
        <v>45196</v>
      </c>
      <c r="B1615">
        <v>2368.8999020000001</v>
      </c>
      <c r="C1615">
        <f t="shared" si="275"/>
        <v>1.1269968836713051E-2</v>
      </c>
      <c r="D1615">
        <v>3589.3000489999999</v>
      </c>
      <c r="E1615">
        <f t="shared" si="276"/>
        <v>1.0040154082038288E-3</v>
      </c>
      <c r="F1615">
        <v>1526.849976</v>
      </c>
      <c r="G1615">
        <f t="shared" si="277"/>
        <v>-7.023736111228418E-3</v>
      </c>
      <c r="H1615">
        <v>920.25</v>
      </c>
      <c r="I1615">
        <f t="shared" si="278"/>
        <v>8.2721460491725907E-3</v>
      </c>
      <c r="J1615">
        <v>1467</v>
      </c>
      <c r="K1615">
        <f t="shared" si="279"/>
        <v>4.3473630888051229E-3</v>
      </c>
      <c r="L1615">
        <v>449.14999390000003</v>
      </c>
      <c r="M1615">
        <f t="shared" si="280"/>
        <v>1.5142912227950056E-2</v>
      </c>
      <c r="N1615">
        <v>1139.9499510000001</v>
      </c>
      <c r="O1615">
        <f t="shared" si="281"/>
        <v>1.2523848914662183E-2</v>
      </c>
      <c r="P1615">
        <v>187.25</v>
      </c>
      <c r="Q1615">
        <f t="shared" si="282"/>
        <v>-2.6631158455392434E-3</v>
      </c>
      <c r="R1615">
        <v>620.15002440000001</v>
      </c>
      <c r="S1615">
        <f t="shared" si="283"/>
        <v>5.6475735219430057E-4</v>
      </c>
      <c r="T1615">
        <v>3640.6999510000001</v>
      </c>
      <c r="U1615">
        <f t="shared" si="284"/>
        <v>1.9539445201766092E-3</v>
      </c>
      <c r="W1615">
        <f t="shared" si="285"/>
        <v>4.5392104441110076E-3</v>
      </c>
      <c r="X1615">
        <v>1.1931615996164904E-2</v>
      </c>
    </row>
    <row r="1616" spans="1:24" x14ac:dyDescent="0.35">
      <c r="A1616" s="1">
        <v>45197</v>
      </c>
      <c r="B1616">
        <v>2334.1000979999999</v>
      </c>
      <c r="C1616">
        <f t="shared" si="275"/>
        <v>-1.4690280484464413E-2</v>
      </c>
      <c r="D1616">
        <v>3536.75</v>
      </c>
      <c r="E1616">
        <f t="shared" si="276"/>
        <v>-1.4640751200123425E-2</v>
      </c>
      <c r="F1616">
        <v>1523.6999510000001</v>
      </c>
      <c r="G1616">
        <f t="shared" si="277"/>
        <v>-2.063087434596711E-3</v>
      </c>
      <c r="H1616">
        <v>925.65002440000001</v>
      </c>
      <c r="I1616">
        <f t="shared" si="278"/>
        <v>5.8679971746808945E-3</v>
      </c>
      <c r="J1616">
        <v>1439.4499510000001</v>
      </c>
      <c r="K1616">
        <f t="shared" si="279"/>
        <v>-1.8779856169052422E-2</v>
      </c>
      <c r="L1616">
        <v>440.75</v>
      </c>
      <c r="M1616">
        <f t="shared" si="280"/>
        <v>-1.8701979325575158E-2</v>
      </c>
      <c r="N1616">
        <v>1132.3000489999999</v>
      </c>
      <c r="O1616">
        <f t="shared" si="281"/>
        <v>-6.7107349698023455E-3</v>
      </c>
      <c r="P1616">
        <v>187.4499969</v>
      </c>
      <c r="Q1616">
        <f t="shared" si="282"/>
        <v>1.0680742323097014E-3</v>
      </c>
      <c r="R1616">
        <v>614.09997559999999</v>
      </c>
      <c r="S1616">
        <f t="shared" si="283"/>
        <v>-9.7557825718921354E-3</v>
      </c>
      <c r="T1616">
        <v>3671.0500489999999</v>
      </c>
      <c r="U1616">
        <f t="shared" si="284"/>
        <v>8.3363359816739369E-3</v>
      </c>
      <c r="W1616">
        <f t="shared" si="285"/>
        <v>-7.0070064766842083E-3</v>
      </c>
      <c r="X1616">
        <v>1.1980124606704324E-2</v>
      </c>
    </row>
    <row r="1617" spans="1:24" x14ac:dyDescent="0.35">
      <c r="A1617" s="1">
        <v>45198</v>
      </c>
      <c r="B1617">
        <v>2345</v>
      </c>
      <c r="C1617">
        <f t="shared" si="275"/>
        <v>4.6698519953534134E-3</v>
      </c>
      <c r="D1617">
        <v>3528.6000979999999</v>
      </c>
      <c r="E1617">
        <f t="shared" si="276"/>
        <v>-2.3043477769139065E-3</v>
      </c>
      <c r="F1617">
        <v>1526.3000489999999</v>
      </c>
      <c r="G1617">
        <f t="shared" si="277"/>
        <v>1.7064370175332577E-3</v>
      </c>
      <c r="H1617">
        <v>926.40002440000001</v>
      </c>
      <c r="I1617">
        <f t="shared" si="278"/>
        <v>8.1024143059482689E-4</v>
      </c>
      <c r="J1617">
        <v>1435.4499510000001</v>
      </c>
      <c r="K1617">
        <f t="shared" si="279"/>
        <v>-2.7788392345431401E-3</v>
      </c>
      <c r="L1617">
        <v>444.39999390000003</v>
      </c>
      <c r="M1617">
        <f t="shared" si="280"/>
        <v>8.2813247872943752E-3</v>
      </c>
      <c r="N1617">
        <v>1158.650024</v>
      </c>
      <c r="O1617">
        <f t="shared" si="281"/>
        <v>2.3271194789111993E-2</v>
      </c>
      <c r="P1617">
        <v>191.8500061</v>
      </c>
      <c r="Q1617">
        <f t="shared" si="282"/>
        <v>2.3472975581575017E-2</v>
      </c>
      <c r="R1617">
        <v>630.20001219999995</v>
      </c>
      <c r="S1617">
        <f t="shared" si="283"/>
        <v>2.6217289105523234E-2</v>
      </c>
      <c r="T1617">
        <v>3675.6000979999999</v>
      </c>
      <c r="U1617">
        <f t="shared" si="284"/>
        <v>1.2394407429121568E-3</v>
      </c>
      <c r="W1617">
        <f t="shared" si="285"/>
        <v>8.4585568438441238E-3</v>
      </c>
      <c r="X1617">
        <v>1.2006547987164674E-2</v>
      </c>
    </row>
    <row r="1618" spans="1:24" x14ac:dyDescent="0.35">
      <c r="A1618" s="1">
        <v>45202</v>
      </c>
      <c r="B1618">
        <v>2318.1499020000001</v>
      </c>
      <c r="C1618">
        <f t="shared" si="275"/>
        <v>-1.1449935181236603E-2</v>
      </c>
      <c r="D1618">
        <v>3513.8500979999999</v>
      </c>
      <c r="E1618">
        <f t="shared" si="276"/>
        <v>-4.1801279800338653E-3</v>
      </c>
      <c r="F1618">
        <v>1508.0500489999999</v>
      </c>
      <c r="G1618">
        <f t="shared" si="277"/>
        <v>-1.1957019861171481E-2</v>
      </c>
      <c r="H1618">
        <v>925.29998780000005</v>
      </c>
      <c r="I1618">
        <f t="shared" si="278"/>
        <v>-1.1874315317644824E-3</v>
      </c>
      <c r="J1618">
        <v>1434</v>
      </c>
      <c r="K1618">
        <f t="shared" si="279"/>
        <v>-1.010102093068399E-3</v>
      </c>
      <c r="L1618">
        <v>439.75</v>
      </c>
      <c r="M1618">
        <f t="shared" si="280"/>
        <v>-1.0463532771889272E-2</v>
      </c>
      <c r="N1618">
        <v>1141.4499510000001</v>
      </c>
      <c r="O1618">
        <f t="shared" si="281"/>
        <v>-1.4844925252424646E-2</v>
      </c>
      <c r="P1618">
        <v>184.6000061</v>
      </c>
      <c r="Q1618">
        <f t="shared" si="282"/>
        <v>-3.7789938855779859E-2</v>
      </c>
      <c r="R1618">
        <v>620.45001219999995</v>
      </c>
      <c r="S1618">
        <f t="shared" si="283"/>
        <v>-1.5471278659553112E-2</v>
      </c>
      <c r="T1618">
        <v>3725.6999510000001</v>
      </c>
      <c r="U1618">
        <f t="shared" si="284"/>
        <v>1.3630387328387839E-2</v>
      </c>
      <c r="W1618">
        <f t="shared" si="285"/>
        <v>-9.4723904858533894E-3</v>
      </c>
      <c r="X1618">
        <v>1.20572922969033E-2</v>
      </c>
    </row>
    <row r="1619" spans="1:24" x14ac:dyDescent="0.35">
      <c r="A1619" s="1">
        <v>45203</v>
      </c>
      <c r="B1619">
        <v>2314.1499020000001</v>
      </c>
      <c r="C1619">
        <f t="shared" si="275"/>
        <v>-1.7255139525484964E-3</v>
      </c>
      <c r="D1619">
        <v>3537.75</v>
      </c>
      <c r="E1619">
        <f t="shared" si="276"/>
        <v>6.8016282235838776E-3</v>
      </c>
      <c r="F1619">
        <v>1529.5500489999999</v>
      </c>
      <c r="G1619">
        <f t="shared" si="277"/>
        <v>1.4256821260180796E-2</v>
      </c>
      <c r="H1619">
        <v>924.25</v>
      </c>
      <c r="I1619">
        <f t="shared" si="278"/>
        <v>-1.1347539326099776E-3</v>
      </c>
      <c r="J1619">
        <v>1444.349976</v>
      </c>
      <c r="K1619">
        <f t="shared" si="279"/>
        <v>7.2175564853556029E-3</v>
      </c>
      <c r="L1619">
        <v>436.10000609999997</v>
      </c>
      <c r="M1619">
        <f t="shared" si="280"/>
        <v>-8.3001566799318915E-3</v>
      </c>
      <c r="N1619">
        <v>1123.8000489999999</v>
      </c>
      <c r="O1619">
        <f t="shared" si="281"/>
        <v>-1.5462703366483477E-2</v>
      </c>
      <c r="P1619">
        <v>182.75</v>
      </c>
      <c r="Q1619">
        <f t="shared" si="282"/>
        <v>-1.0021701185631726E-2</v>
      </c>
      <c r="R1619">
        <v>613.59997559999999</v>
      </c>
      <c r="S1619">
        <f t="shared" si="283"/>
        <v>-1.1040432694506719E-2</v>
      </c>
      <c r="T1619">
        <v>3872.9499510000001</v>
      </c>
      <c r="U1619">
        <f t="shared" si="284"/>
        <v>3.9522774763565582E-2</v>
      </c>
      <c r="W1619">
        <f t="shared" si="285"/>
        <v>2.0113518920973567E-3</v>
      </c>
      <c r="X1619">
        <v>1.2147246664931666E-2</v>
      </c>
    </row>
    <row r="1620" spans="1:24" x14ac:dyDescent="0.35">
      <c r="A1620" s="1">
        <v>45204</v>
      </c>
      <c r="B1620">
        <v>2314.1000979999999</v>
      </c>
      <c r="C1620">
        <f t="shared" si="275"/>
        <v>-2.1521509888877688E-5</v>
      </c>
      <c r="D1620">
        <v>3589.3500979999999</v>
      </c>
      <c r="E1620">
        <f t="shared" si="276"/>
        <v>1.4585569359055972E-2</v>
      </c>
      <c r="F1620">
        <v>1535.75</v>
      </c>
      <c r="G1620">
        <f t="shared" si="277"/>
        <v>4.0534476162146227E-3</v>
      </c>
      <c r="H1620">
        <v>928.84997559999999</v>
      </c>
      <c r="I1620">
        <f t="shared" si="278"/>
        <v>4.976981985393536E-3</v>
      </c>
      <c r="J1620">
        <v>1463.4499510000001</v>
      </c>
      <c r="K1620">
        <f t="shared" si="279"/>
        <v>1.3223924476321036E-2</v>
      </c>
      <c r="L1620">
        <v>436.0499878</v>
      </c>
      <c r="M1620">
        <f t="shared" si="280"/>
        <v>-1.1469456386226096E-4</v>
      </c>
      <c r="N1620">
        <v>1119.099976</v>
      </c>
      <c r="O1620">
        <f t="shared" si="281"/>
        <v>-4.1823036083530329E-3</v>
      </c>
      <c r="P1620">
        <v>182.1999969</v>
      </c>
      <c r="Q1620">
        <f t="shared" si="282"/>
        <v>-3.0095928864568577E-3</v>
      </c>
      <c r="R1620">
        <v>619.59997559999999</v>
      </c>
      <c r="S1620">
        <f t="shared" si="283"/>
        <v>9.7783576248238191E-3</v>
      </c>
      <c r="T1620">
        <v>3861.5</v>
      </c>
      <c r="U1620">
        <f t="shared" si="284"/>
        <v>-2.9563901276451476E-3</v>
      </c>
      <c r="W1620">
        <f t="shared" si="285"/>
        <v>3.6333778365602813E-3</v>
      </c>
      <c r="X1620">
        <v>1.2148358997652198E-2</v>
      </c>
    </row>
    <row r="1621" spans="1:24" x14ac:dyDescent="0.35">
      <c r="A1621" s="1">
        <v>45205</v>
      </c>
      <c r="B1621">
        <v>2318</v>
      </c>
      <c r="C1621">
        <f t="shared" si="275"/>
        <v>1.6852780065004236E-3</v>
      </c>
      <c r="D1621">
        <v>3621.3999020000001</v>
      </c>
      <c r="E1621">
        <f t="shared" si="276"/>
        <v>8.9291384582013134E-3</v>
      </c>
      <c r="F1621">
        <v>1534.0500489999999</v>
      </c>
      <c r="G1621">
        <f t="shared" si="277"/>
        <v>-1.1069190949047902E-3</v>
      </c>
      <c r="H1621">
        <v>926.04998780000005</v>
      </c>
      <c r="I1621">
        <f t="shared" si="278"/>
        <v>-3.0144672159690966E-3</v>
      </c>
      <c r="J1621">
        <v>1478.6999510000001</v>
      </c>
      <c r="K1621">
        <f t="shared" si="279"/>
        <v>1.042058185152106E-2</v>
      </c>
      <c r="L1621">
        <v>442.14999390000003</v>
      </c>
      <c r="M1621">
        <f t="shared" si="280"/>
        <v>1.3989235800180522E-2</v>
      </c>
      <c r="N1621">
        <v>1127.3000489999999</v>
      </c>
      <c r="O1621">
        <f t="shared" si="281"/>
        <v>7.3273819818220343E-3</v>
      </c>
      <c r="P1621">
        <v>181.4499969</v>
      </c>
      <c r="Q1621">
        <f t="shared" si="282"/>
        <v>-4.1163557231652659E-3</v>
      </c>
      <c r="R1621">
        <v>622.45001219999995</v>
      </c>
      <c r="S1621">
        <f t="shared" si="283"/>
        <v>4.5998010203922579E-3</v>
      </c>
      <c r="T1621">
        <v>3833.9499510000001</v>
      </c>
      <c r="U1621">
        <f t="shared" si="284"/>
        <v>-7.1345459018515855E-3</v>
      </c>
      <c r="W1621">
        <f t="shared" si="285"/>
        <v>3.1579129182726872E-3</v>
      </c>
      <c r="X1621">
        <v>1.2232711894012984E-2</v>
      </c>
    </row>
    <row r="1622" spans="1:24" x14ac:dyDescent="0.35">
      <c r="A1622" s="1">
        <v>45208</v>
      </c>
      <c r="B1622">
        <v>2298.25</v>
      </c>
      <c r="C1622">
        <f t="shared" si="275"/>
        <v>-8.5202761000863214E-3</v>
      </c>
      <c r="D1622">
        <v>3638.3500979999999</v>
      </c>
      <c r="E1622">
        <f t="shared" si="276"/>
        <v>4.6805645492613568E-3</v>
      </c>
      <c r="F1622">
        <v>1516.25</v>
      </c>
      <c r="G1622">
        <f t="shared" si="277"/>
        <v>-1.1603303954524358E-2</v>
      </c>
      <c r="H1622">
        <v>924.54998780000005</v>
      </c>
      <c r="I1622">
        <f t="shared" si="278"/>
        <v>-1.6197829704241995E-3</v>
      </c>
      <c r="J1622">
        <v>1475.4499510000001</v>
      </c>
      <c r="K1622">
        <f t="shared" si="279"/>
        <v>-2.1978765859849148E-3</v>
      </c>
      <c r="L1622">
        <v>440.4500122</v>
      </c>
      <c r="M1622">
        <f t="shared" si="280"/>
        <v>-3.84480769750839E-3</v>
      </c>
      <c r="N1622">
        <v>1123.0500489999999</v>
      </c>
      <c r="O1622">
        <f t="shared" si="281"/>
        <v>-3.7700699150772232E-3</v>
      </c>
      <c r="P1622">
        <v>181.6999969</v>
      </c>
      <c r="Q1622">
        <f t="shared" si="282"/>
        <v>1.3777900483391559E-3</v>
      </c>
      <c r="R1622">
        <v>617.34997559999999</v>
      </c>
      <c r="S1622">
        <f t="shared" si="283"/>
        <v>-8.1934878304110725E-3</v>
      </c>
      <c r="T1622">
        <v>3798.6000979999999</v>
      </c>
      <c r="U1622">
        <f t="shared" si="284"/>
        <v>-9.2202176480629117E-3</v>
      </c>
      <c r="W1622">
        <f t="shared" si="285"/>
        <v>-4.2911468104478876E-3</v>
      </c>
      <c r="X1622">
        <v>1.2237300509484461E-2</v>
      </c>
    </row>
    <row r="1623" spans="1:24" x14ac:dyDescent="0.35">
      <c r="A1623" s="1">
        <v>45209</v>
      </c>
      <c r="B1623">
        <v>2308.3999020000001</v>
      </c>
      <c r="C1623">
        <f t="shared" si="275"/>
        <v>4.416361144349068E-3</v>
      </c>
      <c r="D1623">
        <v>3628.8999020000001</v>
      </c>
      <c r="E1623">
        <f t="shared" si="276"/>
        <v>-2.5973850084395345E-3</v>
      </c>
      <c r="F1623">
        <v>1524.849976</v>
      </c>
      <c r="G1623">
        <f t="shared" si="277"/>
        <v>5.6718720527617617E-3</v>
      </c>
      <c r="H1623">
        <v>948.34997559999999</v>
      </c>
      <c r="I1623">
        <f t="shared" si="278"/>
        <v>2.5742240132015759E-2</v>
      </c>
      <c r="J1623">
        <v>1495.150024</v>
      </c>
      <c r="K1623">
        <f t="shared" si="279"/>
        <v>1.3351908674806623E-2</v>
      </c>
      <c r="L1623">
        <v>444.39999390000003</v>
      </c>
      <c r="M1623">
        <f t="shared" si="280"/>
        <v>8.9680590091718582E-3</v>
      </c>
      <c r="N1623">
        <v>1126.5</v>
      </c>
      <c r="O1623">
        <f t="shared" si="281"/>
        <v>3.0719476866343243E-3</v>
      </c>
      <c r="P1623">
        <v>183.5</v>
      </c>
      <c r="Q1623">
        <f t="shared" si="282"/>
        <v>9.9064564155753043E-3</v>
      </c>
      <c r="R1623">
        <v>630.54998780000005</v>
      </c>
      <c r="S1623">
        <f t="shared" si="283"/>
        <v>2.1381732763771533E-2</v>
      </c>
      <c r="T1623">
        <v>3793.8000489999999</v>
      </c>
      <c r="U1623">
        <f t="shared" si="284"/>
        <v>-1.2636363071035772E-3</v>
      </c>
      <c r="W1623">
        <f t="shared" si="285"/>
        <v>8.8649556563543119E-3</v>
      </c>
      <c r="X1623">
        <v>1.2262321907029528E-2</v>
      </c>
    </row>
    <row r="1624" spans="1:24" x14ac:dyDescent="0.35">
      <c r="A1624" s="1">
        <v>45210</v>
      </c>
      <c r="B1624">
        <v>2345.0500489999999</v>
      </c>
      <c r="C1624">
        <f t="shared" si="275"/>
        <v>1.5876862136515513E-2</v>
      </c>
      <c r="D1624">
        <v>3609.8999020000001</v>
      </c>
      <c r="E1624">
        <f t="shared" si="276"/>
        <v>-5.2357465108168189E-3</v>
      </c>
      <c r="F1624">
        <v>1539.599976</v>
      </c>
      <c r="G1624">
        <f t="shared" si="277"/>
        <v>9.6730827505353556E-3</v>
      </c>
      <c r="H1624">
        <v>955.59997559999999</v>
      </c>
      <c r="I1624">
        <f t="shared" si="278"/>
        <v>7.6448570533393934E-3</v>
      </c>
      <c r="J1624">
        <v>1494.400024</v>
      </c>
      <c r="K1624">
        <f t="shared" si="279"/>
        <v>-5.0162190279312568E-4</v>
      </c>
      <c r="L1624">
        <v>448.25</v>
      </c>
      <c r="M1624">
        <f t="shared" si="280"/>
        <v>8.6633801819229195E-3</v>
      </c>
      <c r="N1624">
        <v>1128.75</v>
      </c>
      <c r="O1624">
        <f t="shared" si="281"/>
        <v>1.997336884154377E-3</v>
      </c>
      <c r="P1624">
        <v>183.25</v>
      </c>
      <c r="Q1624">
        <f t="shared" si="282"/>
        <v>-1.3623978201634523E-3</v>
      </c>
      <c r="R1624">
        <v>634</v>
      </c>
      <c r="S1624">
        <f t="shared" si="283"/>
        <v>5.4714332991061543E-3</v>
      </c>
      <c r="T1624">
        <v>3852.0500489999999</v>
      </c>
      <c r="U1624">
        <f t="shared" si="284"/>
        <v>1.5353998431033355E-2</v>
      </c>
      <c r="W1624">
        <f t="shared" si="285"/>
        <v>5.7581184502833675E-3</v>
      </c>
      <c r="X1624">
        <v>1.2314488019481741E-2</v>
      </c>
    </row>
    <row r="1625" spans="1:24" x14ac:dyDescent="0.35">
      <c r="A1625" s="1">
        <v>45211</v>
      </c>
      <c r="B1625">
        <v>2349.3999020000001</v>
      </c>
      <c r="C1625">
        <f t="shared" si="275"/>
        <v>1.8549083853689474E-3</v>
      </c>
      <c r="D1625">
        <v>3542.5500489999999</v>
      </c>
      <c r="E1625">
        <f t="shared" si="276"/>
        <v>-1.8656986295571887E-2</v>
      </c>
      <c r="F1625">
        <v>1549.849976</v>
      </c>
      <c r="G1625">
        <f t="shared" si="277"/>
        <v>6.6575734994684943E-3</v>
      </c>
      <c r="H1625">
        <v>950.34997559999999</v>
      </c>
      <c r="I1625">
        <f t="shared" si="278"/>
        <v>-5.4939306551401446E-3</v>
      </c>
      <c r="J1625">
        <v>1465.5</v>
      </c>
      <c r="K1625">
        <f t="shared" si="279"/>
        <v>-1.9338880845735318E-2</v>
      </c>
      <c r="L1625">
        <v>450.7000122</v>
      </c>
      <c r="M1625">
        <f t="shared" si="280"/>
        <v>5.4657271611824321E-3</v>
      </c>
      <c r="N1625">
        <v>1130.400024</v>
      </c>
      <c r="O1625">
        <f t="shared" si="281"/>
        <v>1.4618152823919761E-3</v>
      </c>
      <c r="P1625">
        <v>184.4499969</v>
      </c>
      <c r="Q1625">
        <f t="shared" si="282"/>
        <v>6.5484141882674596E-3</v>
      </c>
      <c r="R1625">
        <v>636.95001219999995</v>
      </c>
      <c r="S1625">
        <f t="shared" si="283"/>
        <v>4.6530160883280214E-3</v>
      </c>
      <c r="T1625">
        <v>3862.75</v>
      </c>
      <c r="U1625">
        <f t="shared" si="284"/>
        <v>2.7777289661066185E-3</v>
      </c>
      <c r="W1625">
        <f t="shared" si="285"/>
        <v>-1.4070614225333395E-3</v>
      </c>
      <c r="X1625">
        <v>1.2388331985784574E-2</v>
      </c>
    </row>
    <row r="1626" spans="1:24" x14ac:dyDescent="0.35">
      <c r="A1626" s="1">
        <v>45212</v>
      </c>
      <c r="B1626">
        <v>2349.3000489999999</v>
      </c>
      <c r="C1626">
        <f t="shared" si="275"/>
        <v>-4.250149151496796E-5</v>
      </c>
      <c r="D1626">
        <v>3570.8500979999999</v>
      </c>
      <c r="E1626">
        <f t="shared" si="276"/>
        <v>7.9886095068688601E-3</v>
      </c>
      <c r="F1626">
        <v>1535.75</v>
      </c>
      <c r="G1626">
        <f t="shared" si="277"/>
        <v>-9.0976392672473816E-3</v>
      </c>
      <c r="H1626">
        <v>954.20001219999995</v>
      </c>
      <c r="I1626">
        <f t="shared" si="278"/>
        <v>4.051177670172823E-3</v>
      </c>
      <c r="J1626">
        <v>1431.150024</v>
      </c>
      <c r="K1626">
        <f t="shared" si="279"/>
        <v>-2.34390829068577E-2</v>
      </c>
      <c r="L1626">
        <v>448.35000609999997</v>
      </c>
      <c r="M1626">
        <f t="shared" si="280"/>
        <v>-5.2141247756549713E-3</v>
      </c>
      <c r="N1626">
        <v>1145.3000489999999</v>
      </c>
      <c r="O1626">
        <f t="shared" si="281"/>
        <v>1.3181196641588011E-2</v>
      </c>
      <c r="P1626">
        <v>184.8999939</v>
      </c>
      <c r="Q1626">
        <f t="shared" si="282"/>
        <v>2.4396693280726023E-3</v>
      </c>
      <c r="R1626">
        <v>667.09997559999999</v>
      </c>
      <c r="S1626">
        <f t="shared" si="283"/>
        <v>4.7334897280028709E-2</v>
      </c>
      <c r="T1626">
        <v>3935.8500979999999</v>
      </c>
      <c r="U1626">
        <f t="shared" si="284"/>
        <v>1.8924366837097972E-2</v>
      </c>
      <c r="W1626">
        <f t="shared" si="285"/>
        <v>5.6126568822553961E-3</v>
      </c>
      <c r="X1626">
        <v>1.243884017631911E-2</v>
      </c>
    </row>
    <row r="1627" spans="1:24" x14ac:dyDescent="0.35">
      <c r="A1627" s="1">
        <v>45215</v>
      </c>
      <c r="B1627">
        <v>2344.0500489999999</v>
      </c>
      <c r="C1627">
        <f t="shared" si="275"/>
        <v>-2.2347081643465661E-3</v>
      </c>
      <c r="D1627">
        <v>3524.0500489999999</v>
      </c>
      <c r="E1627">
        <f t="shared" si="276"/>
        <v>-1.3106136554489445E-2</v>
      </c>
      <c r="F1627">
        <v>1529.599976</v>
      </c>
      <c r="G1627">
        <f t="shared" si="277"/>
        <v>-4.0045736610776483E-3</v>
      </c>
      <c r="H1627">
        <v>946.54998780000005</v>
      </c>
      <c r="I1627">
        <f t="shared" si="278"/>
        <v>-8.0172126411547362E-3</v>
      </c>
      <c r="J1627">
        <v>1434.150024</v>
      </c>
      <c r="K1627">
        <f t="shared" si="279"/>
        <v>2.0962162943722884E-3</v>
      </c>
      <c r="L1627">
        <v>448.9500122</v>
      </c>
      <c r="M1627">
        <f t="shared" si="280"/>
        <v>1.3382538013531065E-3</v>
      </c>
      <c r="N1627">
        <v>1135.3000489999999</v>
      </c>
      <c r="O1627">
        <f t="shared" si="281"/>
        <v>-8.7313363941015076E-3</v>
      </c>
      <c r="P1627">
        <v>186.5500031</v>
      </c>
      <c r="Q1627">
        <f t="shared" si="282"/>
        <v>8.9237926145762092E-3</v>
      </c>
      <c r="R1627">
        <v>666.20001219999995</v>
      </c>
      <c r="S1627">
        <f t="shared" si="283"/>
        <v>-1.349068255010244E-3</v>
      </c>
      <c r="T1627">
        <v>3856.8000489999999</v>
      </c>
      <c r="U1627">
        <f t="shared" si="284"/>
        <v>-2.0084618832452272E-2</v>
      </c>
      <c r="W1627">
        <f t="shared" si="285"/>
        <v>-4.5169391792330826E-3</v>
      </c>
      <c r="X1627">
        <v>1.2504515802343397E-2</v>
      </c>
    </row>
    <row r="1628" spans="1:24" x14ac:dyDescent="0.35">
      <c r="A1628" s="1">
        <v>45216</v>
      </c>
      <c r="B1628">
        <v>2355.25</v>
      </c>
      <c r="C1628">
        <f t="shared" si="275"/>
        <v>4.7780340717460401E-3</v>
      </c>
      <c r="D1628">
        <v>3507.0500489999999</v>
      </c>
      <c r="E1628">
        <f t="shared" si="276"/>
        <v>-4.8239950521770103E-3</v>
      </c>
      <c r="F1628">
        <v>1541.1999510000001</v>
      </c>
      <c r="G1628">
        <f t="shared" si="277"/>
        <v>7.5836657832166754E-3</v>
      </c>
      <c r="H1628">
        <v>953.65002440000001</v>
      </c>
      <c r="I1628">
        <f t="shared" si="278"/>
        <v>7.5009631731146609E-3</v>
      </c>
      <c r="J1628">
        <v>1442.4499510000001</v>
      </c>
      <c r="K1628">
        <f t="shared" si="279"/>
        <v>5.7873492041304875E-3</v>
      </c>
      <c r="L1628">
        <v>453.4500122</v>
      </c>
      <c r="M1628">
        <f t="shared" si="280"/>
        <v>1.002338763273114E-2</v>
      </c>
      <c r="N1628">
        <v>1136.8000489999999</v>
      </c>
      <c r="O1628">
        <f t="shared" si="281"/>
        <v>1.3212366205050952E-3</v>
      </c>
      <c r="P1628">
        <v>186.25</v>
      </c>
      <c r="Q1628">
        <f t="shared" si="282"/>
        <v>-1.6081645404164568E-3</v>
      </c>
      <c r="R1628">
        <v>655.70001219999995</v>
      </c>
      <c r="S1628">
        <f t="shared" si="283"/>
        <v>-1.5761032434277067E-2</v>
      </c>
      <c r="T1628">
        <v>3842.8500979999999</v>
      </c>
      <c r="U1628">
        <f t="shared" si="284"/>
        <v>-3.6169754259407494E-3</v>
      </c>
      <c r="W1628">
        <f t="shared" si="285"/>
        <v>1.118446903263282E-3</v>
      </c>
      <c r="X1628">
        <v>1.2549959481889219E-2</v>
      </c>
    </row>
    <row r="1629" spans="1:24" x14ac:dyDescent="0.35">
      <c r="A1629" s="1">
        <v>45217</v>
      </c>
      <c r="B1629">
        <v>2324</v>
      </c>
      <c r="C1629">
        <f t="shared" si="275"/>
        <v>-1.3268230548774018E-2</v>
      </c>
      <c r="D1629">
        <v>3487.25</v>
      </c>
      <c r="E1629">
        <f t="shared" si="276"/>
        <v>-5.6457845549269248E-3</v>
      </c>
      <c r="F1629">
        <v>1519.75</v>
      </c>
      <c r="G1629">
        <f t="shared" si="277"/>
        <v>-1.3917695096007709E-2</v>
      </c>
      <c r="H1629">
        <v>952.84997559999999</v>
      </c>
      <c r="I1629">
        <f t="shared" si="278"/>
        <v>-8.3893333983120488E-4</v>
      </c>
      <c r="J1629">
        <v>1440.5500489999999</v>
      </c>
      <c r="K1629">
        <f t="shared" si="279"/>
        <v>-1.3171354740474372E-3</v>
      </c>
      <c r="L1629">
        <v>451.64999390000003</v>
      </c>
      <c r="M1629">
        <f t="shared" si="280"/>
        <v>-3.9696069060993766E-3</v>
      </c>
      <c r="N1629">
        <v>1153.400024</v>
      </c>
      <c r="O1629">
        <f t="shared" si="281"/>
        <v>1.4602370060242675E-2</v>
      </c>
      <c r="P1629">
        <v>186.9499969</v>
      </c>
      <c r="Q1629">
        <f t="shared" si="282"/>
        <v>3.7583726174497123E-3</v>
      </c>
      <c r="R1629">
        <v>668.5</v>
      </c>
      <c r="S1629">
        <f t="shared" si="283"/>
        <v>1.9521103495260927E-2</v>
      </c>
      <c r="T1629">
        <v>3795.9499510000001</v>
      </c>
      <c r="U1629">
        <f t="shared" si="284"/>
        <v>-1.2204521593077167E-2</v>
      </c>
      <c r="W1629">
        <f t="shared" si="285"/>
        <v>-1.3280061339810524E-3</v>
      </c>
      <c r="X1629">
        <v>1.2593597762539677E-2</v>
      </c>
    </row>
    <row r="1630" spans="1:24" x14ac:dyDescent="0.35">
      <c r="A1630" s="1">
        <v>45218</v>
      </c>
      <c r="B1630">
        <v>2306.1499020000001</v>
      </c>
      <c r="C1630">
        <f t="shared" si="275"/>
        <v>-7.6807650602409572E-3</v>
      </c>
      <c r="D1630">
        <v>3455.6499020000001</v>
      </c>
      <c r="E1630">
        <f t="shared" si="276"/>
        <v>-9.061609577747487E-3</v>
      </c>
      <c r="F1630">
        <v>1514.9499510000001</v>
      </c>
      <c r="G1630">
        <f t="shared" si="277"/>
        <v>-3.1584464550089564E-3</v>
      </c>
      <c r="H1630">
        <v>942.95001219999995</v>
      </c>
      <c r="I1630">
        <f t="shared" si="278"/>
        <v>-1.03898448376053E-2</v>
      </c>
      <c r="J1630">
        <v>1433.650024</v>
      </c>
      <c r="K1630">
        <f t="shared" si="279"/>
        <v>-4.789854406509364E-3</v>
      </c>
      <c r="L1630">
        <v>450.39999390000003</v>
      </c>
      <c r="M1630">
        <f t="shared" si="280"/>
        <v>-2.7676298392174115E-3</v>
      </c>
      <c r="N1630">
        <v>1141.5</v>
      </c>
      <c r="O1630">
        <f t="shared" si="281"/>
        <v>-1.0317343291471937E-2</v>
      </c>
      <c r="P1630">
        <v>186.3000031</v>
      </c>
      <c r="Q1630">
        <f t="shared" si="282"/>
        <v>-3.4768323657565769E-3</v>
      </c>
      <c r="R1630">
        <v>668.79998780000005</v>
      </c>
      <c r="S1630">
        <f t="shared" si="283"/>
        <v>4.4874764397917488E-4</v>
      </c>
      <c r="T1630">
        <v>3766.8500979999999</v>
      </c>
      <c r="U1630">
        <f t="shared" si="284"/>
        <v>-7.6660265218549961E-3</v>
      </c>
      <c r="W1630">
        <f t="shared" si="285"/>
        <v>-5.8859604711433821E-3</v>
      </c>
      <c r="X1630">
        <v>1.2613899750576196E-2</v>
      </c>
    </row>
    <row r="1631" spans="1:24" x14ac:dyDescent="0.35">
      <c r="A1631" s="1">
        <v>45219</v>
      </c>
      <c r="B1631">
        <v>2299.1000979999999</v>
      </c>
      <c r="C1631">
        <f t="shared" si="275"/>
        <v>-3.056958263591758E-3</v>
      </c>
      <c r="D1631">
        <v>3494.5500489999999</v>
      </c>
      <c r="E1631">
        <f t="shared" si="276"/>
        <v>1.125696991974956E-2</v>
      </c>
      <c r="F1631">
        <v>1522.8000489999999</v>
      </c>
      <c r="G1631">
        <f t="shared" si="277"/>
        <v>5.1817540208625168E-3</v>
      </c>
      <c r="H1631">
        <v>945.20001219999995</v>
      </c>
      <c r="I1631">
        <f t="shared" si="278"/>
        <v>2.3861286079740474E-3</v>
      </c>
      <c r="J1631">
        <v>1427.25</v>
      </c>
      <c r="K1631">
        <f t="shared" si="279"/>
        <v>-4.464146683542336E-3</v>
      </c>
      <c r="L1631">
        <v>438.2999878</v>
      </c>
      <c r="M1631">
        <f t="shared" si="280"/>
        <v>-2.686502278835845E-2</v>
      </c>
      <c r="N1631">
        <v>1142.1999510000001</v>
      </c>
      <c r="O1631">
        <f t="shared" si="281"/>
        <v>6.1318528252307658E-4</v>
      </c>
      <c r="P1631">
        <v>186.1999969</v>
      </c>
      <c r="Q1631">
        <f t="shared" si="282"/>
        <v>-5.3680192343485977E-4</v>
      </c>
      <c r="R1631">
        <v>663.20001219999995</v>
      </c>
      <c r="S1631">
        <f t="shared" si="283"/>
        <v>-8.3731694111135457E-3</v>
      </c>
      <c r="T1631">
        <v>3749.5</v>
      </c>
      <c r="U1631">
        <f t="shared" si="284"/>
        <v>-4.6059964024615097E-3</v>
      </c>
      <c r="W1631">
        <f t="shared" si="285"/>
        <v>-2.8464057641393267E-3</v>
      </c>
      <c r="X1631">
        <v>1.2656970402531198E-2</v>
      </c>
    </row>
    <row r="1632" spans="1:24" x14ac:dyDescent="0.35">
      <c r="A1632" s="1">
        <v>45222</v>
      </c>
      <c r="B1632">
        <v>2263.1999510000001</v>
      </c>
      <c r="C1632">
        <f t="shared" si="275"/>
        <v>-1.5614869066044368E-2</v>
      </c>
      <c r="D1632">
        <v>3410.1499020000001</v>
      </c>
      <c r="E1632">
        <f t="shared" si="276"/>
        <v>-2.4151935389837065E-2</v>
      </c>
      <c r="F1632">
        <v>1506.0500489999999</v>
      </c>
      <c r="G1632">
        <f t="shared" si="277"/>
        <v>-1.0999474298020617E-2</v>
      </c>
      <c r="H1632">
        <v>939.29998780000005</v>
      </c>
      <c r="I1632">
        <f t="shared" si="278"/>
        <v>-6.2420909054659024E-3</v>
      </c>
      <c r="J1632">
        <v>1408.650024</v>
      </c>
      <c r="K1632">
        <f t="shared" si="279"/>
        <v>-1.3032037834997401E-2</v>
      </c>
      <c r="L1632">
        <v>435.89999390000003</v>
      </c>
      <c r="M1632">
        <f t="shared" si="280"/>
        <v>-5.4756878092707684E-3</v>
      </c>
      <c r="N1632">
        <v>1122.4499510000001</v>
      </c>
      <c r="O1632">
        <f t="shared" si="281"/>
        <v>-1.7291193177436881E-2</v>
      </c>
      <c r="P1632">
        <v>184.8500061</v>
      </c>
      <c r="Q1632">
        <f t="shared" si="282"/>
        <v>-7.2502192399338528E-3</v>
      </c>
      <c r="R1632">
        <v>647.34997559999999</v>
      </c>
      <c r="S1632">
        <f t="shared" si="283"/>
        <v>-2.3899330983757738E-2</v>
      </c>
      <c r="T1632">
        <v>3668.9499510000001</v>
      </c>
      <c r="U1632">
        <f t="shared" si="284"/>
        <v>-2.1482877450326732E-2</v>
      </c>
      <c r="W1632">
        <f t="shared" si="285"/>
        <v>-1.4543971615509133E-2</v>
      </c>
      <c r="X1632">
        <v>1.2763221192815789E-2</v>
      </c>
    </row>
    <row r="1633" spans="1:24" x14ac:dyDescent="0.35">
      <c r="A1633" s="1">
        <v>45224</v>
      </c>
      <c r="B1633">
        <v>2257.9499510000001</v>
      </c>
      <c r="C1633">
        <f t="shared" si="275"/>
        <v>-2.3197243344231788E-3</v>
      </c>
      <c r="D1633">
        <v>3390.1000979999999</v>
      </c>
      <c r="E1633">
        <f t="shared" si="276"/>
        <v>-5.8794494600490355E-3</v>
      </c>
      <c r="F1633">
        <v>1496.5</v>
      </c>
      <c r="G1633">
        <f t="shared" si="277"/>
        <v>-6.3411232623650227E-3</v>
      </c>
      <c r="H1633">
        <v>922.59997559999999</v>
      </c>
      <c r="I1633">
        <f t="shared" si="278"/>
        <v>-1.7779210493885311E-2</v>
      </c>
      <c r="J1633">
        <v>1370.0500489999999</v>
      </c>
      <c r="K1633">
        <f t="shared" si="279"/>
        <v>-2.7402104385297665E-2</v>
      </c>
      <c r="L1633">
        <v>432.7000122</v>
      </c>
      <c r="M1633">
        <f t="shared" si="280"/>
        <v>-7.3410914080768164E-3</v>
      </c>
      <c r="N1633">
        <v>1120.3000489999999</v>
      </c>
      <c r="O1633">
        <f t="shared" si="281"/>
        <v>-1.9153655787367274E-3</v>
      </c>
      <c r="P1633">
        <v>184.3500061</v>
      </c>
      <c r="Q1633">
        <f t="shared" si="282"/>
        <v>-2.7048957722485278E-3</v>
      </c>
      <c r="R1633">
        <v>637.84997559999999</v>
      </c>
      <c r="S1633">
        <f t="shared" si="283"/>
        <v>-1.4675214888507315E-2</v>
      </c>
      <c r="T1633">
        <v>3740.5500489999999</v>
      </c>
      <c r="U1633">
        <f t="shared" si="284"/>
        <v>1.9515147101007768E-2</v>
      </c>
      <c r="W1633">
        <f t="shared" si="285"/>
        <v>-6.6843032482581839E-3</v>
      </c>
      <c r="X1633">
        <v>1.2773156306454836E-2</v>
      </c>
    </row>
    <row r="1634" spans="1:24" x14ac:dyDescent="0.35">
      <c r="A1634" s="1">
        <v>45225</v>
      </c>
      <c r="B1634">
        <v>2226.5</v>
      </c>
      <c r="C1634">
        <f t="shared" si="275"/>
        <v>-1.3928542121171228E-2</v>
      </c>
      <c r="D1634">
        <v>3336.75</v>
      </c>
      <c r="E1634">
        <f t="shared" si="276"/>
        <v>-1.5737027361367284E-2</v>
      </c>
      <c r="F1634">
        <v>1463.400024</v>
      </c>
      <c r="G1634">
        <f t="shared" si="277"/>
        <v>-2.2118259939859608E-2</v>
      </c>
      <c r="H1634">
        <v>905.5</v>
      </c>
      <c r="I1634">
        <f t="shared" si="278"/>
        <v>-1.8534550240887682E-2</v>
      </c>
      <c r="J1634">
        <v>1359.4499510000001</v>
      </c>
      <c r="K1634">
        <f t="shared" si="279"/>
        <v>-7.7370151606774851E-3</v>
      </c>
      <c r="L1634">
        <v>434.35000609999997</v>
      </c>
      <c r="M1634">
        <f t="shared" si="280"/>
        <v>3.8132513369038001E-3</v>
      </c>
      <c r="N1634">
        <v>1103.6999510000001</v>
      </c>
      <c r="O1634">
        <f t="shared" si="281"/>
        <v>-1.4817546437507878E-2</v>
      </c>
      <c r="P1634">
        <v>180.8999939</v>
      </c>
      <c r="Q1634">
        <f t="shared" si="282"/>
        <v>-1.8714467512024657E-2</v>
      </c>
      <c r="R1634">
        <v>626.54998780000005</v>
      </c>
      <c r="S1634">
        <f t="shared" si="283"/>
        <v>-1.7715745445267883E-2</v>
      </c>
      <c r="T1634">
        <v>3684.6499020000001</v>
      </c>
      <c r="U1634">
        <f t="shared" si="284"/>
        <v>-1.494436547238398E-2</v>
      </c>
      <c r="W1634">
        <f t="shared" si="285"/>
        <v>-1.4043426835424389E-2</v>
      </c>
      <c r="X1634">
        <v>1.2800389791916479E-2</v>
      </c>
    </row>
    <row r="1635" spans="1:24" x14ac:dyDescent="0.35">
      <c r="A1635" s="1">
        <v>45226</v>
      </c>
      <c r="B1635">
        <v>2265.8000489999999</v>
      </c>
      <c r="C1635">
        <f t="shared" si="275"/>
        <v>1.7651043790702925E-2</v>
      </c>
      <c r="D1635">
        <v>3350.9499510000001</v>
      </c>
      <c r="E1635">
        <f t="shared" si="276"/>
        <v>4.2556232861317156E-3</v>
      </c>
      <c r="F1635">
        <v>1469.150024</v>
      </c>
      <c r="G1635">
        <f t="shared" si="277"/>
        <v>3.9292058942865804E-3</v>
      </c>
      <c r="H1635">
        <v>914.59997559999999</v>
      </c>
      <c r="I1635">
        <f t="shared" si="278"/>
        <v>1.0049669353948021E-2</v>
      </c>
      <c r="J1635">
        <v>1380.349976</v>
      </c>
      <c r="K1635">
        <f t="shared" si="279"/>
        <v>1.5373883374394159E-2</v>
      </c>
      <c r="L1635">
        <v>433.75</v>
      </c>
      <c r="M1635">
        <f t="shared" si="280"/>
        <v>-1.3813884921687336E-3</v>
      </c>
      <c r="N1635">
        <v>1111.3000489999999</v>
      </c>
      <c r="O1635">
        <f t="shared" si="281"/>
        <v>6.8860182453698293E-3</v>
      </c>
      <c r="P1635">
        <v>184.75</v>
      </c>
      <c r="Q1635">
        <f t="shared" si="282"/>
        <v>2.1282510944296895E-2</v>
      </c>
      <c r="R1635">
        <v>641.04998780000005</v>
      </c>
      <c r="S1635">
        <f t="shared" si="283"/>
        <v>2.3142606786912046E-2</v>
      </c>
      <c r="T1635">
        <v>3665.4499510000001</v>
      </c>
      <c r="U1635">
        <f t="shared" si="284"/>
        <v>-5.2107938367709217E-3</v>
      </c>
      <c r="W1635">
        <f t="shared" si="285"/>
        <v>9.5978379347102499E-3</v>
      </c>
      <c r="X1635">
        <v>1.281646402469332E-2</v>
      </c>
    </row>
    <row r="1636" spans="1:24" x14ac:dyDescent="0.35">
      <c r="A1636" s="1">
        <v>45229</v>
      </c>
      <c r="B1636">
        <v>2312.5</v>
      </c>
      <c r="C1636">
        <f t="shared" si="275"/>
        <v>2.0610799713156824E-2</v>
      </c>
      <c r="D1636">
        <v>3378.5500489999999</v>
      </c>
      <c r="E1636">
        <f t="shared" si="276"/>
        <v>8.2364996205817054E-3</v>
      </c>
      <c r="F1636">
        <v>1485.099976</v>
      </c>
      <c r="G1636">
        <f t="shared" si="277"/>
        <v>1.0856584922875001E-2</v>
      </c>
      <c r="H1636">
        <v>926.25</v>
      </c>
      <c r="I1636">
        <f t="shared" si="278"/>
        <v>1.273783589635169E-2</v>
      </c>
      <c r="J1636">
        <v>1377.0500489999999</v>
      </c>
      <c r="K1636">
        <f t="shared" si="279"/>
        <v>-2.3906451678019636E-3</v>
      </c>
      <c r="L1636">
        <v>430.4500122</v>
      </c>
      <c r="M1636">
        <f t="shared" si="280"/>
        <v>-7.6080410374639307E-3</v>
      </c>
      <c r="N1636">
        <v>1115.1999510000001</v>
      </c>
      <c r="O1636">
        <f t="shared" si="281"/>
        <v>3.5093150616787305E-3</v>
      </c>
      <c r="P1636">
        <v>188.8000031</v>
      </c>
      <c r="Q1636">
        <f t="shared" si="282"/>
        <v>2.192153234100136E-2</v>
      </c>
      <c r="R1636">
        <v>628.5</v>
      </c>
      <c r="S1636">
        <f t="shared" si="283"/>
        <v>-1.9577237405572601E-2</v>
      </c>
      <c r="T1636">
        <v>3646.6499020000001</v>
      </c>
      <c r="U1636">
        <f t="shared" si="284"/>
        <v>-5.1289880509406416E-3</v>
      </c>
      <c r="W1636">
        <f t="shared" si="285"/>
        <v>4.3167655893866187E-3</v>
      </c>
      <c r="X1636">
        <v>1.2855063271922151E-2</v>
      </c>
    </row>
    <row r="1637" spans="1:24" x14ac:dyDescent="0.35">
      <c r="A1637" s="1">
        <v>45230</v>
      </c>
      <c r="B1637">
        <v>2287.8999020000001</v>
      </c>
      <c r="C1637">
        <f t="shared" si="275"/>
        <v>-1.0637880216216145E-2</v>
      </c>
      <c r="D1637">
        <v>3368.75</v>
      </c>
      <c r="E1637">
        <f t="shared" si="276"/>
        <v>-2.9006671080396007E-3</v>
      </c>
      <c r="F1637">
        <v>1476.5</v>
      </c>
      <c r="G1637">
        <f t="shared" si="277"/>
        <v>-5.7908397676790235E-3</v>
      </c>
      <c r="H1637">
        <v>914.40002440000001</v>
      </c>
      <c r="I1637">
        <f t="shared" si="278"/>
        <v>-1.2793495924426468E-2</v>
      </c>
      <c r="J1637">
        <v>1368.400024</v>
      </c>
      <c r="K1637">
        <f t="shared" si="279"/>
        <v>-6.2815618112657123E-3</v>
      </c>
      <c r="L1637">
        <v>428.39999390000003</v>
      </c>
      <c r="M1637">
        <f t="shared" si="280"/>
        <v>-4.7625002715704357E-3</v>
      </c>
      <c r="N1637">
        <v>1088.599976</v>
      </c>
      <c r="O1637">
        <f t="shared" si="281"/>
        <v>-2.3852202446877691E-2</v>
      </c>
      <c r="P1637">
        <v>186.1499939</v>
      </c>
      <c r="Q1637">
        <f t="shared" si="282"/>
        <v>-1.4036065447501023E-2</v>
      </c>
      <c r="R1637">
        <v>628.65002440000001</v>
      </c>
      <c r="S1637">
        <f t="shared" si="283"/>
        <v>2.387023070804517E-4</v>
      </c>
      <c r="T1637">
        <v>3633.3999020000001</v>
      </c>
      <c r="U1637">
        <f t="shared" si="284"/>
        <v>-3.6334719142446792E-3</v>
      </c>
      <c r="W1637">
        <f t="shared" si="285"/>
        <v>-8.4449982600740339E-3</v>
      </c>
      <c r="X1637">
        <v>1.2859563795133512E-2</v>
      </c>
    </row>
    <row r="1638" spans="1:24" x14ac:dyDescent="0.35">
      <c r="A1638" s="1">
        <v>45231</v>
      </c>
      <c r="B1638">
        <v>2297.3999020000001</v>
      </c>
      <c r="C1638">
        <f t="shared" si="275"/>
        <v>4.1522795606989682E-3</v>
      </c>
      <c r="D1638">
        <v>3330.6499020000001</v>
      </c>
      <c r="E1638">
        <f t="shared" si="276"/>
        <v>-1.1309862115027824E-2</v>
      </c>
      <c r="F1638">
        <v>1474.5</v>
      </c>
      <c r="G1638">
        <f t="shared" si="277"/>
        <v>-1.3545546901455596E-3</v>
      </c>
      <c r="H1638">
        <v>913.45001219999995</v>
      </c>
      <c r="I1638">
        <f t="shared" si="278"/>
        <v>-1.0389459477797569E-3</v>
      </c>
      <c r="J1638">
        <v>1354.150024</v>
      </c>
      <c r="K1638">
        <f t="shared" si="279"/>
        <v>-1.0413621565385167E-2</v>
      </c>
      <c r="L1638">
        <v>428.10000609999997</v>
      </c>
      <c r="M1638">
        <f t="shared" si="280"/>
        <v>-7.0025164395792761E-4</v>
      </c>
      <c r="N1638">
        <v>1116.1999510000001</v>
      </c>
      <c r="O1638">
        <f t="shared" si="281"/>
        <v>2.5353642851816627E-2</v>
      </c>
      <c r="P1638">
        <v>186.6999969</v>
      </c>
      <c r="Q1638">
        <f t="shared" si="282"/>
        <v>2.9546227129906288E-3</v>
      </c>
      <c r="R1638">
        <v>627.70001219999995</v>
      </c>
      <c r="S1638">
        <f t="shared" si="283"/>
        <v>-1.5111940875318641E-3</v>
      </c>
      <c r="T1638">
        <v>3639.4499510000001</v>
      </c>
      <c r="U1638">
        <f t="shared" si="284"/>
        <v>1.6651205931583757E-3</v>
      </c>
      <c r="W1638">
        <f t="shared" si="285"/>
        <v>7.7972356688365044E-4</v>
      </c>
      <c r="X1638">
        <v>1.2983439211888425E-2</v>
      </c>
    </row>
    <row r="1639" spans="1:24" x14ac:dyDescent="0.35">
      <c r="A1639" s="1">
        <v>45232</v>
      </c>
      <c r="B1639">
        <v>2320.1999510000001</v>
      </c>
      <c r="C1639">
        <f t="shared" si="275"/>
        <v>9.9242839612516676E-3</v>
      </c>
      <c r="D1639">
        <v>3360.1000979999999</v>
      </c>
      <c r="E1639">
        <f t="shared" si="276"/>
        <v>8.8421770124549326E-3</v>
      </c>
      <c r="F1639">
        <v>1476.75</v>
      </c>
      <c r="G1639">
        <f t="shared" si="277"/>
        <v>1.5259409969481386E-3</v>
      </c>
      <c r="H1639">
        <v>923.84997559999999</v>
      </c>
      <c r="I1639">
        <f t="shared" si="278"/>
        <v>1.1385366753624782E-2</v>
      </c>
      <c r="J1639">
        <v>1370.150024</v>
      </c>
      <c r="K1639">
        <f t="shared" si="279"/>
        <v>1.1815529827882587E-2</v>
      </c>
      <c r="L1639">
        <v>431.14999390000003</v>
      </c>
      <c r="M1639">
        <f t="shared" si="280"/>
        <v>7.1244750211183483E-3</v>
      </c>
      <c r="N1639">
        <v>1132.849976</v>
      </c>
      <c r="O1639">
        <f t="shared" si="281"/>
        <v>1.4916704650527191E-2</v>
      </c>
      <c r="P1639">
        <v>186.1999969</v>
      </c>
      <c r="Q1639">
        <f t="shared" si="282"/>
        <v>-2.6780932421107684E-3</v>
      </c>
      <c r="R1639">
        <v>636.45001219999995</v>
      </c>
      <c r="S1639">
        <f t="shared" si="283"/>
        <v>1.3939779878819003E-2</v>
      </c>
      <c r="T1639">
        <v>3647.4499510000001</v>
      </c>
      <c r="U1639">
        <f t="shared" si="284"/>
        <v>2.1981343630792516E-3</v>
      </c>
      <c r="W1639">
        <f t="shared" si="285"/>
        <v>7.8994299223595129E-3</v>
      </c>
      <c r="X1639">
        <v>1.3024334729064103E-2</v>
      </c>
    </row>
    <row r="1640" spans="1:24" x14ac:dyDescent="0.35">
      <c r="A1640" s="1">
        <v>45233</v>
      </c>
      <c r="B1640">
        <v>2319.6999510000001</v>
      </c>
      <c r="C1640">
        <f t="shared" si="275"/>
        <v>-2.1549866845937959E-4</v>
      </c>
      <c r="D1640">
        <v>3350.8999020000001</v>
      </c>
      <c r="E1640">
        <f t="shared" si="276"/>
        <v>-2.7380720013299165E-3</v>
      </c>
      <c r="F1640">
        <v>1483.75</v>
      </c>
      <c r="G1640">
        <f t="shared" si="277"/>
        <v>4.7401388183510029E-3</v>
      </c>
      <c r="H1640">
        <v>930.75</v>
      </c>
      <c r="I1640">
        <f t="shared" si="278"/>
        <v>7.4687715345975736E-3</v>
      </c>
      <c r="J1640">
        <v>1389.0500489999999</v>
      </c>
      <c r="K1640">
        <f t="shared" si="279"/>
        <v>1.3794128138481909E-2</v>
      </c>
      <c r="L1640">
        <v>433.25</v>
      </c>
      <c r="M1640">
        <f t="shared" si="280"/>
        <v>4.8707088709527557E-3</v>
      </c>
      <c r="N1640">
        <v>1141.099976</v>
      </c>
      <c r="O1640">
        <f t="shared" si="281"/>
        <v>7.2825176985307216E-3</v>
      </c>
      <c r="P1640">
        <v>190</v>
      </c>
      <c r="Q1640">
        <f t="shared" si="282"/>
        <v>2.0408180253841834E-2</v>
      </c>
      <c r="R1640">
        <v>647.5</v>
      </c>
      <c r="S1640">
        <f t="shared" si="283"/>
        <v>1.7361909950796894E-2</v>
      </c>
      <c r="T1640">
        <v>3649.6999510000001</v>
      </c>
      <c r="U1640">
        <f t="shared" si="284"/>
        <v>6.168693279486881E-4</v>
      </c>
      <c r="W1640">
        <f t="shared" si="285"/>
        <v>7.3589653923712087E-3</v>
      </c>
      <c r="X1640">
        <v>1.3033739259569634E-2</v>
      </c>
    </row>
    <row r="1641" spans="1:24" x14ac:dyDescent="0.35">
      <c r="A1641" s="1">
        <v>45236</v>
      </c>
      <c r="B1641">
        <v>2339</v>
      </c>
      <c r="C1641">
        <f t="shared" si="275"/>
        <v>8.3200626838311198E-3</v>
      </c>
      <c r="D1641">
        <v>3380.25</v>
      </c>
      <c r="E1641">
        <f t="shared" si="276"/>
        <v>8.758870410447761E-3</v>
      </c>
      <c r="F1641">
        <v>1494.5</v>
      </c>
      <c r="G1641">
        <f t="shared" si="277"/>
        <v>7.2451558550967743E-3</v>
      </c>
      <c r="H1641">
        <v>939.20001219999995</v>
      </c>
      <c r="I1641">
        <f t="shared" si="278"/>
        <v>9.0787130808487326E-3</v>
      </c>
      <c r="J1641">
        <v>1403.3000489999999</v>
      </c>
      <c r="K1641">
        <f t="shared" si="279"/>
        <v>1.0258809616153775E-2</v>
      </c>
      <c r="L1641">
        <v>435.35000609999997</v>
      </c>
      <c r="M1641">
        <f t="shared" si="280"/>
        <v>4.8471000577032797E-3</v>
      </c>
      <c r="N1641">
        <v>1150</v>
      </c>
      <c r="O1641">
        <f t="shared" si="281"/>
        <v>7.7995129148964448E-3</v>
      </c>
      <c r="P1641">
        <v>193.3000031</v>
      </c>
      <c r="Q1641">
        <f t="shared" si="282"/>
        <v>1.7368437368421086E-2</v>
      </c>
      <c r="R1641">
        <v>646.04998780000005</v>
      </c>
      <c r="S1641">
        <f t="shared" si="283"/>
        <v>-2.239401081081005E-3</v>
      </c>
      <c r="T1641">
        <v>3649.5500489999999</v>
      </c>
      <c r="U1641">
        <f t="shared" si="284"/>
        <v>-4.1072417462428845E-5</v>
      </c>
      <c r="W1641">
        <f t="shared" si="285"/>
        <v>7.1396188488855533E-3</v>
      </c>
      <c r="X1641">
        <v>1.3068881167119075E-2</v>
      </c>
    </row>
    <row r="1642" spans="1:24" x14ac:dyDescent="0.35">
      <c r="A1642" s="1">
        <v>45237</v>
      </c>
      <c r="B1642">
        <v>2323.8000489999999</v>
      </c>
      <c r="C1642">
        <f t="shared" si="275"/>
        <v>-6.4984826849081578E-3</v>
      </c>
      <c r="D1642">
        <v>3370.4499510000001</v>
      </c>
      <c r="E1642">
        <f t="shared" si="276"/>
        <v>-2.8992083425781745E-3</v>
      </c>
      <c r="F1642">
        <v>1487.25</v>
      </c>
      <c r="G1642">
        <f t="shared" si="277"/>
        <v>-4.8511207761793296E-3</v>
      </c>
      <c r="H1642">
        <v>937.15002440000001</v>
      </c>
      <c r="I1642">
        <f t="shared" si="278"/>
        <v>-2.1826956701139766E-3</v>
      </c>
      <c r="J1642">
        <v>1404.3000489999999</v>
      </c>
      <c r="K1642">
        <f t="shared" si="279"/>
        <v>7.1260597526001668E-4</v>
      </c>
      <c r="L1642">
        <v>432.7000122</v>
      </c>
      <c r="M1642">
        <f t="shared" si="280"/>
        <v>-6.0870422944044877E-3</v>
      </c>
      <c r="N1642">
        <v>1170.9499510000001</v>
      </c>
      <c r="O1642">
        <f t="shared" si="281"/>
        <v>1.821734869565228E-2</v>
      </c>
      <c r="P1642">
        <v>193.1999969</v>
      </c>
      <c r="Q1642">
        <f t="shared" si="282"/>
        <v>-5.1736264043544811E-4</v>
      </c>
      <c r="R1642">
        <v>645</v>
      </c>
      <c r="S1642">
        <f t="shared" si="283"/>
        <v>-1.6252423493970936E-3</v>
      </c>
      <c r="T1642">
        <v>3653.3000489999999</v>
      </c>
      <c r="U1642">
        <f t="shared" si="284"/>
        <v>1.0275239275119308E-3</v>
      </c>
      <c r="W1642">
        <f t="shared" si="285"/>
        <v>-4.7036761595924391E-4</v>
      </c>
      <c r="X1642">
        <v>1.3091477855732891E-2</v>
      </c>
    </row>
    <row r="1643" spans="1:24" x14ac:dyDescent="0.35">
      <c r="A1643" s="1">
        <v>45238</v>
      </c>
      <c r="B1643">
        <v>2335.8999020000001</v>
      </c>
      <c r="C1643">
        <f t="shared" si="275"/>
        <v>5.206925184981781E-3</v>
      </c>
      <c r="D1643">
        <v>3381.5500489999999</v>
      </c>
      <c r="E1643">
        <f t="shared" si="276"/>
        <v>3.2933579081055875E-3</v>
      </c>
      <c r="F1643">
        <v>1491.5500489999999</v>
      </c>
      <c r="G1643">
        <f t="shared" si="277"/>
        <v>2.8912751722978136E-3</v>
      </c>
      <c r="H1643">
        <v>936.75</v>
      </c>
      <c r="I1643">
        <f t="shared" si="278"/>
        <v>-4.2685204031889246E-4</v>
      </c>
      <c r="J1643">
        <v>1391</v>
      </c>
      <c r="K1643">
        <f t="shared" si="279"/>
        <v>-9.4709453364121288E-3</v>
      </c>
      <c r="L1643">
        <v>436.9500122</v>
      </c>
      <c r="M1643">
        <f t="shared" si="280"/>
        <v>9.8220473311094736E-3</v>
      </c>
      <c r="N1643">
        <v>1176.6999510000001</v>
      </c>
      <c r="O1643">
        <f t="shared" si="281"/>
        <v>4.9105429272100487E-3</v>
      </c>
      <c r="P1643">
        <v>195.3500061</v>
      </c>
      <c r="Q1643">
        <f t="shared" si="282"/>
        <v>1.1128412186843128E-2</v>
      </c>
      <c r="R1643">
        <v>642.54998780000005</v>
      </c>
      <c r="S1643">
        <f t="shared" si="283"/>
        <v>-3.7984685271317264E-3</v>
      </c>
      <c r="T1643">
        <v>3712.3999020000001</v>
      </c>
      <c r="U1643">
        <f t="shared" si="284"/>
        <v>1.6177114446478846E-2</v>
      </c>
      <c r="W1643">
        <f t="shared" si="285"/>
        <v>3.9733409253163935E-3</v>
      </c>
      <c r="X1643">
        <v>1.3186268977957971E-2</v>
      </c>
    </row>
    <row r="1644" spans="1:24" x14ac:dyDescent="0.35">
      <c r="A1644" s="1">
        <v>45239</v>
      </c>
      <c r="B1644">
        <v>2310.5500489999999</v>
      </c>
      <c r="C1644">
        <f t="shared" si="275"/>
        <v>-1.0852285655860383E-2</v>
      </c>
      <c r="D1644">
        <v>3347.4499510000001</v>
      </c>
      <c r="E1644">
        <f t="shared" si="276"/>
        <v>-1.0084161850593909E-2</v>
      </c>
      <c r="F1644">
        <v>1485.650024</v>
      </c>
      <c r="G1644">
        <f t="shared" si="277"/>
        <v>-3.9556332715455778E-3</v>
      </c>
      <c r="H1644">
        <v>932.34997559999999</v>
      </c>
      <c r="I1644">
        <f t="shared" si="278"/>
        <v>-4.6971170536429518E-3</v>
      </c>
      <c r="J1644">
        <v>1374.8000489999999</v>
      </c>
      <c r="K1644">
        <f t="shared" si="279"/>
        <v>-1.1646262401150298E-2</v>
      </c>
      <c r="L1644">
        <v>434.39999390000003</v>
      </c>
      <c r="M1644">
        <f t="shared" si="280"/>
        <v>-5.8359497169043761E-3</v>
      </c>
      <c r="N1644">
        <v>1176.1999510000001</v>
      </c>
      <c r="O1644">
        <f t="shared" si="281"/>
        <v>-4.2491715885184522E-4</v>
      </c>
      <c r="P1644">
        <v>192.6999969</v>
      </c>
      <c r="Q1644">
        <f t="shared" si="282"/>
        <v>-1.3565442115437976E-2</v>
      </c>
      <c r="R1644">
        <v>649.34997559999999</v>
      </c>
      <c r="S1644">
        <f t="shared" si="283"/>
        <v>1.0582815234783771E-2</v>
      </c>
      <c r="T1644">
        <v>3747.6000979999999</v>
      </c>
      <c r="U1644">
        <f t="shared" si="284"/>
        <v>9.4817899281367524E-3</v>
      </c>
      <c r="W1644">
        <f t="shared" si="285"/>
        <v>-4.0997164061066802E-3</v>
      </c>
      <c r="X1644">
        <v>1.3197058333817548E-2</v>
      </c>
    </row>
    <row r="1645" spans="1:24" x14ac:dyDescent="0.35">
      <c r="A1645" s="1">
        <v>45240</v>
      </c>
      <c r="B1645">
        <v>2314.8999020000001</v>
      </c>
      <c r="C1645">
        <f t="shared" si="275"/>
        <v>1.8826049675413348E-3</v>
      </c>
      <c r="D1645">
        <v>3333.4499510000001</v>
      </c>
      <c r="E1645">
        <f t="shared" si="276"/>
        <v>-4.182288071496898E-3</v>
      </c>
      <c r="F1645">
        <v>1491.5</v>
      </c>
      <c r="G1645">
        <f t="shared" si="277"/>
        <v>3.9376541618121319E-3</v>
      </c>
      <c r="H1645">
        <v>935.5</v>
      </c>
      <c r="I1645">
        <f t="shared" si="278"/>
        <v>3.3785858126642587E-3</v>
      </c>
      <c r="J1645">
        <v>1368.849976</v>
      </c>
      <c r="K1645">
        <f t="shared" si="279"/>
        <v>-4.3279551847033026E-3</v>
      </c>
      <c r="L1645">
        <v>436.5499878</v>
      </c>
      <c r="M1645">
        <f t="shared" si="280"/>
        <v>4.9493414599239838E-3</v>
      </c>
      <c r="N1645">
        <v>1179.349976</v>
      </c>
      <c r="O1645">
        <f t="shared" si="281"/>
        <v>2.6781373331310476E-3</v>
      </c>
      <c r="P1645">
        <v>195.8999939</v>
      </c>
      <c r="Q1645">
        <f t="shared" si="282"/>
        <v>1.6606108206948189E-2</v>
      </c>
      <c r="R1645">
        <v>651.04998780000005</v>
      </c>
      <c r="S1645">
        <f t="shared" si="283"/>
        <v>2.6180215043962729E-3</v>
      </c>
      <c r="T1645">
        <v>3798.3999020000001</v>
      </c>
      <c r="U1645">
        <f t="shared" si="284"/>
        <v>1.3555289430990936E-2</v>
      </c>
      <c r="W1645">
        <f t="shared" si="285"/>
        <v>4.109549962120795E-3</v>
      </c>
      <c r="X1645">
        <v>1.3218216579343446E-2</v>
      </c>
    </row>
    <row r="1646" spans="1:24" x14ac:dyDescent="0.35">
      <c r="A1646" s="1">
        <v>45243</v>
      </c>
      <c r="B1646">
        <v>2314.6000979999999</v>
      </c>
      <c r="C1646">
        <f t="shared" si="275"/>
        <v>-1.2951056749421763E-4</v>
      </c>
      <c r="D1646">
        <v>3331.5500489999999</v>
      </c>
      <c r="E1646">
        <f t="shared" si="276"/>
        <v>-5.6995066010523399E-4</v>
      </c>
      <c r="F1646">
        <v>1488.8000489999999</v>
      </c>
      <c r="G1646">
        <f t="shared" si="277"/>
        <v>-1.8102252765672677E-3</v>
      </c>
      <c r="H1646">
        <v>935</v>
      </c>
      <c r="I1646">
        <f t="shared" si="278"/>
        <v>-5.3447354355962151E-4</v>
      </c>
      <c r="J1646">
        <v>1373.5500489999999</v>
      </c>
      <c r="K1646">
        <f t="shared" si="279"/>
        <v>3.4335924918043048E-3</v>
      </c>
      <c r="L1646">
        <v>436</v>
      </c>
      <c r="M1646">
        <f t="shared" si="280"/>
        <v>-1.2598506823277011E-3</v>
      </c>
      <c r="N1646">
        <v>1177.8000489999999</v>
      </c>
      <c r="O1646">
        <f t="shared" si="281"/>
        <v>-1.3142214198850199E-3</v>
      </c>
      <c r="P1646">
        <v>195.8000031</v>
      </c>
      <c r="Q1646">
        <f t="shared" si="282"/>
        <v>-5.1041757587311221E-4</v>
      </c>
      <c r="R1646">
        <v>653.25</v>
      </c>
      <c r="S1646">
        <f t="shared" si="283"/>
        <v>3.3791755490759634E-3</v>
      </c>
      <c r="T1646">
        <v>3798.4499510000001</v>
      </c>
      <c r="U1646">
        <f t="shared" si="284"/>
        <v>1.3176337745113287E-5</v>
      </c>
      <c r="W1646">
        <f t="shared" si="285"/>
        <v>6.9729465281320805E-5</v>
      </c>
      <c r="X1646">
        <v>1.322020048803685E-2</v>
      </c>
    </row>
    <row r="1647" spans="1:24" x14ac:dyDescent="0.35">
      <c r="A1647" s="1">
        <v>45245</v>
      </c>
      <c r="B1647">
        <v>2356.4499510000001</v>
      </c>
      <c r="C1647">
        <f t="shared" si="275"/>
        <v>1.8080813630035664E-2</v>
      </c>
      <c r="D1647">
        <v>3404.3000489999999</v>
      </c>
      <c r="E1647">
        <f t="shared" si="276"/>
        <v>2.1836682304033461E-2</v>
      </c>
      <c r="F1647">
        <v>1504.400024</v>
      </c>
      <c r="G1647">
        <f t="shared" si="277"/>
        <v>1.0478220369806168E-2</v>
      </c>
      <c r="H1647">
        <v>950</v>
      </c>
      <c r="I1647">
        <f t="shared" si="278"/>
        <v>1.6042780748663166E-2</v>
      </c>
      <c r="J1647">
        <v>1410.5</v>
      </c>
      <c r="K1647">
        <f t="shared" si="279"/>
        <v>2.6901059067269584E-2</v>
      </c>
      <c r="L1647">
        <v>441.9500122</v>
      </c>
      <c r="M1647">
        <f t="shared" si="280"/>
        <v>1.3646816972477049E-2</v>
      </c>
      <c r="N1647">
        <v>1180.900024</v>
      </c>
      <c r="O1647">
        <f t="shared" si="281"/>
        <v>2.6320044753200822E-3</v>
      </c>
      <c r="P1647">
        <v>199.5</v>
      </c>
      <c r="Q1647">
        <f t="shared" si="282"/>
        <v>1.8896817371909513E-2</v>
      </c>
      <c r="R1647">
        <v>671.54998780000005</v>
      </c>
      <c r="S1647">
        <f t="shared" si="283"/>
        <v>2.8013758591657112E-2</v>
      </c>
      <c r="T1647">
        <v>3791.9499510000001</v>
      </c>
      <c r="U1647">
        <f t="shared" si="284"/>
        <v>-1.7112243372560121E-3</v>
      </c>
      <c r="W1647">
        <f t="shared" si="285"/>
        <v>1.548177291939158E-2</v>
      </c>
      <c r="X1647">
        <v>1.3227703070509545E-2</v>
      </c>
    </row>
    <row r="1648" spans="1:24" x14ac:dyDescent="0.35">
      <c r="A1648" s="1">
        <v>45246</v>
      </c>
      <c r="B1648">
        <v>2360.6999510000001</v>
      </c>
      <c r="C1648">
        <f t="shared" si="275"/>
        <v>1.8035604779962355E-3</v>
      </c>
      <c r="D1648">
        <v>3497.8500979999999</v>
      </c>
      <c r="E1648">
        <f t="shared" si="276"/>
        <v>2.7479965823658858E-2</v>
      </c>
      <c r="F1648">
        <v>1508.349976</v>
      </c>
      <c r="G1648">
        <f t="shared" si="277"/>
        <v>2.6255995326944781E-3</v>
      </c>
      <c r="H1648">
        <v>949.54998780000005</v>
      </c>
      <c r="I1648">
        <f t="shared" si="278"/>
        <v>-4.7369705263156092E-4</v>
      </c>
      <c r="J1648">
        <v>1444.900024</v>
      </c>
      <c r="K1648">
        <f t="shared" si="279"/>
        <v>2.4388531726338147E-2</v>
      </c>
      <c r="L1648">
        <v>438.64999390000003</v>
      </c>
      <c r="M1648">
        <f t="shared" si="280"/>
        <v>-7.4669492225437617E-3</v>
      </c>
      <c r="N1648">
        <v>1189.5500489999999</v>
      </c>
      <c r="O1648">
        <f t="shared" si="281"/>
        <v>7.3249426913382099E-3</v>
      </c>
      <c r="P1648">
        <v>201.8000031</v>
      </c>
      <c r="Q1648">
        <f t="shared" si="282"/>
        <v>1.1528837593985042E-2</v>
      </c>
      <c r="R1648">
        <v>680.40002440000001</v>
      </c>
      <c r="S1648">
        <f t="shared" si="283"/>
        <v>1.3178522464117215E-2</v>
      </c>
      <c r="T1648">
        <v>3790.25</v>
      </c>
      <c r="U1648">
        <f t="shared" si="284"/>
        <v>-4.4830523133665423E-4</v>
      </c>
      <c r="W1648">
        <f t="shared" si="285"/>
        <v>7.9941008803616209E-3</v>
      </c>
      <c r="X1648">
        <v>1.3238312397519525E-2</v>
      </c>
    </row>
    <row r="1649" spans="1:24" x14ac:dyDescent="0.35">
      <c r="A1649" s="1">
        <v>45247</v>
      </c>
      <c r="B1649">
        <v>2355.5500489999999</v>
      </c>
      <c r="C1649">
        <f t="shared" si="275"/>
        <v>-2.1815148502115633E-3</v>
      </c>
      <c r="D1649">
        <v>3502.4499510000001</v>
      </c>
      <c r="E1649">
        <f t="shared" si="276"/>
        <v>1.315051494811037E-3</v>
      </c>
      <c r="F1649">
        <v>1505.099976</v>
      </c>
      <c r="G1649">
        <f t="shared" si="277"/>
        <v>-2.1546723583466543E-3</v>
      </c>
      <c r="H1649">
        <v>947.29998780000005</v>
      </c>
      <c r="I1649">
        <f t="shared" si="278"/>
        <v>-2.369543498402904E-3</v>
      </c>
      <c r="J1649">
        <v>1437.5500489999999</v>
      </c>
      <c r="K1649">
        <f t="shared" si="279"/>
        <v>-5.0868398352245103E-3</v>
      </c>
      <c r="L1649">
        <v>439.25</v>
      </c>
      <c r="M1649">
        <f t="shared" si="280"/>
        <v>1.3678470496838457E-3</v>
      </c>
      <c r="N1649">
        <v>1194.599976</v>
      </c>
      <c r="O1649">
        <f t="shared" si="281"/>
        <v>4.2452413029996361E-3</v>
      </c>
      <c r="P1649">
        <v>196.3500061</v>
      </c>
      <c r="Q1649">
        <f t="shared" si="282"/>
        <v>-2.7006922280864876E-2</v>
      </c>
      <c r="R1649">
        <v>681.54998780000005</v>
      </c>
      <c r="S1649">
        <f t="shared" si="283"/>
        <v>1.6901283932406752E-3</v>
      </c>
      <c r="T1649">
        <v>3810.8999020000001</v>
      </c>
      <c r="U1649">
        <f t="shared" si="284"/>
        <v>5.4481635776004733E-3</v>
      </c>
      <c r="W1649">
        <f t="shared" si="285"/>
        <v>-2.4733061004714842E-3</v>
      </c>
      <c r="X1649">
        <v>1.3242043949518756E-2</v>
      </c>
    </row>
    <row r="1650" spans="1:24" x14ac:dyDescent="0.35">
      <c r="A1650" s="1">
        <v>45250</v>
      </c>
      <c r="B1650">
        <v>2349.3500979999999</v>
      </c>
      <c r="C1650">
        <f t="shared" si="275"/>
        <v>-2.6320608227501374E-3</v>
      </c>
      <c r="D1650">
        <v>3519.6000979999999</v>
      </c>
      <c r="E1650">
        <f t="shared" si="276"/>
        <v>4.89661443844569E-3</v>
      </c>
      <c r="F1650">
        <v>1505.1999510000001</v>
      </c>
      <c r="G1650">
        <f t="shared" si="277"/>
        <v>6.6424158922551158E-5</v>
      </c>
      <c r="H1650">
        <v>961.40002440000001</v>
      </c>
      <c r="I1650">
        <f t="shared" si="278"/>
        <v>1.4884447146194635E-2</v>
      </c>
      <c r="J1650">
        <v>1436.599976</v>
      </c>
      <c r="K1650">
        <f t="shared" si="279"/>
        <v>-6.6089733756458102E-4</v>
      </c>
      <c r="L1650">
        <v>436.7999878</v>
      </c>
      <c r="M1650">
        <f t="shared" si="280"/>
        <v>-5.5777170176437574E-3</v>
      </c>
      <c r="N1650">
        <v>1188</v>
      </c>
      <c r="O1650">
        <f t="shared" si="281"/>
        <v>-5.5248418990424542E-3</v>
      </c>
      <c r="P1650">
        <v>197.8500061</v>
      </c>
      <c r="Q1650">
        <f t="shared" si="282"/>
        <v>7.6394191667916722E-3</v>
      </c>
      <c r="R1650">
        <v>674.29998780000005</v>
      </c>
      <c r="S1650">
        <f t="shared" si="283"/>
        <v>-1.0637517613935499E-2</v>
      </c>
      <c r="T1650">
        <v>3792.8999020000001</v>
      </c>
      <c r="U1650">
        <f t="shared" si="284"/>
        <v>-4.7232938316100759E-3</v>
      </c>
      <c r="W1650">
        <f t="shared" si="285"/>
        <v>-2.2694236121919518E-4</v>
      </c>
      <c r="X1650">
        <v>1.3292244198757653E-2</v>
      </c>
    </row>
    <row r="1651" spans="1:24" x14ac:dyDescent="0.35">
      <c r="A1651" s="1">
        <v>45251</v>
      </c>
      <c r="B1651">
        <v>2378.8999020000001</v>
      </c>
      <c r="C1651">
        <f t="shared" si="275"/>
        <v>1.2577863139749068E-2</v>
      </c>
      <c r="D1651">
        <v>3510.1999510000001</v>
      </c>
      <c r="E1651">
        <f t="shared" si="276"/>
        <v>-2.6707997324302291E-3</v>
      </c>
      <c r="F1651">
        <v>1517.9499510000001</v>
      </c>
      <c r="G1651">
        <f t="shared" si="277"/>
        <v>8.4706354072954237E-3</v>
      </c>
      <c r="H1651">
        <v>970.84997559999999</v>
      </c>
      <c r="I1651">
        <f t="shared" si="278"/>
        <v>9.8293644270475156E-3</v>
      </c>
      <c r="J1651">
        <v>1439</v>
      </c>
      <c r="K1651">
        <f t="shared" si="279"/>
        <v>1.6706278992726364E-3</v>
      </c>
      <c r="L1651">
        <v>436.25</v>
      </c>
      <c r="M1651">
        <f t="shared" si="280"/>
        <v>-1.2591296139226049E-3</v>
      </c>
      <c r="N1651">
        <v>1201.400024</v>
      </c>
      <c r="O1651">
        <f t="shared" si="281"/>
        <v>1.1279481481481612E-2</v>
      </c>
      <c r="P1651">
        <v>191.1999969</v>
      </c>
      <c r="Q1651">
        <f t="shared" si="282"/>
        <v>-3.3611367171951789E-2</v>
      </c>
      <c r="R1651">
        <v>681.70001219999995</v>
      </c>
      <c r="S1651">
        <f t="shared" si="283"/>
        <v>1.0974380148134788E-2</v>
      </c>
      <c r="T1651">
        <v>3814.9499510000001</v>
      </c>
      <c r="U1651">
        <f t="shared" si="284"/>
        <v>5.8135067019229325E-3</v>
      </c>
      <c r="W1651">
        <f t="shared" si="285"/>
        <v>2.3074562686599357E-3</v>
      </c>
      <c r="X1651">
        <v>1.3309617308301103E-2</v>
      </c>
    </row>
    <row r="1652" spans="1:24" x14ac:dyDescent="0.35">
      <c r="A1652" s="1">
        <v>45252</v>
      </c>
      <c r="B1652">
        <v>2388.1999510000001</v>
      </c>
      <c r="C1652">
        <f t="shared" si="275"/>
        <v>3.9093906356384434E-3</v>
      </c>
      <c r="D1652">
        <v>3530.1499020000001</v>
      </c>
      <c r="E1652">
        <f t="shared" si="276"/>
        <v>5.6834229612237053E-3</v>
      </c>
      <c r="F1652">
        <v>1512.5500489999999</v>
      </c>
      <c r="G1652">
        <f t="shared" si="277"/>
        <v>-3.5573649819236053E-3</v>
      </c>
      <c r="H1652">
        <v>969.75</v>
      </c>
      <c r="I1652">
        <f t="shared" si="278"/>
        <v>-1.1330026550396832E-3</v>
      </c>
      <c r="J1652">
        <v>1457.8000489999999</v>
      </c>
      <c r="K1652">
        <f t="shared" si="279"/>
        <v>1.306466226546199E-2</v>
      </c>
      <c r="L1652">
        <v>439.7000122</v>
      </c>
      <c r="M1652">
        <f t="shared" si="280"/>
        <v>7.9083374212034485E-3</v>
      </c>
      <c r="N1652">
        <v>1204.099976</v>
      </c>
      <c r="O1652">
        <f t="shared" si="281"/>
        <v>2.24733806064914E-3</v>
      </c>
      <c r="P1652">
        <v>191</v>
      </c>
      <c r="Q1652">
        <f t="shared" si="282"/>
        <v>-1.0460089081727464E-3</v>
      </c>
      <c r="R1652">
        <v>681.20001219999995</v>
      </c>
      <c r="S1652">
        <f t="shared" si="283"/>
        <v>-7.3346045335453969E-4</v>
      </c>
      <c r="T1652">
        <v>3838.25</v>
      </c>
      <c r="U1652">
        <f t="shared" si="284"/>
        <v>6.1075634803262613E-3</v>
      </c>
      <c r="W1652">
        <f t="shared" si="285"/>
        <v>3.2450877826012414E-3</v>
      </c>
      <c r="X1652">
        <v>1.3332779307002818E-2</v>
      </c>
    </row>
    <row r="1653" spans="1:24" x14ac:dyDescent="0.35">
      <c r="A1653" s="1">
        <v>45253</v>
      </c>
      <c r="B1653">
        <v>2395.5</v>
      </c>
      <c r="C1653">
        <f t="shared" si="275"/>
        <v>3.0567159994050463E-3</v>
      </c>
      <c r="D1653">
        <v>3508.25</v>
      </c>
      <c r="E1653">
        <f t="shared" si="276"/>
        <v>-6.2036748036089495E-3</v>
      </c>
      <c r="F1653">
        <v>1521.3000489999999</v>
      </c>
      <c r="G1653">
        <f t="shared" si="277"/>
        <v>5.7849325420900044E-3</v>
      </c>
      <c r="H1653">
        <v>976.65002440000001</v>
      </c>
      <c r="I1653">
        <f t="shared" si="278"/>
        <v>7.1152610466616029E-3</v>
      </c>
      <c r="J1653">
        <v>1449.25</v>
      </c>
      <c r="K1653">
        <f t="shared" si="279"/>
        <v>-5.8650354730506171E-3</v>
      </c>
      <c r="L1653">
        <v>440.35000609999997</v>
      </c>
      <c r="M1653">
        <f t="shared" si="280"/>
        <v>1.4782667317831955E-3</v>
      </c>
      <c r="N1653">
        <v>1198.8000489999999</v>
      </c>
      <c r="O1653">
        <f t="shared" si="281"/>
        <v>-4.4015672333175271E-3</v>
      </c>
      <c r="P1653">
        <v>190.6499939</v>
      </c>
      <c r="Q1653">
        <f t="shared" si="282"/>
        <v>-1.8324926701570599E-3</v>
      </c>
      <c r="R1653">
        <v>679.95001219999995</v>
      </c>
      <c r="S1653">
        <f t="shared" si="283"/>
        <v>-1.8349970311406505E-3</v>
      </c>
      <c r="T1653">
        <v>3844.3999020000001</v>
      </c>
      <c r="U1653">
        <f t="shared" si="284"/>
        <v>1.6022671790529852E-3</v>
      </c>
      <c r="W1653">
        <f t="shared" si="285"/>
        <v>-1.1003237122819687E-4</v>
      </c>
      <c r="X1653">
        <v>1.3337673561992138E-2</v>
      </c>
    </row>
    <row r="1654" spans="1:24" x14ac:dyDescent="0.35">
      <c r="A1654" s="1">
        <v>45254</v>
      </c>
      <c r="B1654">
        <v>2393.8999020000001</v>
      </c>
      <c r="C1654">
        <f t="shared" si="275"/>
        <v>-6.6795992485901845E-4</v>
      </c>
      <c r="D1654">
        <v>3457.1000979999999</v>
      </c>
      <c r="E1654">
        <f t="shared" si="276"/>
        <v>-1.4579890828760766E-2</v>
      </c>
      <c r="F1654">
        <v>1532.099976</v>
      </c>
      <c r="G1654">
        <f t="shared" si="277"/>
        <v>7.0991432670362009E-3</v>
      </c>
      <c r="H1654">
        <v>973.15002440000001</v>
      </c>
      <c r="I1654">
        <f t="shared" si="278"/>
        <v>-3.5836788128380537E-3</v>
      </c>
      <c r="J1654">
        <v>1437.400024</v>
      </c>
      <c r="K1654">
        <f t="shared" si="279"/>
        <v>-8.1766265309642927E-3</v>
      </c>
      <c r="L1654">
        <v>437.7999878</v>
      </c>
      <c r="M1654">
        <f t="shared" si="280"/>
        <v>-5.7908896665732623E-3</v>
      </c>
      <c r="N1654">
        <v>1195.4499510000001</v>
      </c>
      <c r="O1654">
        <f t="shared" si="281"/>
        <v>-2.794542761984764E-3</v>
      </c>
      <c r="P1654">
        <v>188.8500061</v>
      </c>
      <c r="Q1654">
        <f t="shared" si="282"/>
        <v>-9.441321046902984E-3</v>
      </c>
      <c r="R1654">
        <v>673.70001219999995</v>
      </c>
      <c r="S1654">
        <f t="shared" si="283"/>
        <v>-9.1918521771592321E-3</v>
      </c>
      <c r="T1654">
        <v>3842.8999020000001</v>
      </c>
      <c r="U1654">
        <f t="shared" si="284"/>
        <v>-3.9017793107831711E-4</v>
      </c>
      <c r="W1654">
        <f t="shared" si="285"/>
        <v>-4.7517796414084492E-3</v>
      </c>
      <c r="X1654">
        <v>1.334629916970973E-2</v>
      </c>
    </row>
    <row r="1655" spans="1:24" x14ac:dyDescent="0.35">
      <c r="A1655" s="1">
        <v>45258</v>
      </c>
      <c r="B1655">
        <v>2394.3999020000001</v>
      </c>
      <c r="C1655">
        <f t="shared" si="275"/>
        <v>2.0886420504973024E-4</v>
      </c>
      <c r="D1655">
        <v>3470.1499020000001</v>
      </c>
      <c r="E1655">
        <f t="shared" si="276"/>
        <v>3.7747833820460652E-3</v>
      </c>
      <c r="F1655">
        <v>1528.650024</v>
      </c>
      <c r="G1655">
        <f t="shared" si="277"/>
        <v>-2.2517799452010934E-3</v>
      </c>
      <c r="H1655">
        <v>984.90002440000001</v>
      </c>
      <c r="I1655">
        <f t="shared" si="278"/>
        <v>1.2074191753984165E-2</v>
      </c>
      <c r="J1655">
        <v>1442.6999510000001</v>
      </c>
      <c r="K1655">
        <f t="shared" si="279"/>
        <v>3.6871621758092221E-3</v>
      </c>
      <c r="L1655">
        <v>435.25</v>
      </c>
      <c r="M1655">
        <f t="shared" si="280"/>
        <v>-5.824549728322248E-3</v>
      </c>
      <c r="N1655">
        <v>1191.349976</v>
      </c>
      <c r="O1655">
        <f t="shared" si="281"/>
        <v>-3.4296500632003957E-3</v>
      </c>
      <c r="P1655">
        <v>193.9499969</v>
      </c>
      <c r="Q1655">
        <f t="shared" si="282"/>
        <v>2.7005510380017972E-2</v>
      </c>
      <c r="R1655">
        <v>697.5</v>
      </c>
      <c r="S1655">
        <f t="shared" si="283"/>
        <v>3.5327278267785811E-2</v>
      </c>
      <c r="T1655">
        <v>3912.1499020000001</v>
      </c>
      <c r="U1655">
        <f t="shared" si="284"/>
        <v>1.8020245586922501E-2</v>
      </c>
      <c r="W1655">
        <f t="shared" si="285"/>
        <v>8.8592056014891729E-3</v>
      </c>
      <c r="X1655">
        <v>1.3354205194255132E-2</v>
      </c>
    </row>
    <row r="1656" spans="1:24" x14ac:dyDescent="0.35">
      <c r="A1656" s="1">
        <v>45259</v>
      </c>
      <c r="B1656">
        <v>2400.6999510000001</v>
      </c>
      <c r="C1656">
        <f t="shared" si="275"/>
        <v>2.6311598971990868E-3</v>
      </c>
      <c r="D1656">
        <v>3513.75</v>
      </c>
      <c r="E1656">
        <f t="shared" si="276"/>
        <v>1.2564326968950601E-2</v>
      </c>
      <c r="F1656">
        <v>1559.150024</v>
      </c>
      <c r="G1656">
        <f t="shared" si="277"/>
        <v>1.9952245132074831E-2</v>
      </c>
      <c r="H1656">
        <v>995.40002440000001</v>
      </c>
      <c r="I1656">
        <f t="shared" si="278"/>
        <v>1.0660980546118415E-2</v>
      </c>
      <c r="J1656">
        <v>1459.599976</v>
      </c>
      <c r="K1656">
        <f t="shared" si="279"/>
        <v>1.1714164811807093E-2</v>
      </c>
      <c r="L1656">
        <v>437.2000122</v>
      </c>
      <c r="M1656">
        <f t="shared" si="280"/>
        <v>4.4802118322802009E-3</v>
      </c>
      <c r="N1656">
        <v>1202.1999510000001</v>
      </c>
      <c r="O1656">
        <f t="shared" si="281"/>
        <v>9.1072944294918745E-3</v>
      </c>
      <c r="P1656">
        <v>192</v>
      </c>
      <c r="Q1656">
        <f t="shared" si="282"/>
        <v>-1.0054121841545638E-2</v>
      </c>
      <c r="R1656">
        <v>712.34997559999999</v>
      </c>
      <c r="S1656">
        <f t="shared" si="283"/>
        <v>2.1290287598566326E-2</v>
      </c>
      <c r="T1656">
        <v>3861.5</v>
      </c>
      <c r="U1656">
        <f t="shared" si="284"/>
        <v>-1.294682035933914E-2</v>
      </c>
      <c r="W1656">
        <f t="shared" si="285"/>
        <v>6.9399729015603654E-3</v>
      </c>
      <c r="X1656">
        <v>1.3372913201420568E-2</v>
      </c>
    </row>
    <row r="1657" spans="1:24" x14ac:dyDescent="0.35">
      <c r="A1657" s="1">
        <v>45260</v>
      </c>
      <c r="B1657">
        <v>2377.4499510000001</v>
      </c>
      <c r="C1657">
        <f t="shared" si="275"/>
        <v>-9.684675500707729E-3</v>
      </c>
      <c r="D1657">
        <v>3487.6000979999999</v>
      </c>
      <c r="E1657">
        <f t="shared" si="276"/>
        <v>-7.4421635005336162E-3</v>
      </c>
      <c r="F1657">
        <v>1558.8000489999999</v>
      </c>
      <c r="G1657">
        <f t="shared" si="277"/>
        <v>-2.2446525004837792E-4</v>
      </c>
      <c r="H1657">
        <v>1014.700012</v>
      </c>
      <c r="I1657">
        <f t="shared" si="278"/>
        <v>1.9389177342680419E-2</v>
      </c>
      <c r="J1657">
        <v>1455.150024</v>
      </c>
      <c r="K1657">
        <f t="shared" si="279"/>
        <v>-3.0487476522128576E-3</v>
      </c>
      <c r="L1657">
        <v>435.7999878</v>
      </c>
      <c r="M1657">
        <f t="shared" si="280"/>
        <v>-3.2022515117395844E-3</v>
      </c>
      <c r="N1657">
        <v>1225.849976</v>
      </c>
      <c r="O1657">
        <f t="shared" si="281"/>
        <v>1.9672289106589691E-2</v>
      </c>
      <c r="P1657">
        <v>194.9499969</v>
      </c>
      <c r="Q1657">
        <f t="shared" si="282"/>
        <v>1.5364567187500011E-2</v>
      </c>
      <c r="R1657">
        <v>706.40002440000001</v>
      </c>
      <c r="S1657">
        <f t="shared" si="283"/>
        <v>-8.3525674230401359E-3</v>
      </c>
      <c r="T1657">
        <v>3949.75</v>
      </c>
      <c r="U1657">
        <f t="shared" si="284"/>
        <v>2.2853813284992919E-2</v>
      </c>
      <c r="W1657">
        <f t="shared" si="285"/>
        <v>4.532497608348075E-3</v>
      </c>
      <c r="X1657">
        <v>1.3405896217026429E-2</v>
      </c>
    </row>
    <row r="1658" spans="1:24" x14ac:dyDescent="0.35">
      <c r="A1658" s="1">
        <v>45261</v>
      </c>
      <c r="B1658">
        <v>2394.3000489999999</v>
      </c>
      <c r="C1658">
        <f t="shared" si="275"/>
        <v>7.0874669697724713E-3</v>
      </c>
      <c r="D1658">
        <v>3511.6499020000001</v>
      </c>
      <c r="E1658">
        <f t="shared" si="276"/>
        <v>6.8958032240542533E-3</v>
      </c>
      <c r="F1658">
        <v>1555.400024</v>
      </c>
      <c r="G1658">
        <f t="shared" si="277"/>
        <v>-2.1811809681306915E-3</v>
      </c>
      <c r="H1658">
        <v>1014.700012</v>
      </c>
      <c r="I1658">
        <f t="shared" si="278"/>
        <v>0</v>
      </c>
      <c r="J1658">
        <v>1452.3000489999999</v>
      </c>
      <c r="K1658">
        <f t="shared" si="279"/>
        <v>-1.9585437604336953E-3</v>
      </c>
      <c r="L1658">
        <v>449.7999878</v>
      </c>
      <c r="M1658">
        <f t="shared" si="280"/>
        <v>3.212482880202594E-2</v>
      </c>
      <c r="N1658">
        <v>1231.25</v>
      </c>
      <c r="O1658">
        <f t="shared" si="281"/>
        <v>4.4051263251809747E-3</v>
      </c>
      <c r="P1658">
        <v>194.5500031</v>
      </c>
      <c r="Q1658">
        <f t="shared" si="282"/>
        <v>-2.0517763855373294E-3</v>
      </c>
      <c r="R1658">
        <v>705.45001219999995</v>
      </c>
      <c r="S1658">
        <f t="shared" si="283"/>
        <v>-1.3448643363326296E-3</v>
      </c>
      <c r="T1658">
        <v>3988.3999020000001</v>
      </c>
      <c r="U1658">
        <f t="shared" si="284"/>
        <v>9.7854046458636379E-3</v>
      </c>
      <c r="W1658">
        <f t="shared" si="285"/>
        <v>5.2762264516462935E-3</v>
      </c>
      <c r="X1658">
        <v>1.3406109665383317E-2</v>
      </c>
    </row>
    <row r="1659" spans="1:24" x14ac:dyDescent="0.35">
      <c r="A1659" s="1">
        <v>45264</v>
      </c>
      <c r="B1659">
        <v>2420.1999510000001</v>
      </c>
      <c r="C1659">
        <f t="shared" si="275"/>
        <v>1.0817316739736738E-2</v>
      </c>
      <c r="D1659">
        <v>3512.4499510000001</v>
      </c>
      <c r="E1659">
        <f t="shared" si="276"/>
        <v>2.2782709618751618E-4</v>
      </c>
      <c r="F1659">
        <v>1609.400024</v>
      </c>
      <c r="G1659">
        <f t="shared" si="277"/>
        <v>3.4717756954335766E-2</v>
      </c>
      <c r="H1659">
        <v>1032.900024</v>
      </c>
      <c r="I1659">
        <f t="shared" si="278"/>
        <v>1.7936347476854131E-2</v>
      </c>
      <c r="J1659">
        <v>1464.349976</v>
      </c>
      <c r="K1659">
        <f t="shared" si="279"/>
        <v>8.2971332324179858E-3</v>
      </c>
      <c r="L1659">
        <v>454.0499878</v>
      </c>
      <c r="M1659">
        <f t="shared" si="280"/>
        <v>9.4486440979846265E-3</v>
      </c>
      <c r="N1659">
        <v>1231.150024</v>
      </c>
      <c r="O1659">
        <f t="shared" si="281"/>
        <v>-8.1198781725855262E-5</v>
      </c>
      <c r="P1659">
        <v>202.0500031</v>
      </c>
      <c r="Q1659">
        <f t="shared" si="282"/>
        <v>3.8550500542243293E-2</v>
      </c>
      <c r="R1659">
        <v>705.59997559999999</v>
      </c>
      <c r="S1659">
        <f t="shared" si="283"/>
        <v>2.1257835056576191E-4</v>
      </c>
      <c r="T1659">
        <v>3967.1000979999999</v>
      </c>
      <c r="U1659">
        <f t="shared" si="284"/>
        <v>-5.3404384022072149E-3</v>
      </c>
      <c r="W1659">
        <f t="shared" si="285"/>
        <v>1.1478646730639277E-2</v>
      </c>
      <c r="X1659">
        <v>1.3434926065360696E-2</v>
      </c>
    </row>
    <row r="1660" spans="1:24" x14ac:dyDescent="0.35">
      <c r="A1660" s="1">
        <v>45265</v>
      </c>
      <c r="B1660">
        <v>2437.75</v>
      </c>
      <c r="C1660">
        <f t="shared" si="275"/>
        <v>7.2514872139999298E-3</v>
      </c>
      <c r="D1660">
        <v>3531.6000979999999</v>
      </c>
      <c r="E1660">
        <f t="shared" si="276"/>
        <v>5.4520768315995394E-3</v>
      </c>
      <c r="F1660">
        <v>1623.6999510000001</v>
      </c>
      <c r="G1660">
        <f t="shared" si="277"/>
        <v>8.8852533781247356E-3</v>
      </c>
      <c r="H1660">
        <v>1031.099976</v>
      </c>
      <c r="I1660">
        <f t="shared" si="278"/>
        <v>-1.7427127100154705E-3</v>
      </c>
      <c r="J1660">
        <v>1453.9499510000001</v>
      </c>
      <c r="K1660">
        <f t="shared" si="279"/>
        <v>-7.102144412504785E-3</v>
      </c>
      <c r="L1660">
        <v>451.75</v>
      </c>
      <c r="M1660">
        <f t="shared" si="280"/>
        <v>-5.0654946851647065E-3</v>
      </c>
      <c r="N1660">
        <v>1239.5500489999999</v>
      </c>
      <c r="O1660">
        <f t="shared" si="281"/>
        <v>6.8229093418754605E-3</v>
      </c>
      <c r="P1660">
        <v>202.0500031</v>
      </c>
      <c r="Q1660">
        <f t="shared" si="282"/>
        <v>0</v>
      </c>
      <c r="R1660">
        <v>708.95001219999995</v>
      </c>
      <c r="S1660">
        <f t="shared" si="283"/>
        <v>4.7477844612329179E-3</v>
      </c>
      <c r="T1660">
        <v>4039.5500489999999</v>
      </c>
      <c r="U1660">
        <f t="shared" si="284"/>
        <v>1.826269799356095E-2</v>
      </c>
      <c r="W1660">
        <f t="shared" si="285"/>
        <v>3.7511857412708578E-3</v>
      </c>
      <c r="X1660">
        <v>1.3456071933336134E-2</v>
      </c>
    </row>
    <row r="1661" spans="1:24" x14ac:dyDescent="0.35">
      <c r="A1661" s="1">
        <v>45266</v>
      </c>
      <c r="B1661">
        <v>2461.1000979999999</v>
      </c>
      <c r="C1661">
        <f t="shared" si="275"/>
        <v>9.5785449697467495E-3</v>
      </c>
      <c r="D1661">
        <v>3604.1000979999999</v>
      </c>
      <c r="E1661">
        <f t="shared" si="276"/>
        <v>2.0528938154990461E-2</v>
      </c>
      <c r="F1661">
        <v>1627.8000489999999</v>
      </c>
      <c r="G1661">
        <f t="shared" si="277"/>
        <v>2.5251574328586379E-3</v>
      </c>
      <c r="H1661">
        <v>1024.4499510000001</v>
      </c>
      <c r="I1661">
        <f t="shared" si="278"/>
        <v>-6.4494473424369092E-3</v>
      </c>
      <c r="J1661">
        <v>1474.3000489999999</v>
      </c>
      <c r="K1661">
        <f t="shared" si="279"/>
        <v>1.3996422632019501E-2</v>
      </c>
      <c r="L1661">
        <v>463.25</v>
      </c>
      <c r="M1661">
        <f t="shared" si="280"/>
        <v>2.5456557830658477E-2</v>
      </c>
      <c r="N1661">
        <v>1240.349976</v>
      </c>
      <c r="O1661">
        <f t="shared" si="281"/>
        <v>6.4533658858345611E-4</v>
      </c>
      <c r="P1661">
        <v>201.9499969</v>
      </c>
      <c r="Q1661">
        <f t="shared" si="282"/>
        <v>-4.9495767614760044E-4</v>
      </c>
      <c r="R1661">
        <v>722.45001219999995</v>
      </c>
      <c r="S1661">
        <f t="shared" si="283"/>
        <v>1.9042245246751577E-2</v>
      </c>
      <c r="T1661">
        <v>4137.1499020000001</v>
      </c>
      <c r="U1661">
        <f t="shared" si="284"/>
        <v>2.4161070370736226E-2</v>
      </c>
      <c r="W1661">
        <f t="shared" si="285"/>
        <v>1.0898986820776059E-2</v>
      </c>
      <c r="X1661">
        <v>1.3464682653982419E-2</v>
      </c>
    </row>
    <row r="1662" spans="1:24" x14ac:dyDescent="0.35">
      <c r="A1662" s="1">
        <v>45267</v>
      </c>
      <c r="B1662">
        <v>2457.0500489999999</v>
      </c>
      <c r="C1662">
        <f t="shared" si="275"/>
        <v>-1.6456254677699178E-3</v>
      </c>
      <c r="D1662">
        <v>3614.8999020000001</v>
      </c>
      <c r="E1662">
        <f t="shared" si="276"/>
        <v>2.9965327561221056E-3</v>
      </c>
      <c r="F1662">
        <v>1630.4499510000001</v>
      </c>
      <c r="G1662">
        <f t="shared" si="277"/>
        <v>1.6279038703974624E-3</v>
      </c>
      <c r="H1662">
        <v>1000</v>
      </c>
      <c r="I1662">
        <f t="shared" si="278"/>
        <v>-2.3866418243403298E-2</v>
      </c>
      <c r="J1662">
        <v>1465.900024</v>
      </c>
      <c r="K1662">
        <f t="shared" si="279"/>
        <v>-5.6976359769489449E-3</v>
      </c>
      <c r="L1662">
        <v>458.10000609999997</v>
      </c>
      <c r="M1662">
        <f t="shared" si="280"/>
        <v>-1.111709422558016E-2</v>
      </c>
      <c r="N1662">
        <v>1239.3000489999999</v>
      </c>
      <c r="O1662">
        <f t="shared" si="281"/>
        <v>-8.4647641416979447E-4</v>
      </c>
      <c r="P1662">
        <v>198.8999939</v>
      </c>
      <c r="Q1662">
        <f t="shared" si="282"/>
        <v>-1.5102763291995891E-2</v>
      </c>
      <c r="R1662">
        <v>721.95001219999995</v>
      </c>
      <c r="S1662">
        <f t="shared" si="283"/>
        <v>-6.9208940626552806E-4</v>
      </c>
      <c r="T1662">
        <v>4115.4501950000003</v>
      </c>
      <c r="U1662">
        <f t="shared" si="284"/>
        <v>-5.2450859925354809E-3</v>
      </c>
      <c r="W1662">
        <f t="shared" si="285"/>
        <v>-5.9588752392149445E-3</v>
      </c>
      <c r="X1662">
        <v>1.3468991114689976E-2</v>
      </c>
    </row>
    <row r="1663" spans="1:24" x14ac:dyDescent="0.35">
      <c r="A1663" s="1">
        <v>45268</v>
      </c>
      <c r="B1663">
        <v>2455.75</v>
      </c>
      <c r="C1663">
        <f t="shared" si="275"/>
        <v>-5.2910969417541143E-4</v>
      </c>
      <c r="D1663">
        <v>3626.6999510000001</v>
      </c>
      <c r="E1663">
        <f t="shared" si="276"/>
        <v>3.2642809814653617E-3</v>
      </c>
      <c r="F1663">
        <v>1653.1999510000001</v>
      </c>
      <c r="G1663">
        <f t="shared" si="277"/>
        <v>1.3953203522774071E-2</v>
      </c>
      <c r="H1663">
        <v>1000.25</v>
      </c>
      <c r="I1663">
        <f t="shared" si="278"/>
        <v>2.5000000000008349E-4</v>
      </c>
      <c r="J1663">
        <v>1491.150024</v>
      </c>
      <c r="K1663">
        <f t="shared" si="279"/>
        <v>1.7224912740706699E-2</v>
      </c>
      <c r="L1663">
        <v>449.14999390000003</v>
      </c>
      <c r="M1663">
        <f t="shared" si="280"/>
        <v>-1.9537245319412255E-2</v>
      </c>
      <c r="N1663">
        <v>1235.8000489999999</v>
      </c>
      <c r="O1663">
        <f t="shared" si="281"/>
        <v>-2.8241748258012178E-3</v>
      </c>
      <c r="P1663">
        <v>195.9499969</v>
      </c>
      <c r="Q1663">
        <f t="shared" si="282"/>
        <v>-1.4831559027011054E-2</v>
      </c>
      <c r="R1663">
        <v>714.54998780000005</v>
      </c>
      <c r="S1663">
        <f t="shared" si="283"/>
        <v>-1.02500509383604E-2</v>
      </c>
      <c r="T1663">
        <v>4070.6499020000001</v>
      </c>
      <c r="U1663">
        <f t="shared" si="284"/>
        <v>-1.0885879035647084E-2</v>
      </c>
      <c r="W1663">
        <f t="shared" si="285"/>
        <v>-2.4165621595461208E-3</v>
      </c>
      <c r="X1663">
        <v>1.3490115025065454E-2</v>
      </c>
    </row>
    <row r="1664" spans="1:24" x14ac:dyDescent="0.35">
      <c r="A1664" s="1">
        <v>45271</v>
      </c>
      <c r="B1664">
        <v>2459.3500979999999</v>
      </c>
      <c r="C1664">
        <f t="shared" si="275"/>
        <v>1.4659871729614249E-3</v>
      </c>
      <c r="D1664">
        <v>3642.8999020000001</v>
      </c>
      <c r="E1664">
        <f t="shared" si="276"/>
        <v>4.4668572583550503E-3</v>
      </c>
      <c r="F1664">
        <v>1651</v>
      </c>
      <c r="G1664">
        <f t="shared" si="277"/>
        <v>-1.3307228799935844E-3</v>
      </c>
      <c r="H1664">
        <v>1000.849976</v>
      </c>
      <c r="I1664">
        <f t="shared" si="278"/>
        <v>5.9982604348918223E-4</v>
      </c>
      <c r="J1664">
        <v>1488.5</v>
      </c>
      <c r="K1664">
        <f t="shared" si="279"/>
        <v>-1.7771679290131681E-3</v>
      </c>
      <c r="L1664">
        <v>452.4500122</v>
      </c>
      <c r="M1664">
        <f t="shared" si="280"/>
        <v>7.3472522427211473E-3</v>
      </c>
      <c r="N1664">
        <v>1241.400024</v>
      </c>
      <c r="O1664">
        <f t="shared" si="281"/>
        <v>4.5314571758849898E-3</v>
      </c>
      <c r="P1664">
        <v>197.8000031</v>
      </c>
      <c r="Q1664">
        <f t="shared" si="282"/>
        <v>9.4412157655920925E-3</v>
      </c>
      <c r="R1664">
        <v>720.79998780000005</v>
      </c>
      <c r="S1664">
        <f t="shared" si="283"/>
        <v>8.7467638467713105E-3</v>
      </c>
      <c r="T1664">
        <v>4069.75</v>
      </c>
      <c r="U1664">
        <f t="shared" si="284"/>
        <v>-2.210708416752194E-4</v>
      </c>
      <c r="W1664">
        <f t="shared" si="285"/>
        <v>3.3270397855093225E-3</v>
      </c>
      <c r="X1664">
        <v>1.35099583330492E-2</v>
      </c>
    </row>
    <row r="1665" spans="1:24" x14ac:dyDescent="0.35">
      <c r="A1665" s="1">
        <v>45272</v>
      </c>
      <c r="B1665">
        <v>2424.0500489999999</v>
      </c>
      <c r="C1665">
        <f t="shared" si="275"/>
        <v>-1.4353405409301745E-2</v>
      </c>
      <c r="D1665">
        <v>3672.1000979999999</v>
      </c>
      <c r="E1665">
        <f t="shared" si="276"/>
        <v>8.0156459923503842E-3</v>
      </c>
      <c r="F1665">
        <v>1634.599976</v>
      </c>
      <c r="G1665">
        <f t="shared" si="277"/>
        <v>-9.9333882495457049E-3</v>
      </c>
      <c r="H1665">
        <v>995.25</v>
      </c>
      <c r="I1665">
        <f t="shared" si="278"/>
        <v>-5.5952201971176674E-3</v>
      </c>
      <c r="J1665">
        <v>1476.0500489999999</v>
      </c>
      <c r="K1665">
        <f t="shared" si="279"/>
        <v>-8.3640920389654871E-3</v>
      </c>
      <c r="L1665">
        <v>453.10000609999997</v>
      </c>
      <c r="M1665">
        <f t="shared" si="280"/>
        <v>1.436609310362158E-3</v>
      </c>
      <c r="N1665">
        <v>1218</v>
      </c>
      <c r="O1665">
        <f t="shared" si="281"/>
        <v>-1.8849704807158973E-2</v>
      </c>
      <c r="P1665">
        <v>195.3999939</v>
      </c>
      <c r="Q1665">
        <f t="shared" si="282"/>
        <v>-1.2133514471112772E-2</v>
      </c>
      <c r="R1665">
        <v>715.40002440000001</v>
      </c>
      <c r="S1665">
        <f t="shared" si="283"/>
        <v>-7.4916252655353732E-3</v>
      </c>
      <c r="T1665">
        <v>4075.3999020000001</v>
      </c>
      <c r="U1665">
        <f t="shared" si="284"/>
        <v>1.3882675840040104E-3</v>
      </c>
      <c r="W1665">
        <f t="shared" si="285"/>
        <v>-6.5880427552021167E-3</v>
      </c>
      <c r="X1665">
        <v>1.3509959509741133E-2</v>
      </c>
    </row>
    <row r="1666" spans="1:24" x14ac:dyDescent="0.35">
      <c r="A1666" s="1">
        <v>45273</v>
      </c>
      <c r="B1666">
        <v>2433.9499510000001</v>
      </c>
      <c r="C1666">
        <f t="shared" si="275"/>
        <v>4.0840336626235541E-3</v>
      </c>
      <c r="D1666">
        <v>3593.5500489999999</v>
      </c>
      <c r="E1666">
        <f t="shared" si="276"/>
        <v>-2.1391042429039997E-2</v>
      </c>
      <c r="F1666">
        <v>1630.900024</v>
      </c>
      <c r="G1666">
        <f t="shared" si="277"/>
        <v>-2.2635213840233037E-3</v>
      </c>
      <c r="H1666">
        <v>999.90002440000001</v>
      </c>
      <c r="I1666">
        <f t="shared" si="278"/>
        <v>4.6722174328057697E-3</v>
      </c>
      <c r="J1666">
        <v>1449</v>
      </c>
      <c r="K1666">
        <f t="shared" si="279"/>
        <v>-1.8325970056588425E-2</v>
      </c>
      <c r="L1666">
        <v>455.64999390000003</v>
      </c>
      <c r="M1666">
        <f t="shared" si="280"/>
        <v>5.6278697101523889E-3</v>
      </c>
      <c r="N1666">
        <v>1233.099976</v>
      </c>
      <c r="O1666">
        <f t="shared" si="281"/>
        <v>1.239735303776679E-2</v>
      </c>
      <c r="P1666">
        <v>193.1499939</v>
      </c>
      <c r="Q1666">
        <f t="shared" si="282"/>
        <v>-1.1514841710545176E-2</v>
      </c>
      <c r="R1666">
        <v>720.29998780000005</v>
      </c>
      <c r="S1666">
        <f t="shared" si="283"/>
        <v>6.8492636746966262E-3</v>
      </c>
      <c r="T1666">
        <v>4033.0500489999999</v>
      </c>
      <c r="U1666">
        <f t="shared" si="284"/>
        <v>-1.0391582180491521E-2</v>
      </c>
      <c r="W1666">
        <f t="shared" si="285"/>
        <v>-3.0256220242643296E-3</v>
      </c>
      <c r="X1666">
        <v>1.3524183289173097E-2</v>
      </c>
    </row>
    <row r="1667" spans="1:24" x14ac:dyDescent="0.35">
      <c r="A1667" s="1">
        <v>45274</v>
      </c>
      <c r="B1667">
        <v>2464.1499020000001</v>
      </c>
      <c r="C1667">
        <f t="shared" si="275"/>
        <v>1.2407794575887809E-2</v>
      </c>
      <c r="D1667">
        <v>3667.25</v>
      </c>
      <c r="E1667">
        <f t="shared" si="276"/>
        <v>2.0508953540387953E-2</v>
      </c>
      <c r="F1667">
        <v>1650.150024</v>
      </c>
      <c r="G1667">
        <f t="shared" si="277"/>
        <v>1.1803298618382918E-2</v>
      </c>
      <c r="H1667">
        <v>1005.200012</v>
      </c>
      <c r="I1667">
        <f t="shared" si="278"/>
        <v>5.3005175224196677E-3</v>
      </c>
      <c r="J1667">
        <v>1501.4499510000001</v>
      </c>
      <c r="K1667">
        <f t="shared" si="279"/>
        <v>3.6197343685300254E-2</v>
      </c>
      <c r="L1667">
        <v>460.10000609999997</v>
      </c>
      <c r="M1667">
        <f t="shared" si="280"/>
        <v>9.7662948745185219E-3</v>
      </c>
      <c r="N1667">
        <v>1231.3000489999999</v>
      </c>
      <c r="O1667">
        <f t="shared" si="281"/>
        <v>-1.4596764536795037E-3</v>
      </c>
      <c r="P1667">
        <v>195.9499969</v>
      </c>
      <c r="Q1667">
        <f t="shared" si="282"/>
        <v>1.4496521296550879E-2</v>
      </c>
      <c r="R1667">
        <v>719.75</v>
      </c>
      <c r="S1667">
        <f t="shared" si="283"/>
        <v>-7.6355380996173672E-4</v>
      </c>
      <c r="T1667">
        <v>4070.0500489999999</v>
      </c>
      <c r="U1667">
        <f t="shared" si="284"/>
        <v>9.1741980760129405E-3</v>
      </c>
      <c r="W1667">
        <f t="shared" si="285"/>
        <v>1.1743169192581971E-2</v>
      </c>
      <c r="X1667">
        <v>1.3551013190520825E-2</v>
      </c>
    </row>
    <row r="1668" spans="1:24" x14ac:dyDescent="0.35">
      <c r="A1668" s="1">
        <v>45275</v>
      </c>
      <c r="B1668">
        <v>2495.6000979999999</v>
      </c>
      <c r="C1668">
        <f t="shared" ref="C1668:C1731" si="286">B1668/B1667 - 1</f>
        <v>1.2763101779836417E-2</v>
      </c>
      <c r="D1668">
        <v>3861</v>
      </c>
      <c r="E1668">
        <f t="shared" ref="E1668:E1731" si="287">D1668/D1667 - 1</f>
        <v>5.2832503919830964E-2</v>
      </c>
      <c r="F1668">
        <v>1656.5500489999999</v>
      </c>
      <c r="G1668">
        <f t="shared" ref="G1668:G1731" si="288">F1668/F1667 - 1</f>
        <v>3.8784503874902398E-3</v>
      </c>
      <c r="H1668">
        <v>992.54998780000005</v>
      </c>
      <c r="I1668">
        <f t="shared" ref="I1668:I1731" si="289">H1668/H1667 - 1</f>
        <v>-1.2584584211087324E-2</v>
      </c>
      <c r="J1668">
        <v>1578.400024</v>
      </c>
      <c r="K1668">
        <f t="shared" ref="K1668:K1731" si="290">J1668/J1667 -1</f>
        <v>5.1250508182939747E-2</v>
      </c>
      <c r="L1668">
        <v>458.2000122</v>
      </c>
      <c r="M1668">
        <f t="shared" ref="M1668:M1731" si="291">L1668/L1667 -1</f>
        <v>-4.1295237444248789E-3</v>
      </c>
      <c r="N1668">
        <v>1235.75</v>
      </c>
      <c r="O1668">
        <f t="shared" ref="O1668:O1731" si="292">N1668/N1667-1</f>
        <v>3.6140264946906697E-3</v>
      </c>
      <c r="P1668">
        <v>201.0500031</v>
      </c>
      <c r="Q1668">
        <f t="shared" ref="Q1668:Q1731" si="293">P1668/P1667 -1</f>
        <v>2.6027079768736527E-2</v>
      </c>
      <c r="R1668">
        <v>732.40002440000001</v>
      </c>
      <c r="S1668">
        <f t="shared" ref="S1668:S1731" si="294">R1668/R1667 - 1</f>
        <v>1.7575580965613069E-2</v>
      </c>
      <c r="T1668">
        <v>4045.6499020000001</v>
      </c>
      <c r="U1668">
        <f t="shared" ref="U1668:U1731" si="295">T1668/T1667 - 1</f>
        <v>-5.9950483916026975E-3</v>
      </c>
      <c r="W1668">
        <f t="shared" ref="W1668:W1731" si="296">0.1*C1668+0.1*E1668+0.1*G1668+0.1*I1668+0.1*K1668+0.1*M1668+0.1*O1668+0.1*Q1668+0.1*S1668+0.1*U1668</f>
        <v>1.4523209515202274E-2</v>
      </c>
      <c r="X1668">
        <v>1.356695487842785E-2</v>
      </c>
    </row>
    <row r="1669" spans="1:24" x14ac:dyDescent="0.35">
      <c r="A1669" s="1">
        <v>45278</v>
      </c>
      <c r="B1669">
        <v>2521</v>
      </c>
      <c r="C1669">
        <f t="shared" si="286"/>
        <v>1.0177873458314002E-2</v>
      </c>
      <c r="D1669">
        <v>3859.1999510000001</v>
      </c>
      <c r="E1669">
        <f t="shared" si="287"/>
        <v>-4.6621315721318002E-4</v>
      </c>
      <c r="F1669">
        <v>1655.6999510000001</v>
      </c>
      <c r="G1669">
        <f t="shared" si="288"/>
        <v>-5.1317374957249307E-4</v>
      </c>
      <c r="H1669">
        <v>990.25</v>
      </c>
      <c r="I1669">
        <f t="shared" si="289"/>
        <v>-2.3172513508342707E-3</v>
      </c>
      <c r="J1669">
        <v>1564.349976</v>
      </c>
      <c r="K1669">
        <f t="shared" si="290"/>
        <v>-8.9014494338350847E-3</v>
      </c>
      <c r="L1669">
        <v>451.64999390000003</v>
      </c>
      <c r="M1669">
        <f t="shared" si="291"/>
        <v>-1.429510721431615E-2</v>
      </c>
      <c r="N1669">
        <v>1252.75</v>
      </c>
      <c r="O1669">
        <f t="shared" si="292"/>
        <v>1.3756827837345664E-2</v>
      </c>
      <c r="P1669">
        <v>199</v>
      </c>
      <c r="Q1669">
        <f t="shared" si="293"/>
        <v>-1.0196483801994005E-2</v>
      </c>
      <c r="R1669">
        <v>730.79998780000005</v>
      </c>
      <c r="S1669">
        <f t="shared" si="294"/>
        <v>-2.1846484799215027E-3</v>
      </c>
      <c r="T1669">
        <v>4010.1499020000001</v>
      </c>
      <c r="U1669">
        <f t="shared" si="295"/>
        <v>-8.7748571576721224E-3</v>
      </c>
      <c r="W1669">
        <f t="shared" si="296"/>
        <v>-2.3714483049699147E-3</v>
      </c>
      <c r="X1669">
        <v>1.3709876114672536E-2</v>
      </c>
    </row>
    <row r="1670" spans="1:24" x14ac:dyDescent="0.35">
      <c r="A1670" s="1">
        <v>45279</v>
      </c>
      <c r="B1670">
        <v>2558.1000979999999</v>
      </c>
      <c r="C1670">
        <f t="shared" si="286"/>
        <v>1.4716421261404156E-2</v>
      </c>
      <c r="D1670">
        <v>3816.1999510000001</v>
      </c>
      <c r="E1670">
        <f t="shared" si="287"/>
        <v>-1.1142205779946179E-2</v>
      </c>
      <c r="F1670">
        <v>1652.900024</v>
      </c>
      <c r="G1670">
        <f t="shared" si="288"/>
        <v>-1.6910835796720702E-3</v>
      </c>
      <c r="H1670">
        <v>988.45001219999995</v>
      </c>
      <c r="I1670">
        <f t="shared" si="289"/>
        <v>-1.8177104771522901E-3</v>
      </c>
      <c r="J1670">
        <v>1558.3000489999999</v>
      </c>
      <c r="K1670">
        <f t="shared" si="290"/>
        <v>-3.8673743681509887E-3</v>
      </c>
      <c r="L1670">
        <v>456.10000609999997</v>
      </c>
      <c r="M1670">
        <f t="shared" si="291"/>
        <v>9.8527892396811367E-3</v>
      </c>
      <c r="N1670">
        <v>1244.9499510000001</v>
      </c>
      <c r="O1670">
        <f t="shared" si="292"/>
        <v>-6.2263412492515879E-3</v>
      </c>
      <c r="P1670">
        <v>200.3000031</v>
      </c>
      <c r="Q1670">
        <f t="shared" si="293"/>
        <v>6.532678894472399E-3</v>
      </c>
      <c r="R1670">
        <v>728.95001219999995</v>
      </c>
      <c r="S1670">
        <f t="shared" si="294"/>
        <v>-2.5314390132508136E-3</v>
      </c>
      <c r="T1670">
        <v>4021.3500979999999</v>
      </c>
      <c r="U1670">
        <f t="shared" si="295"/>
        <v>2.7929619275364193E-3</v>
      </c>
      <c r="W1670">
        <f t="shared" si="296"/>
        <v>6.6186968556701791E-4</v>
      </c>
      <c r="X1670">
        <v>1.3734456458099587E-2</v>
      </c>
    </row>
    <row r="1671" spans="1:24" x14ac:dyDescent="0.35">
      <c r="A1671" s="1">
        <v>45280</v>
      </c>
      <c r="B1671">
        <v>2527.1499020000001</v>
      </c>
      <c r="C1671">
        <f t="shared" si="286"/>
        <v>-1.2098899501312599E-2</v>
      </c>
      <c r="D1671">
        <v>3780.0500489999999</v>
      </c>
      <c r="E1671">
        <f t="shared" si="287"/>
        <v>-9.4727484052630206E-3</v>
      </c>
      <c r="F1671">
        <v>1657</v>
      </c>
      <c r="G1671">
        <f t="shared" si="288"/>
        <v>2.4804742818491654E-3</v>
      </c>
      <c r="H1671">
        <v>971.54998780000005</v>
      </c>
      <c r="I1671">
        <f t="shared" si="289"/>
        <v>-1.7097500320107595E-2</v>
      </c>
      <c r="J1671">
        <v>1536.400024</v>
      </c>
      <c r="K1671">
        <f t="shared" si="290"/>
        <v>-1.4053792152579181E-2</v>
      </c>
      <c r="L1671">
        <v>451</v>
      </c>
      <c r="M1671">
        <f t="shared" si="291"/>
        <v>-1.1181771611030844E-2</v>
      </c>
      <c r="N1671">
        <v>1232.150024</v>
      </c>
      <c r="O1671">
        <f t="shared" si="292"/>
        <v>-1.0281479178916864E-2</v>
      </c>
      <c r="P1671">
        <v>203.1999969</v>
      </c>
      <c r="Q1671">
        <f t="shared" si="293"/>
        <v>1.447825139848935E-2</v>
      </c>
      <c r="R1671">
        <v>705.25</v>
      </c>
      <c r="S1671">
        <f t="shared" si="294"/>
        <v>-3.2512534197608911E-2</v>
      </c>
      <c r="T1671">
        <v>3965.8999020000001</v>
      </c>
      <c r="U1671">
        <f t="shared" si="295"/>
        <v>-1.3788950140794176E-2</v>
      </c>
      <c r="W1671">
        <f t="shared" si="296"/>
        <v>-1.0352894982727468E-2</v>
      </c>
      <c r="X1671">
        <v>1.3837751959116372E-2</v>
      </c>
    </row>
    <row r="1672" spans="1:24" x14ac:dyDescent="0.35">
      <c r="A1672" s="1">
        <v>45281</v>
      </c>
      <c r="B1672">
        <v>2562.5500489999999</v>
      </c>
      <c r="C1672">
        <f t="shared" si="286"/>
        <v>1.4007933194617461E-2</v>
      </c>
      <c r="D1672">
        <v>3787.5</v>
      </c>
      <c r="E1672">
        <f t="shared" si="287"/>
        <v>1.9708604128061413E-3</v>
      </c>
      <c r="F1672">
        <v>1686.6999510000001</v>
      </c>
      <c r="G1672">
        <f t="shared" si="288"/>
        <v>1.7923929390464721E-2</v>
      </c>
      <c r="H1672">
        <v>977.90002440000001</v>
      </c>
      <c r="I1672">
        <f t="shared" si="289"/>
        <v>6.5359854662538908E-3</v>
      </c>
      <c r="J1672">
        <v>1536</v>
      </c>
      <c r="K1672">
        <f t="shared" si="290"/>
        <v>-2.6036448434740844E-4</v>
      </c>
      <c r="L1672">
        <v>451.4500122</v>
      </c>
      <c r="M1672">
        <f t="shared" si="291"/>
        <v>9.9780975609764511E-4</v>
      </c>
      <c r="N1672">
        <v>1233.5</v>
      </c>
      <c r="O1672">
        <f t="shared" si="292"/>
        <v>1.095626322854315E-3</v>
      </c>
      <c r="P1672">
        <v>202.6499939</v>
      </c>
      <c r="Q1672">
        <f t="shared" si="293"/>
        <v>-2.7067077184586008E-3</v>
      </c>
      <c r="R1672">
        <v>708.84997559999999</v>
      </c>
      <c r="S1672">
        <f t="shared" si="294"/>
        <v>5.1045382488479341E-3</v>
      </c>
      <c r="T1672">
        <v>3954.5</v>
      </c>
      <c r="U1672">
        <f t="shared" si="295"/>
        <v>-2.874480516830813E-3</v>
      </c>
      <c r="W1672">
        <f t="shared" si="296"/>
        <v>4.179513007230528E-3</v>
      </c>
      <c r="X1672">
        <v>1.3905800005606541E-2</v>
      </c>
    </row>
    <row r="1673" spans="1:24" x14ac:dyDescent="0.35">
      <c r="A1673" s="1">
        <v>45282</v>
      </c>
      <c r="B1673">
        <v>2565.0500489999999</v>
      </c>
      <c r="C1673">
        <f t="shared" si="286"/>
        <v>9.7559070152630767E-4</v>
      </c>
      <c r="D1673">
        <v>3824</v>
      </c>
      <c r="E1673">
        <f t="shared" si="287"/>
        <v>9.6369636963695715E-3</v>
      </c>
      <c r="F1673">
        <v>1670.849976</v>
      </c>
      <c r="G1673">
        <f t="shared" si="288"/>
        <v>-9.3970329403300079E-3</v>
      </c>
      <c r="H1673">
        <v>989.54998780000005</v>
      </c>
      <c r="I1673">
        <f t="shared" si="289"/>
        <v>1.1913245842434694E-2</v>
      </c>
      <c r="J1673">
        <v>1562.900024</v>
      </c>
      <c r="K1673">
        <f t="shared" si="290"/>
        <v>1.7513036458333353E-2</v>
      </c>
      <c r="L1673">
        <v>455.2000122</v>
      </c>
      <c r="M1673">
        <f t="shared" si="291"/>
        <v>8.3065675017386376E-3</v>
      </c>
      <c r="N1673">
        <v>1243.650024</v>
      </c>
      <c r="O1673">
        <f t="shared" si="292"/>
        <v>8.2286372111877171E-3</v>
      </c>
      <c r="P1673">
        <v>203.9499969</v>
      </c>
      <c r="Q1673">
        <f t="shared" si="293"/>
        <v>6.4150162306024772E-3</v>
      </c>
      <c r="R1673">
        <v>724.70001219999995</v>
      </c>
      <c r="S1673">
        <f t="shared" si="294"/>
        <v>2.2360213226478409E-2</v>
      </c>
      <c r="T1673">
        <v>4007.9499510000001</v>
      </c>
      <c r="U1673">
        <f t="shared" si="295"/>
        <v>1.3516234922240411E-2</v>
      </c>
      <c r="W1673">
        <f t="shared" si="296"/>
        <v>8.9468472850581567E-3</v>
      </c>
      <c r="X1673">
        <v>1.391058124046184E-2</v>
      </c>
    </row>
    <row r="1674" spans="1:24" x14ac:dyDescent="0.35">
      <c r="A1674" s="1">
        <v>45286</v>
      </c>
      <c r="B1674">
        <v>2578.0500489999999</v>
      </c>
      <c r="C1674">
        <f t="shared" si="286"/>
        <v>5.0681272301364988E-3</v>
      </c>
      <c r="D1674">
        <v>3795.5500489999999</v>
      </c>
      <c r="E1674">
        <f t="shared" si="287"/>
        <v>-7.4398407426777835E-3</v>
      </c>
      <c r="F1674">
        <v>1682.4499510000001</v>
      </c>
      <c r="G1674">
        <f t="shared" si="288"/>
        <v>6.942559276189586E-3</v>
      </c>
      <c r="H1674">
        <v>999.84997559999999</v>
      </c>
      <c r="I1674">
        <f t="shared" si="289"/>
        <v>1.0408759463379047E-2</v>
      </c>
      <c r="J1674">
        <v>1543.9499510000001</v>
      </c>
      <c r="K1674">
        <f t="shared" si="290"/>
        <v>-1.2124942548468409E-2</v>
      </c>
      <c r="L1674">
        <v>456.4500122</v>
      </c>
      <c r="M1674">
        <f t="shared" si="291"/>
        <v>2.7460456206025441E-3</v>
      </c>
      <c r="N1674">
        <v>1247.5</v>
      </c>
      <c r="O1674">
        <f t="shared" si="292"/>
        <v>3.0957069317758545E-3</v>
      </c>
      <c r="P1674">
        <v>207.3500061</v>
      </c>
      <c r="Q1674">
        <f t="shared" si="293"/>
        <v>1.6670797997938136E-2</v>
      </c>
      <c r="R1674">
        <v>719.54998780000005</v>
      </c>
      <c r="S1674">
        <f t="shared" si="294"/>
        <v>-7.1064224000296772E-3</v>
      </c>
      <c r="T1674">
        <v>4023.4499510000001</v>
      </c>
      <c r="U1674">
        <f t="shared" si="295"/>
        <v>3.8673137612741382E-3</v>
      </c>
      <c r="W1674">
        <f t="shared" si="296"/>
        <v>2.2128104590119937E-3</v>
      </c>
      <c r="X1674">
        <v>1.3963033289202899E-2</v>
      </c>
    </row>
    <row r="1675" spans="1:24" x14ac:dyDescent="0.35">
      <c r="A1675" s="1">
        <v>45287</v>
      </c>
      <c r="B1675">
        <v>2586.8500979999999</v>
      </c>
      <c r="C1675">
        <f t="shared" si="286"/>
        <v>3.4134515749271177E-3</v>
      </c>
      <c r="D1675">
        <v>3811.1999510000001</v>
      </c>
      <c r="E1675">
        <f t="shared" si="287"/>
        <v>4.1232237219801515E-3</v>
      </c>
      <c r="F1675">
        <v>1703.3000489999999</v>
      </c>
      <c r="G1675">
        <f t="shared" si="288"/>
        <v>1.2392700292574554E-2</v>
      </c>
      <c r="H1675">
        <v>1021.200012</v>
      </c>
      <c r="I1675">
        <f t="shared" si="289"/>
        <v>2.1353239907005106E-2</v>
      </c>
      <c r="J1675">
        <v>1567.099976</v>
      </c>
      <c r="K1675">
        <f t="shared" si="290"/>
        <v>1.499402554144047E-2</v>
      </c>
      <c r="L1675">
        <v>457.10000609999997</v>
      </c>
      <c r="M1675">
        <f t="shared" si="291"/>
        <v>1.4240198984050156E-3</v>
      </c>
      <c r="N1675">
        <v>1252.4499510000001</v>
      </c>
      <c r="O1675">
        <f t="shared" si="292"/>
        <v>3.9678965931864152E-3</v>
      </c>
      <c r="P1675">
        <v>205.5500031</v>
      </c>
      <c r="Q1675">
        <f t="shared" si="293"/>
        <v>-8.6809884111211932E-3</v>
      </c>
      <c r="R1675">
        <v>740.90002440000001</v>
      </c>
      <c r="S1675">
        <f t="shared" si="294"/>
        <v>2.9671373722452543E-2</v>
      </c>
      <c r="T1675">
        <v>4027.4499510000001</v>
      </c>
      <c r="U1675">
        <f t="shared" si="295"/>
        <v>9.9417168070048412E-4</v>
      </c>
      <c r="W1675">
        <f t="shared" si="296"/>
        <v>8.3653114521550671E-3</v>
      </c>
      <c r="X1675">
        <v>1.4040143320876374E-2</v>
      </c>
    </row>
    <row r="1676" spans="1:24" x14ac:dyDescent="0.35">
      <c r="A1676" s="1">
        <v>45288</v>
      </c>
      <c r="B1676">
        <v>2605.5500489999999</v>
      </c>
      <c r="C1676">
        <f t="shared" si="286"/>
        <v>7.2288498720731731E-3</v>
      </c>
      <c r="D1676">
        <v>3799.8999020000001</v>
      </c>
      <c r="E1676">
        <f t="shared" si="287"/>
        <v>-2.9649583189763629E-3</v>
      </c>
      <c r="F1676">
        <v>1705.25</v>
      </c>
      <c r="G1676">
        <f t="shared" si="288"/>
        <v>1.1448076932452089E-3</v>
      </c>
      <c r="H1676">
        <v>1036.6999510000001</v>
      </c>
      <c r="I1676">
        <f t="shared" si="289"/>
        <v>1.5178161787957389E-2</v>
      </c>
      <c r="J1676">
        <v>1562.650024</v>
      </c>
      <c r="K1676">
        <f t="shared" si="290"/>
        <v>-2.8396095132094956E-3</v>
      </c>
      <c r="L1676">
        <v>464.10000609999997</v>
      </c>
      <c r="M1676">
        <f t="shared" si="291"/>
        <v>1.5313935477105689E-2</v>
      </c>
      <c r="N1676">
        <v>1262.150024</v>
      </c>
      <c r="O1676">
        <f t="shared" si="292"/>
        <v>7.7448787412663922E-3</v>
      </c>
      <c r="P1676">
        <v>208.3000031</v>
      </c>
      <c r="Q1676">
        <f t="shared" si="293"/>
        <v>1.3378739764173808E-2</v>
      </c>
      <c r="R1676">
        <v>753.90002440000001</v>
      </c>
      <c r="S1676">
        <f t="shared" si="294"/>
        <v>1.7546226983225832E-2</v>
      </c>
      <c r="T1676">
        <v>4044.6499020000001</v>
      </c>
      <c r="U1676">
        <f t="shared" si="295"/>
        <v>4.2706802590382065E-3</v>
      </c>
      <c r="W1676">
        <f t="shared" si="296"/>
        <v>7.6001712745899846E-3</v>
      </c>
      <c r="X1676">
        <v>1.4045487365091713E-2</v>
      </c>
    </row>
    <row r="1677" spans="1:24" x14ac:dyDescent="0.35">
      <c r="A1677" s="1">
        <v>45289</v>
      </c>
      <c r="B1677">
        <v>2584.9499510000001</v>
      </c>
      <c r="C1677">
        <f t="shared" si="286"/>
        <v>-7.9062376897753861E-3</v>
      </c>
      <c r="D1677">
        <v>3793.3999020000001</v>
      </c>
      <c r="E1677">
        <f t="shared" si="287"/>
        <v>-1.7105713749403506E-3</v>
      </c>
      <c r="F1677">
        <v>1709.25</v>
      </c>
      <c r="G1677">
        <f t="shared" si="288"/>
        <v>2.3456971118605008E-3</v>
      </c>
      <c r="H1677">
        <v>1032.1999510000001</v>
      </c>
      <c r="I1677">
        <f t="shared" si="289"/>
        <v>-4.340696645793507E-3</v>
      </c>
      <c r="J1677">
        <v>1542.900024</v>
      </c>
      <c r="K1677">
        <f t="shared" si="290"/>
        <v>-1.2638786482365938E-2</v>
      </c>
      <c r="L1677">
        <v>462.10000609999997</v>
      </c>
      <c r="M1677">
        <f t="shared" si="291"/>
        <v>-4.3094160174802498E-3</v>
      </c>
      <c r="N1677">
        <v>1259.4499510000001</v>
      </c>
      <c r="O1677">
        <f t="shared" si="292"/>
        <v>-2.1392647059839121E-3</v>
      </c>
      <c r="P1677">
        <v>205.0500031</v>
      </c>
      <c r="Q1677">
        <f t="shared" si="293"/>
        <v>-1.5602496167221647E-2</v>
      </c>
      <c r="R1677">
        <v>779.95001219999995</v>
      </c>
      <c r="S1677">
        <f t="shared" si="294"/>
        <v>3.4553637029965723E-2</v>
      </c>
      <c r="T1677">
        <v>4082.6499020000001</v>
      </c>
      <c r="U1677">
        <f t="shared" si="295"/>
        <v>9.3951271236627498E-3</v>
      </c>
      <c r="W1677">
        <f t="shared" si="296"/>
        <v>-2.3530078180720125E-4</v>
      </c>
      <c r="X1677">
        <v>1.4105293692203659E-2</v>
      </c>
    </row>
    <row r="1678" spans="1:24" x14ac:dyDescent="0.35">
      <c r="A1678" s="1">
        <v>45292</v>
      </c>
      <c r="B1678">
        <v>2590.25</v>
      </c>
      <c r="C1678">
        <f t="shared" si="286"/>
        <v>2.0503487883583027E-3</v>
      </c>
      <c r="D1678">
        <v>3811.1000979999999</v>
      </c>
      <c r="E1678">
        <f t="shared" si="287"/>
        <v>4.6660506293227932E-3</v>
      </c>
      <c r="F1678">
        <v>1698.099976</v>
      </c>
      <c r="G1678">
        <f t="shared" si="288"/>
        <v>-6.523342986690106E-3</v>
      </c>
      <c r="H1678">
        <v>1013.049988</v>
      </c>
      <c r="I1678">
        <f t="shared" si="289"/>
        <v>-1.8552571119042849E-2</v>
      </c>
      <c r="J1678">
        <v>1551.349976</v>
      </c>
      <c r="K1678">
        <f t="shared" si="290"/>
        <v>5.4766685258667014E-3</v>
      </c>
      <c r="L1678">
        <v>468.0499878</v>
      </c>
      <c r="M1678">
        <f t="shared" si="291"/>
        <v>1.2875961093825383E-2</v>
      </c>
      <c r="N1678">
        <v>1260.25</v>
      </c>
      <c r="O1678">
        <f t="shared" si="292"/>
        <v>6.3523683443289514E-4</v>
      </c>
      <c r="P1678">
        <v>205.3500061</v>
      </c>
      <c r="Q1678">
        <f t="shared" si="293"/>
        <v>1.4630723992414829E-3</v>
      </c>
      <c r="R1678">
        <v>790.59997559999999</v>
      </c>
      <c r="S1678">
        <f t="shared" si="294"/>
        <v>1.3654674316831983E-2</v>
      </c>
      <c r="T1678">
        <v>4064.75</v>
      </c>
      <c r="U1678">
        <f t="shared" si="295"/>
        <v>-4.3843832877346056E-3</v>
      </c>
      <c r="W1678">
        <f t="shared" si="296"/>
        <v>1.136171519441198E-3</v>
      </c>
      <c r="X1678">
        <v>1.4136495106047422E-2</v>
      </c>
    </row>
    <row r="1679" spans="1:24" x14ac:dyDescent="0.35">
      <c r="A1679" s="1">
        <v>45293</v>
      </c>
      <c r="B1679">
        <v>2611.6999510000001</v>
      </c>
      <c r="C1679">
        <f t="shared" si="286"/>
        <v>8.2810350352282569E-3</v>
      </c>
      <c r="D1679">
        <v>3783.1999510000001</v>
      </c>
      <c r="E1679">
        <f t="shared" si="287"/>
        <v>-7.3207594349572469E-3</v>
      </c>
      <c r="F1679">
        <v>1699.099976</v>
      </c>
      <c r="G1679">
        <f t="shared" si="288"/>
        <v>5.8889347749446763E-4</v>
      </c>
      <c r="H1679">
        <v>1021.700012</v>
      </c>
      <c r="I1679">
        <f t="shared" si="289"/>
        <v>8.5385954320746915E-3</v>
      </c>
      <c r="J1679">
        <v>1534.400024</v>
      </c>
      <c r="K1679">
        <f t="shared" si="290"/>
        <v>-1.0925936933781855E-2</v>
      </c>
      <c r="L1679">
        <v>470.35000609999997</v>
      </c>
      <c r="M1679">
        <f t="shared" si="291"/>
        <v>4.9140441404793567E-3</v>
      </c>
      <c r="N1679">
        <v>1296.1999510000001</v>
      </c>
      <c r="O1679">
        <f t="shared" si="292"/>
        <v>2.8526047212854566E-2</v>
      </c>
      <c r="P1679">
        <v>207.0500031</v>
      </c>
      <c r="Q1679">
        <f t="shared" si="293"/>
        <v>8.278533963968604E-3</v>
      </c>
      <c r="R1679">
        <v>784.40002440000001</v>
      </c>
      <c r="S1679">
        <f t="shared" si="294"/>
        <v>-7.8420837229279394E-3</v>
      </c>
      <c r="T1679">
        <v>4103.3500979999999</v>
      </c>
      <c r="U1679">
        <f t="shared" si="295"/>
        <v>9.4963030936712212E-3</v>
      </c>
      <c r="W1679">
        <f t="shared" si="296"/>
        <v>4.2534672264104116E-3</v>
      </c>
      <c r="X1679">
        <v>1.4255344518222069E-2</v>
      </c>
    </row>
    <row r="1680" spans="1:24" x14ac:dyDescent="0.35">
      <c r="A1680" s="1">
        <v>45294</v>
      </c>
      <c r="B1680">
        <v>2583.3000489999999</v>
      </c>
      <c r="C1680">
        <f t="shared" si="286"/>
        <v>-1.087410595888938E-2</v>
      </c>
      <c r="D1680">
        <v>3691.75</v>
      </c>
      <c r="E1680">
        <f t="shared" si="287"/>
        <v>-2.4172645428330419E-2</v>
      </c>
      <c r="F1680">
        <v>1672.900024</v>
      </c>
      <c r="G1680">
        <f t="shared" si="288"/>
        <v>-1.541990016483874E-2</v>
      </c>
      <c r="H1680">
        <v>1035.1999510000001</v>
      </c>
      <c r="I1680">
        <f t="shared" si="289"/>
        <v>1.3213212138045938E-2</v>
      </c>
      <c r="J1680">
        <v>1490</v>
      </c>
      <c r="K1680">
        <f t="shared" si="290"/>
        <v>-2.8936407263768449E-2</v>
      </c>
      <c r="L1680">
        <v>477.25</v>
      </c>
      <c r="M1680">
        <f t="shared" si="291"/>
        <v>1.4669913491046183E-2</v>
      </c>
      <c r="N1680">
        <v>1298.599976</v>
      </c>
      <c r="O1680">
        <f t="shared" si="292"/>
        <v>1.8515854734821868E-3</v>
      </c>
      <c r="P1680">
        <v>208.25</v>
      </c>
      <c r="Q1680">
        <f t="shared" si="293"/>
        <v>5.7956864623682769E-3</v>
      </c>
      <c r="R1680">
        <v>781.45001219999995</v>
      </c>
      <c r="S1680">
        <f t="shared" si="294"/>
        <v>-3.7608517443080691E-3</v>
      </c>
      <c r="T1680">
        <v>3932.3500979999999</v>
      </c>
      <c r="U1680">
        <f t="shared" si="295"/>
        <v>-4.1673265969517592E-2</v>
      </c>
      <c r="W1680">
        <f t="shared" si="296"/>
        <v>-8.9306778964710065E-3</v>
      </c>
      <c r="X1680">
        <v>1.4288510174595473E-2</v>
      </c>
    </row>
    <row r="1681" spans="1:24" x14ac:dyDescent="0.35">
      <c r="A1681" s="1">
        <v>45295</v>
      </c>
      <c r="B1681">
        <v>2596.6499020000001</v>
      </c>
      <c r="C1681">
        <f t="shared" si="286"/>
        <v>5.1677516149035707E-3</v>
      </c>
      <c r="D1681">
        <v>3666.8000489999999</v>
      </c>
      <c r="E1681">
        <f t="shared" si="287"/>
        <v>-6.7582991806054427E-3</v>
      </c>
      <c r="F1681">
        <v>1690.849976</v>
      </c>
      <c r="G1681">
        <f t="shared" si="288"/>
        <v>1.072984143851019E-2</v>
      </c>
      <c r="H1681">
        <v>1047.900024</v>
      </c>
      <c r="I1681">
        <f t="shared" si="289"/>
        <v>1.2268231840362631E-2</v>
      </c>
      <c r="J1681">
        <v>1512.6999510000001</v>
      </c>
      <c r="K1681">
        <f t="shared" si="290"/>
        <v>1.5234866442953132E-2</v>
      </c>
      <c r="L1681">
        <v>476.39999390000003</v>
      </c>
      <c r="M1681">
        <f t="shared" si="291"/>
        <v>-1.7810499738082353E-3</v>
      </c>
      <c r="N1681">
        <v>1312.9499510000001</v>
      </c>
      <c r="O1681">
        <f t="shared" si="292"/>
        <v>1.1050342880955188E-2</v>
      </c>
      <c r="P1681">
        <v>214.6499939</v>
      </c>
      <c r="Q1681">
        <f t="shared" si="293"/>
        <v>3.0732263625450118E-2</v>
      </c>
      <c r="R1681">
        <v>795.75</v>
      </c>
      <c r="S1681">
        <f t="shared" si="294"/>
        <v>1.8299299477571918E-2</v>
      </c>
      <c r="T1681">
        <v>3897.8500979999999</v>
      </c>
      <c r="U1681">
        <f t="shared" si="295"/>
        <v>-8.7733795669787673E-3</v>
      </c>
      <c r="W1681">
        <f t="shared" si="296"/>
        <v>8.6169868599314317E-3</v>
      </c>
      <c r="X1681">
        <v>1.4289697409370384E-2</v>
      </c>
    </row>
    <row r="1682" spans="1:24" x14ac:dyDescent="0.35">
      <c r="A1682" s="1">
        <v>45296</v>
      </c>
      <c r="B1682">
        <v>2607.6999510000001</v>
      </c>
      <c r="C1682">
        <f t="shared" si="286"/>
        <v>4.2555020572812019E-3</v>
      </c>
      <c r="D1682">
        <v>3737.8999020000001</v>
      </c>
      <c r="E1682">
        <f t="shared" si="287"/>
        <v>1.9390163644017244E-2</v>
      </c>
      <c r="F1682">
        <v>1682.1999510000001</v>
      </c>
      <c r="G1682">
        <f t="shared" si="288"/>
        <v>-5.115785032840714E-3</v>
      </c>
      <c r="H1682">
        <v>1046.599976</v>
      </c>
      <c r="I1682">
        <f t="shared" si="289"/>
        <v>-1.2406221683606278E-3</v>
      </c>
      <c r="J1682">
        <v>1532.5500489999999</v>
      </c>
      <c r="K1682">
        <f t="shared" si="290"/>
        <v>1.312229698089018E-2</v>
      </c>
      <c r="L1682">
        <v>473.9500122</v>
      </c>
      <c r="M1682">
        <f t="shared" si="291"/>
        <v>-5.1426988483846969E-3</v>
      </c>
      <c r="N1682">
        <v>1300.1999510000001</v>
      </c>
      <c r="O1682">
        <f t="shared" si="292"/>
        <v>-9.7109566059917496E-3</v>
      </c>
      <c r="P1682">
        <v>216.4499969</v>
      </c>
      <c r="Q1682">
        <f t="shared" si="293"/>
        <v>8.3857584493507442E-3</v>
      </c>
      <c r="R1682">
        <v>790.95001219999995</v>
      </c>
      <c r="S1682">
        <f t="shared" si="294"/>
        <v>-6.0320299088910678E-3</v>
      </c>
      <c r="T1682">
        <v>3863.5</v>
      </c>
      <c r="U1682">
        <f t="shared" si="295"/>
        <v>-8.8125754291128455E-3</v>
      </c>
      <c r="W1682">
        <f t="shared" si="296"/>
        <v>9.099053137957662E-4</v>
      </c>
      <c r="X1682">
        <v>1.4299693780082624E-2</v>
      </c>
    </row>
    <row r="1683" spans="1:24" x14ac:dyDescent="0.35">
      <c r="A1683" s="1">
        <v>45299</v>
      </c>
      <c r="B1683">
        <v>2587.3500979999999</v>
      </c>
      <c r="C1683">
        <f t="shared" si="286"/>
        <v>-7.8037555632872735E-3</v>
      </c>
      <c r="D1683">
        <v>3678.3000489999999</v>
      </c>
      <c r="E1683">
        <f t="shared" si="287"/>
        <v>-1.5944742920512844E-2</v>
      </c>
      <c r="F1683">
        <v>1663.4499510000001</v>
      </c>
      <c r="G1683">
        <f t="shared" si="288"/>
        <v>-1.114611850324565E-2</v>
      </c>
      <c r="H1683">
        <v>1049.0500489999999</v>
      </c>
      <c r="I1683">
        <f t="shared" si="289"/>
        <v>2.3409832373242345E-3</v>
      </c>
      <c r="J1683">
        <v>1522.8000489999999</v>
      </c>
      <c r="K1683">
        <f t="shared" si="290"/>
        <v>-6.3619455732372154E-3</v>
      </c>
      <c r="L1683">
        <v>465.5</v>
      </c>
      <c r="M1683">
        <f t="shared" si="291"/>
        <v>-1.7828910185646807E-2</v>
      </c>
      <c r="N1683">
        <v>1305.3000489999999</v>
      </c>
      <c r="O1683">
        <f t="shared" si="292"/>
        <v>3.9225489864673779E-3</v>
      </c>
      <c r="P1683">
        <v>217.9499969</v>
      </c>
      <c r="Q1683">
        <f t="shared" si="293"/>
        <v>6.9300070292586113E-3</v>
      </c>
      <c r="R1683">
        <v>789.09997559999999</v>
      </c>
      <c r="S1683">
        <f t="shared" si="294"/>
        <v>-2.3390057164980327E-3</v>
      </c>
      <c r="T1683">
        <v>3804.3999020000001</v>
      </c>
      <c r="U1683">
        <f t="shared" si="295"/>
        <v>-1.5297035848323981E-2</v>
      </c>
      <c r="W1683">
        <f t="shared" si="296"/>
        <v>-6.3527975057701578E-3</v>
      </c>
      <c r="X1683">
        <v>1.4311850121928574E-2</v>
      </c>
    </row>
    <row r="1684" spans="1:24" x14ac:dyDescent="0.35">
      <c r="A1684" s="1">
        <v>45300</v>
      </c>
      <c r="B1684">
        <v>2580.5</v>
      </c>
      <c r="C1684">
        <f t="shared" si="286"/>
        <v>-2.6475342495377863E-3</v>
      </c>
      <c r="D1684">
        <v>3689.8999020000001</v>
      </c>
      <c r="E1684">
        <f t="shared" si="287"/>
        <v>3.1535907472131086E-3</v>
      </c>
      <c r="F1684">
        <v>1650.5</v>
      </c>
      <c r="G1684">
        <f t="shared" si="288"/>
        <v>-7.78499587090975E-3</v>
      </c>
      <c r="H1684">
        <v>1064.5</v>
      </c>
      <c r="I1684">
        <f t="shared" si="289"/>
        <v>1.4727563298555291E-2</v>
      </c>
      <c r="J1684">
        <v>1529.3000489999999</v>
      </c>
      <c r="K1684">
        <f t="shared" si="290"/>
        <v>4.2684527126646277E-3</v>
      </c>
      <c r="L1684">
        <v>464.5499878</v>
      </c>
      <c r="M1684">
        <f t="shared" si="291"/>
        <v>-2.0408425349086601E-3</v>
      </c>
      <c r="N1684">
        <v>1324</v>
      </c>
      <c r="O1684">
        <f t="shared" si="292"/>
        <v>1.4326170457379606E-2</v>
      </c>
      <c r="P1684">
        <v>216.6499939</v>
      </c>
      <c r="Q1684">
        <f t="shared" si="293"/>
        <v>-5.9646846455174707E-3</v>
      </c>
      <c r="R1684">
        <v>799.79998780000005</v>
      </c>
      <c r="S1684">
        <f t="shared" si="294"/>
        <v>1.355976749570198E-2</v>
      </c>
      <c r="T1684">
        <v>3810.75</v>
      </c>
      <c r="U1684">
        <f t="shared" si="295"/>
        <v>1.6691457689981259E-3</v>
      </c>
      <c r="W1684">
        <f t="shared" si="296"/>
        <v>3.3266633179639075E-3</v>
      </c>
      <c r="X1684">
        <v>1.4404491797596664E-2</v>
      </c>
    </row>
    <row r="1685" spans="1:24" x14ac:dyDescent="0.35">
      <c r="A1685" s="1">
        <v>45301</v>
      </c>
      <c r="B1685">
        <v>2650.1000979999999</v>
      </c>
      <c r="C1685">
        <f t="shared" si="286"/>
        <v>2.6971555124975843E-2</v>
      </c>
      <c r="D1685">
        <v>3713.0500489999999</v>
      </c>
      <c r="E1685">
        <f t="shared" si="287"/>
        <v>6.2739227661574581E-3</v>
      </c>
      <c r="F1685">
        <v>1655.9499510000001</v>
      </c>
      <c r="G1685">
        <f t="shared" si="288"/>
        <v>3.3020000000001382E-3</v>
      </c>
      <c r="H1685">
        <v>1062.6999510000001</v>
      </c>
      <c r="I1685">
        <f t="shared" si="289"/>
        <v>-1.6909807421323642E-3</v>
      </c>
      <c r="J1685">
        <v>1519.900024</v>
      </c>
      <c r="K1685">
        <f t="shared" si="290"/>
        <v>-6.1466191713958063E-3</v>
      </c>
      <c r="L1685">
        <v>463.2999878</v>
      </c>
      <c r="M1685">
        <f t="shared" si="291"/>
        <v>-2.6907760904691935E-3</v>
      </c>
      <c r="N1685">
        <v>1324.849976</v>
      </c>
      <c r="O1685">
        <f t="shared" si="292"/>
        <v>6.4197583081559983E-4</v>
      </c>
      <c r="P1685">
        <v>212.1000061</v>
      </c>
      <c r="Q1685">
        <f t="shared" si="293"/>
        <v>-2.1001559788181412E-2</v>
      </c>
      <c r="R1685">
        <v>808.45001219999995</v>
      </c>
      <c r="S1685">
        <f t="shared" si="294"/>
        <v>1.0815234473550595E-2</v>
      </c>
      <c r="T1685">
        <v>3822</v>
      </c>
      <c r="U1685">
        <f t="shared" si="295"/>
        <v>2.9521747687462074E-3</v>
      </c>
      <c r="W1685">
        <f t="shared" si="296"/>
        <v>1.9426927172067066E-3</v>
      </c>
      <c r="X1685">
        <v>1.4437186811326653E-2</v>
      </c>
    </row>
    <row r="1686" spans="1:24" x14ac:dyDescent="0.35">
      <c r="A1686" s="1">
        <v>45302</v>
      </c>
      <c r="B1686">
        <v>2719.8000489999999</v>
      </c>
      <c r="C1686">
        <f t="shared" si="286"/>
        <v>2.6300874843407485E-2</v>
      </c>
      <c r="D1686">
        <v>3735.5500489999999</v>
      </c>
      <c r="E1686">
        <f t="shared" si="287"/>
        <v>6.0597082460711604E-3</v>
      </c>
      <c r="F1686">
        <v>1649</v>
      </c>
      <c r="G1686">
        <f t="shared" si="288"/>
        <v>-4.1969571579160148E-3</v>
      </c>
      <c r="H1686">
        <v>1062.849976</v>
      </c>
      <c r="I1686">
        <f t="shared" si="289"/>
        <v>1.4117343268793547E-4</v>
      </c>
      <c r="J1686">
        <v>1494.1999510000001</v>
      </c>
      <c r="K1686">
        <f t="shared" si="290"/>
        <v>-1.6909054933997414E-2</v>
      </c>
      <c r="L1686">
        <v>462.64999390000003</v>
      </c>
      <c r="M1686">
        <f t="shared" si="291"/>
        <v>-1.402965502085407E-3</v>
      </c>
      <c r="N1686">
        <v>1316.25</v>
      </c>
      <c r="O1686">
        <f t="shared" si="292"/>
        <v>-6.4912829043217712E-3</v>
      </c>
      <c r="P1686">
        <v>211.8500061</v>
      </c>
      <c r="Q1686">
        <f t="shared" si="293"/>
        <v>-1.1786892636020951E-3</v>
      </c>
      <c r="R1686">
        <v>815.65002440000001</v>
      </c>
      <c r="S1686">
        <f t="shared" si="294"/>
        <v>8.9059460589369088E-3</v>
      </c>
      <c r="T1686">
        <v>3821.3500979999999</v>
      </c>
      <c r="U1686">
        <f t="shared" si="295"/>
        <v>-1.7004238618523182E-4</v>
      </c>
      <c r="W1686">
        <f t="shared" si="296"/>
        <v>1.1058710432995556E-3</v>
      </c>
      <c r="X1686">
        <v>1.4456208819805883E-2</v>
      </c>
    </row>
    <row r="1687" spans="1:24" x14ac:dyDescent="0.35">
      <c r="A1687" s="1">
        <v>45303</v>
      </c>
      <c r="B1687">
        <v>2741.4499510000001</v>
      </c>
      <c r="C1687">
        <f t="shared" si="286"/>
        <v>7.9601079527740204E-3</v>
      </c>
      <c r="D1687">
        <v>3882.8000489999999</v>
      </c>
      <c r="E1687">
        <f t="shared" si="287"/>
        <v>3.9418558998939979E-2</v>
      </c>
      <c r="F1687">
        <v>1641.1999510000001</v>
      </c>
      <c r="G1687">
        <f t="shared" si="288"/>
        <v>-4.7301691934505952E-3</v>
      </c>
      <c r="H1687">
        <v>1076.349976</v>
      </c>
      <c r="I1687">
        <f t="shared" si="289"/>
        <v>1.270169855091563E-2</v>
      </c>
      <c r="J1687">
        <v>1612.75</v>
      </c>
      <c r="K1687">
        <f t="shared" si="290"/>
        <v>7.9340150507072327E-2</v>
      </c>
      <c r="L1687">
        <v>466.7000122</v>
      </c>
      <c r="M1687">
        <f t="shared" si="291"/>
        <v>8.7539573184893804E-3</v>
      </c>
      <c r="N1687">
        <v>1325.9499510000001</v>
      </c>
      <c r="O1687">
        <f t="shared" si="292"/>
        <v>7.3693834757835308E-3</v>
      </c>
      <c r="P1687">
        <v>223.3999939</v>
      </c>
      <c r="Q1687">
        <f t="shared" si="293"/>
        <v>5.4519648182346669E-2</v>
      </c>
      <c r="R1687">
        <v>816.45001219999995</v>
      </c>
      <c r="S1687">
        <f t="shared" si="294"/>
        <v>9.8079786191185292E-4</v>
      </c>
      <c r="T1687">
        <v>3841</v>
      </c>
      <c r="U1687">
        <f t="shared" si="295"/>
        <v>5.1421360241985514E-3</v>
      </c>
      <c r="W1687">
        <f t="shared" si="296"/>
        <v>2.1145626967898137E-2</v>
      </c>
      <c r="X1687">
        <v>1.450319513930718E-2</v>
      </c>
    </row>
    <row r="1688" spans="1:24" x14ac:dyDescent="0.35">
      <c r="A1688" s="1">
        <v>45306</v>
      </c>
      <c r="B1688">
        <v>2788.25</v>
      </c>
      <c r="C1688">
        <f t="shared" si="286"/>
        <v>1.7071276089840159E-2</v>
      </c>
      <c r="D1688">
        <v>3903.8000489999999</v>
      </c>
      <c r="E1688">
        <f t="shared" si="287"/>
        <v>5.4084680475392499E-3</v>
      </c>
      <c r="F1688">
        <v>1672.8000489999999</v>
      </c>
      <c r="G1688">
        <f t="shared" si="288"/>
        <v>1.9254264528064224E-2</v>
      </c>
      <c r="H1688">
        <v>1102.400024</v>
      </c>
      <c r="I1688">
        <f t="shared" si="289"/>
        <v>2.420220985818089E-2</v>
      </c>
      <c r="J1688">
        <v>1652.099976</v>
      </c>
      <c r="K1688">
        <f t="shared" si="290"/>
        <v>2.4399303053790122E-2</v>
      </c>
      <c r="L1688">
        <v>467.60000609999997</v>
      </c>
      <c r="M1688">
        <f t="shared" si="291"/>
        <v>1.9284205624023887E-3</v>
      </c>
      <c r="N1688">
        <v>1329.349976</v>
      </c>
      <c r="O1688">
        <f t="shared" si="292"/>
        <v>2.5642182025313875E-3</v>
      </c>
      <c r="P1688">
        <v>233.5</v>
      </c>
      <c r="Q1688">
        <f t="shared" si="293"/>
        <v>4.521041349947863E-2</v>
      </c>
      <c r="R1688">
        <v>812.45001219999995</v>
      </c>
      <c r="S1688">
        <f t="shared" si="294"/>
        <v>-4.8992589138698861E-3</v>
      </c>
      <c r="T1688">
        <v>3858.25</v>
      </c>
      <c r="U1688">
        <f t="shared" si="295"/>
        <v>4.4910179640718084E-3</v>
      </c>
      <c r="W1688">
        <f t="shared" si="296"/>
        <v>1.3963033289202899E-2</v>
      </c>
      <c r="X1688">
        <v>1.4523209515202274E-2</v>
      </c>
    </row>
    <row r="1689" spans="1:24" x14ac:dyDescent="0.35">
      <c r="A1689" s="1">
        <v>45307</v>
      </c>
      <c r="B1689">
        <v>2749.25</v>
      </c>
      <c r="C1689">
        <f t="shared" si="286"/>
        <v>-1.398726799964134E-2</v>
      </c>
      <c r="D1689">
        <v>3861.3000489999999</v>
      </c>
      <c r="E1689">
        <f t="shared" si="287"/>
        <v>-1.0886828082008693E-2</v>
      </c>
      <c r="F1689">
        <v>1679.150024</v>
      </c>
      <c r="G1689">
        <f t="shared" si="288"/>
        <v>3.7960155511689297E-3</v>
      </c>
      <c r="H1689">
        <v>1095.900024</v>
      </c>
      <c r="I1689">
        <f t="shared" si="289"/>
        <v>-5.8962262867294779E-3</v>
      </c>
      <c r="J1689">
        <v>1631.5500489999999</v>
      </c>
      <c r="K1689">
        <f t="shared" si="290"/>
        <v>-1.2438670358046244E-2</v>
      </c>
      <c r="L1689">
        <v>472.2999878</v>
      </c>
      <c r="M1689">
        <f t="shared" si="291"/>
        <v>1.0051286652453362E-2</v>
      </c>
      <c r="N1689">
        <v>1313.4499510000001</v>
      </c>
      <c r="O1689">
        <f t="shared" si="292"/>
        <v>-1.1960751711030171E-2</v>
      </c>
      <c r="P1689">
        <v>235.1000061</v>
      </c>
      <c r="Q1689">
        <f t="shared" si="293"/>
        <v>6.8522745182013622E-3</v>
      </c>
      <c r="R1689">
        <v>818.84997559999999</v>
      </c>
      <c r="S1689">
        <f t="shared" si="294"/>
        <v>7.8773626732675517E-3</v>
      </c>
      <c r="T1689">
        <v>3828.3000489999999</v>
      </c>
      <c r="U1689">
        <f t="shared" si="295"/>
        <v>-7.7625739648804482E-3</v>
      </c>
      <c r="W1689">
        <f t="shared" si="296"/>
        <v>-3.4355379007245178E-3</v>
      </c>
      <c r="X1689">
        <v>1.4528005083175444E-2</v>
      </c>
    </row>
    <row r="1690" spans="1:24" x14ac:dyDescent="0.35">
      <c r="A1690" s="1">
        <v>45308</v>
      </c>
      <c r="B1690">
        <v>2723.1499020000001</v>
      </c>
      <c r="C1690">
        <f t="shared" si="286"/>
        <v>-9.4935338728743268E-3</v>
      </c>
      <c r="D1690">
        <v>3884.6000979999999</v>
      </c>
      <c r="E1690">
        <f t="shared" si="287"/>
        <v>6.0342497874605883E-3</v>
      </c>
      <c r="F1690">
        <v>1537.5</v>
      </c>
      <c r="G1690">
        <f t="shared" si="288"/>
        <v>-8.4358170488285089E-2</v>
      </c>
      <c r="H1690">
        <v>1085.25</v>
      </c>
      <c r="I1690">
        <f t="shared" si="289"/>
        <v>-9.718061654135024E-3</v>
      </c>
      <c r="J1690">
        <v>1640.1999510000001</v>
      </c>
      <c r="K1690">
        <f t="shared" si="290"/>
        <v>5.3016467409636725E-3</v>
      </c>
      <c r="L1690">
        <v>466.60000609999997</v>
      </c>
      <c r="M1690">
        <f t="shared" si="291"/>
        <v>-1.2068562030989827E-2</v>
      </c>
      <c r="N1690">
        <v>1299</v>
      </c>
      <c r="O1690">
        <f t="shared" si="292"/>
        <v>-1.1001523879153874E-2</v>
      </c>
      <c r="P1690">
        <v>232.0500031</v>
      </c>
      <c r="Q1690">
        <f t="shared" si="293"/>
        <v>-1.2973215316305353E-2</v>
      </c>
      <c r="R1690">
        <v>805.54998780000005</v>
      </c>
      <c r="S1690">
        <f t="shared" si="294"/>
        <v>-1.6242276602932759E-2</v>
      </c>
      <c r="T1690">
        <v>3786.4499510000001</v>
      </c>
      <c r="U1690">
        <f t="shared" si="295"/>
        <v>-1.093177061994699E-2</v>
      </c>
      <c r="W1690">
        <f t="shared" si="296"/>
        <v>-1.5545121793619898E-2</v>
      </c>
      <c r="X1690">
        <v>1.4543828927083691E-2</v>
      </c>
    </row>
    <row r="1691" spans="1:24" x14ac:dyDescent="0.35">
      <c r="A1691" s="1">
        <v>45309</v>
      </c>
      <c r="B1691">
        <v>2735.8999020000001</v>
      </c>
      <c r="C1691">
        <f t="shared" si="286"/>
        <v>4.6820779093490472E-3</v>
      </c>
      <c r="D1691">
        <v>3902.6000979999999</v>
      </c>
      <c r="E1691">
        <f t="shared" si="287"/>
        <v>4.633681600653583E-3</v>
      </c>
      <c r="F1691">
        <v>1486.150024</v>
      </c>
      <c r="G1691">
        <f t="shared" si="288"/>
        <v>-3.339835837398375E-2</v>
      </c>
      <c r="H1691">
        <v>1087.0500489999999</v>
      </c>
      <c r="I1691">
        <f t="shared" si="289"/>
        <v>1.6586491591799035E-3</v>
      </c>
      <c r="J1691">
        <v>1642.599976</v>
      </c>
      <c r="K1691">
        <f t="shared" si="290"/>
        <v>1.4632514764658655E-3</v>
      </c>
      <c r="L1691">
        <v>465.5</v>
      </c>
      <c r="M1691">
        <f t="shared" si="291"/>
        <v>-2.3574926824244669E-3</v>
      </c>
      <c r="N1691">
        <v>1335.75</v>
      </c>
      <c r="O1691">
        <f t="shared" si="292"/>
        <v>2.8290993071593551E-2</v>
      </c>
      <c r="P1691">
        <v>233.5500031</v>
      </c>
      <c r="Q1691">
        <f t="shared" si="293"/>
        <v>6.4641240248275444E-3</v>
      </c>
      <c r="R1691">
        <v>819.04998780000005</v>
      </c>
      <c r="S1691">
        <f t="shared" si="294"/>
        <v>1.6758736520956496E-2</v>
      </c>
      <c r="T1691">
        <v>3748.8500979999999</v>
      </c>
      <c r="U1691">
        <f t="shared" si="295"/>
        <v>-9.9301069567999667E-3</v>
      </c>
      <c r="W1691">
        <f t="shared" si="296"/>
        <v>1.82655557498178E-3</v>
      </c>
      <c r="X1691">
        <v>1.4547242232665692E-2</v>
      </c>
    </row>
    <row r="1692" spans="1:24" x14ac:dyDescent="0.35">
      <c r="A1692" s="1">
        <v>45310</v>
      </c>
      <c r="B1692">
        <v>2734.8999020000001</v>
      </c>
      <c r="C1692">
        <f t="shared" si="286"/>
        <v>-3.6551044841548475E-4</v>
      </c>
      <c r="D1692">
        <v>3943.0500489999999</v>
      </c>
      <c r="E1692">
        <f t="shared" si="287"/>
        <v>1.0364872132486713E-2</v>
      </c>
      <c r="F1692">
        <v>1470.650024</v>
      </c>
      <c r="G1692">
        <f t="shared" si="288"/>
        <v>-1.0429633448634901E-2</v>
      </c>
      <c r="H1692">
        <v>1125</v>
      </c>
      <c r="I1692">
        <f t="shared" si="289"/>
        <v>3.4910951004428092E-2</v>
      </c>
      <c r="J1692">
        <v>1659.1999510000001</v>
      </c>
      <c r="K1692">
        <f t="shared" si="290"/>
        <v>1.0105914551651107E-2</v>
      </c>
      <c r="L1692">
        <v>471.5</v>
      </c>
      <c r="M1692">
        <f t="shared" si="291"/>
        <v>1.2889366272824887E-2</v>
      </c>
      <c r="N1692">
        <v>1335.599976</v>
      </c>
      <c r="O1692">
        <f t="shared" si="292"/>
        <v>-1.12314430095517E-4</v>
      </c>
      <c r="P1692">
        <v>242.0500031</v>
      </c>
      <c r="Q1692">
        <f t="shared" si="293"/>
        <v>3.6394775796087409E-2</v>
      </c>
      <c r="R1692">
        <v>823.54998780000005</v>
      </c>
      <c r="S1692">
        <f t="shared" si="294"/>
        <v>5.4941701569244383E-3</v>
      </c>
      <c r="T1692">
        <v>3731.6999510000001</v>
      </c>
      <c r="U1692">
        <f t="shared" si="295"/>
        <v>-4.5747753448849293E-3</v>
      </c>
      <c r="W1692">
        <f t="shared" si="296"/>
        <v>9.4677816242371825E-3</v>
      </c>
      <c r="X1692">
        <v>1.4563004258457968E-2</v>
      </c>
    </row>
    <row r="1693" spans="1:24" x14ac:dyDescent="0.35">
      <c r="A1693" s="1">
        <v>45314</v>
      </c>
      <c r="B1693">
        <v>2657.1499020000001</v>
      </c>
      <c r="C1693">
        <f t="shared" si="286"/>
        <v>-2.8428828398122441E-2</v>
      </c>
      <c r="D1693">
        <v>3858.25</v>
      </c>
      <c r="E1693">
        <f t="shared" si="287"/>
        <v>-2.1506206603060019E-2</v>
      </c>
      <c r="F1693">
        <v>1427.349976</v>
      </c>
      <c r="G1693">
        <f t="shared" si="288"/>
        <v>-2.944279556207996E-2</v>
      </c>
      <c r="H1693">
        <v>1158</v>
      </c>
      <c r="I1693">
        <f t="shared" si="289"/>
        <v>2.9333333333333433E-2</v>
      </c>
      <c r="J1693">
        <v>1642.150024</v>
      </c>
      <c r="K1693">
        <f t="shared" si="290"/>
        <v>-1.0275992950532609E-2</v>
      </c>
      <c r="L1693">
        <v>459.2999878</v>
      </c>
      <c r="M1693">
        <f t="shared" si="291"/>
        <v>-2.5874893319194014E-2</v>
      </c>
      <c r="N1693">
        <v>1378.3000489999999</v>
      </c>
      <c r="O1693">
        <f t="shared" si="292"/>
        <v>3.197070512675726E-2</v>
      </c>
      <c r="P1693">
        <v>229.8999939</v>
      </c>
      <c r="Q1693">
        <f t="shared" si="293"/>
        <v>-5.0196277811987322E-2</v>
      </c>
      <c r="R1693">
        <v>800.45001219999995</v>
      </c>
      <c r="S1693">
        <f t="shared" si="294"/>
        <v>-2.8049269555219691E-2</v>
      </c>
      <c r="T1693">
        <v>3675.8999020000001</v>
      </c>
      <c r="U1693">
        <f t="shared" si="295"/>
        <v>-1.4952983823109056E-2</v>
      </c>
      <c r="W1693">
        <f t="shared" si="296"/>
        <v>-1.4742320956321445E-2</v>
      </c>
      <c r="X1693">
        <v>1.458331255658837E-2</v>
      </c>
    </row>
    <row r="1694" spans="1:24" x14ac:dyDescent="0.35">
      <c r="A1694" s="1">
        <v>45315</v>
      </c>
      <c r="B1694">
        <v>2687.75</v>
      </c>
      <c r="C1694">
        <f t="shared" si="286"/>
        <v>1.1516135381360204E-2</v>
      </c>
      <c r="D1694">
        <v>3841.8000489999999</v>
      </c>
      <c r="E1694">
        <f t="shared" si="287"/>
        <v>-4.2635783062269228E-3</v>
      </c>
      <c r="F1694">
        <v>1455.900024</v>
      </c>
      <c r="G1694">
        <f t="shared" si="288"/>
        <v>2.0002135762112516E-2</v>
      </c>
      <c r="H1694">
        <v>1189.9499510000001</v>
      </c>
      <c r="I1694">
        <f t="shared" si="289"/>
        <v>2.7590631260794529E-2</v>
      </c>
      <c r="J1694">
        <v>1675.400024</v>
      </c>
      <c r="K1694">
        <f t="shared" si="290"/>
        <v>2.0247845515970919E-2</v>
      </c>
      <c r="L1694">
        <v>463.60000609999997</v>
      </c>
      <c r="M1694">
        <f t="shared" si="291"/>
        <v>9.3621128112730823E-3</v>
      </c>
      <c r="N1694">
        <v>1382.099976</v>
      </c>
      <c r="O1694">
        <f t="shared" si="292"/>
        <v>2.7569664549871309E-3</v>
      </c>
      <c r="P1694">
        <v>234.3500061</v>
      </c>
      <c r="Q1694">
        <f t="shared" si="293"/>
        <v>1.9356295424416636E-2</v>
      </c>
      <c r="R1694">
        <v>810.90002440000001</v>
      </c>
      <c r="S1694">
        <f t="shared" si="294"/>
        <v>1.3055171516930475E-2</v>
      </c>
      <c r="T1694">
        <v>3727.75</v>
      </c>
      <c r="U1694">
        <f t="shared" si="295"/>
        <v>1.4105416192587095E-2</v>
      </c>
      <c r="W1694">
        <f t="shared" si="296"/>
        <v>1.3372913201420568E-2</v>
      </c>
      <c r="X1694">
        <v>1.461064927577802E-2</v>
      </c>
    </row>
    <row r="1695" spans="1:24" x14ac:dyDescent="0.35">
      <c r="A1695" s="1">
        <v>45316</v>
      </c>
      <c r="B1695">
        <v>2706.1499020000001</v>
      </c>
      <c r="C1695">
        <f t="shared" si="286"/>
        <v>6.8458383406195811E-3</v>
      </c>
      <c r="D1695">
        <v>3810.3000489999999</v>
      </c>
      <c r="E1695">
        <f t="shared" si="287"/>
        <v>-8.1992814821789661E-3</v>
      </c>
      <c r="F1695">
        <v>1434.900024</v>
      </c>
      <c r="G1695">
        <f t="shared" si="288"/>
        <v>-1.442406734928392E-2</v>
      </c>
      <c r="H1695">
        <v>1160.5500489999999</v>
      </c>
      <c r="I1695">
        <f t="shared" si="289"/>
        <v>-2.470683911982452E-2</v>
      </c>
      <c r="J1695">
        <v>1669.099976</v>
      </c>
      <c r="K1695">
        <f t="shared" si="290"/>
        <v>-3.7603246447130978E-3</v>
      </c>
      <c r="L1695">
        <v>455.64999390000003</v>
      </c>
      <c r="M1695">
        <f t="shared" si="291"/>
        <v>-1.7148429886528316E-2</v>
      </c>
      <c r="N1695">
        <v>1368.3000489999999</v>
      </c>
      <c r="O1695">
        <f t="shared" si="292"/>
        <v>-9.9847530856190803E-3</v>
      </c>
      <c r="P1695">
        <v>234.0500031</v>
      </c>
      <c r="Q1695">
        <f t="shared" si="293"/>
        <v>-1.2801493159423361E-3</v>
      </c>
      <c r="R1695">
        <v>811.84997559999999</v>
      </c>
      <c r="S1695">
        <f t="shared" si="294"/>
        <v>1.1714775822122547E-3</v>
      </c>
      <c r="T1695">
        <v>3734.25</v>
      </c>
      <c r="U1695">
        <f t="shared" si="295"/>
        <v>1.7436791630340842E-3</v>
      </c>
      <c r="W1695">
        <f t="shared" si="296"/>
        <v>-6.9742849798224323E-3</v>
      </c>
      <c r="X1695">
        <v>1.4634507933102279E-2</v>
      </c>
    </row>
    <row r="1696" spans="1:24" x14ac:dyDescent="0.35">
      <c r="A1696" s="1">
        <v>45320</v>
      </c>
      <c r="B1696">
        <v>2896.1000979999999</v>
      </c>
      <c r="C1696">
        <f t="shared" si="286"/>
        <v>7.019204511162358E-2</v>
      </c>
      <c r="D1696">
        <v>3801</v>
      </c>
      <c r="E1696">
        <f t="shared" si="287"/>
        <v>-2.4407655251298399E-3</v>
      </c>
      <c r="F1696">
        <v>1454.650024</v>
      </c>
      <c r="G1696">
        <f t="shared" si="288"/>
        <v>1.37640251374056E-2</v>
      </c>
      <c r="H1696">
        <v>1162.150024</v>
      </c>
      <c r="I1696">
        <f t="shared" si="289"/>
        <v>1.3786350716875617E-3</v>
      </c>
      <c r="J1696">
        <v>1656.599976</v>
      </c>
      <c r="K1696">
        <f t="shared" si="290"/>
        <v>-7.4890660713783364E-3</v>
      </c>
      <c r="L1696">
        <v>449.7999878</v>
      </c>
      <c r="M1696">
        <f t="shared" si="291"/>
        <v>-1.283881527118802E-2</v>
      </c>
      <c r="N1696">
        <v>1400.849976</v>
      </c>
      <c r="O1696">
        <f t="shared" si="292"/>
        <v>2.3788588638719022E-2</v>
      </c>
      <c r="P1696">
        <v>252.5</v>
      </c>
      <c r="Q1696">
        <f t="shared" si="293"/>
        <v>7.882929568737107E-2</v>
      </c>
      <c r="R1696">
        <v>841</v>
      </c>
      <c r="S1696">
        <f t="shared" si="294"/>
        <v>3.5905678728950674E-2</v>
      </c>
      <c r="T1696">
        <v>3749.3999020000001</v>
      </c>
      <c r="U1696">
        <f t="shared" si="295"/>
        <v>4.0570133226216498E-3</v>
      </c>
      <c r="W1696">
        <f t="shared" si="296"/>
        <v>2.0514663483068296E-2</v>
      </c>
      <c r="X1696">
        <v>1.4678752747508373E-2</v>
      </c>
    </row>
    <row r="1697" spans="1:24" x14ac:dyDescent="0.35">
      <c r="A1697" s="1">
        <v>45321</v>
      </c>
      <c r="B1697">
        <v>2815.25</v>
      </c>
      <c r="C1697">
        <f t="shared" si="286"/>
        <v>-2.7916886593745027E-2</v>
      </c>
      <c r="D1697">
        <v>3800.5500489999999</v>
      </c>
      <c r="E1697">
        <f t="shared" si="287"/>
        <v>-1.183770060511069E-4</v>
      </c>
      <c r="F1697">
        <v>1444.3000489999999</v>
      </c>
      <c r="G1697">
        <f t="shared" si="288"/>
        <v>-7.1150962975545795E-3</v>
      </c>
      <c r="H1697">
        <v>1158.650024</v>
      </c>
      <c r="I1697">
        <f t="shared" si="289"/>
        <v>-3.0116593621478671E-3</v>
      </c>
      <c r="J1697">
        <v>1651.4499510000001</v>
      </c>
      <c r="K1697">
        <f t="shared" si="290"/>
        <v>-3.1087921493486714E-3</v>
      </c>
      <c r="L1697">
        <v>438.0499878</v>
      </c>
      <c r="M1697">
        <f t="shared" si="291"/>
        <v>-2.6122721917957281E-2</v>
      </c>
      <c r="N1697">
        <v>1371.75</v>
      </c>
      <c r="O1697">
        <f t="shared" si="292"/>
        <v>-2.0773085268625535E-2</v>
      </c>
      <c r="P1697">
        <v>249.1999969</v>
      </c>
      <c r="Q1697">
        <f t="shared" si="293"/>
        <v>-1.306931920792076E-2</v>
      </c>
      <c r="R1697">
        <v>858.84997559999999</v>
      </c>
      <c r="S1697">
        <f t="shared" si="294"/>
        <v>2.1224703448275761E-2</v>
      </c>
      <c r="T1697">
        <v>3687.3000489999999</v>
      </c>
      <c r="U1697">
        <f t="shared" si="295"/>
        <v>-1.6562611250636405E-2</v>
      </c>
      <c r="W1697">
        <f t="shared" si="296"/>
        <v>-9.6573845605711466E-3</v>
      </c>
      <c r="X1697">
        <v>1.4695676167323236E-2</v>
      </c>
    </row>
    <row r="1698" spans="1:24" x14ac:dyDescent="0.35">
      <c r="A1698" s="1">
        <v>45322</v>
      </c>
      <c r="B1698">
        <v>2853.25</v>
      </c>
      <c r="C1698">
        <f t="shared" si="286"/>
        <v>1.3497913151585106E-2</v>
      </c>
      <c r="D1698">
        <v>3815.9499510000001</v>
      </c>
      <c r="E1698">
        <f t="shared" si="287"/>
        <v>4.0520192607520489E-3</v>
      </c>
      <c r="F1698">
        <v>1462.5500489999999</v>
      </c>
      <c r="G1698">
        <f t="shared" si="288"/>
        <v>1.2635878543821866E-2</v>
      </c>
      <c r="H1698">
        <v>1170.6999510000001</v>
      </c>
      <c r="I1698">
        <f t="shared" si="289"/>
        <v>1.0399971303155064E-2</v>
      </c>
      <c r="J1698">
        <v>1660.900024</v>
      </c>
      <c r="K1698">
        <f t="shared" si="290"/>
        <v>5.7222884618923775E-3</v>
      </c>
      <c r="L1698">
        <v>441.5499878</v>
      </c>
      <c r="M1698">
        <f t="shared" si="291"/>
        <v>7.9899557070595151E-3</v>
      </c>
      <c r="N1698">
        <v>1418.4499510000001</v>
      </c>
      <c r="O1698">
        <f t="shared" si="292"/>
        <v>3.4044068525606042E-2</v>
      </c>
      <c r="P1698">
        <v>252.25</v>
      </c>
      <c r="Q1698">
        <f t="shared" si="293"/>
        <v>1.2239177921113287E-2</v>
      </c>
      <c r="R1698">
        <v>884.20001219999995</v>
      </c>
      <c r="S1698">
        <f t="shared" si="294"/>
        <v>2.9516256995047563E-2</v>
      </c>
      <c r="T1698">
        <v>3792.6999510000001</v>
      </c>
      <c r="U1698">
        <f t="shared" si="295"/>
        <v>2.8584574241140137E-2</v>
      </c>
      <c r="W1698">
        <f t="shared" si="296"/>
        <v>1.5868210411117301E-2</v>
      </c>
      <c r="X1698">
        <v>1.4960224145708301E-2</v>
      </c>
    </row>
    <row r="1699" spans="1:24" x14ac:dyDescent="0.35">
      <c r="A1699" s="1">
        <v>45323</v>
      </c>
      <c r="B1699">
        <v>2853.3000489999999</v>
      </c>
      <c r="C1699">
        <f t="shared" si="286"/>
        <v>1.7541049680103171E-5</v>
      </c>
      <c r="D1699">
        <v>3854.1499020000001</v>
      </c>
      <c r="E1699">
        <f t="shared" si="287"/>
        <v>1.0010600634316358E-2</v>
      </c>
      <c r="F1699">
        <v>1466.349976</v>
      </c>
      <c r="G1699">
        <f t="shared" si="288"/>
        <v>2.5981517710098601E-3</v>
      </c>
      <c r="H1699">
        <v>1151.1999510000001</v>
      </c>
      <c r="I1699">
        <f t="shared" si="289"/>
        <v>-1.6656701816159858E-2</v>
      </c>
      <c r="J1699">
        <v>1657.0500489999999</v>
      </c>
      <c r="K1699">
        <f t="shared" si="290"/>
        <v>-2.3180052648371641E-3</v>
      </c>
      <c r="L1699">
        <v>442.89999390000003</v>
      </c>
      <c r="M1699">
        <f t="shared" si="291"/>
        <v>3.057425291134841E-3</v>
      </c>
      <c r="N1699">
        <v>1407.9499510000001</v>
      </c>
      <c r="O1699">
        <f t="shared" si="292"/>
        <v>-7.4024465879797274E-3</v>
      </c>
      <c r="P1699">
        <v>247.6499939</v>
      </c>
      <c r="Q1699">
        <f t="shared" si="293"/>
        <v>-1.8235901288404355E-2</v>
      </c>
      <c r="R1699">
        <v>878.5</v>
      </c>
      <c r="S1699">
        <f t="shared" si="294"/>
        <v>-6.4465190243750969E-3</v>
      </c>
      <c r="T1699">
        <v>3808.1999510000001</v>
      </c>
      <c r="U1699">
        <f t="shared" si="295"/>
        <v>4.0867983758940962E-3</v>
      </c>
      <c r="W1699">
        <f t="shared" si="296"/>
        <v>-3.1289056859720946E-3</v>
      </c>
      <c r="X1699">
        <v>1.496987566263076E-2</v>
      </c>
    </row>
    <row r="1700" spans="1:24" x14ac:dyDescent="0.35">
      <c r="A1700" s="1">
        <v>45324</v>
      </c>
      <c r="B1700">
        <v>2915.3999020000001</v>
      </c>
      <c r="C1700">
        <f t="shared" si="286"/>
        <v>2.1764221054061395E-2</v>
      </c>
      <c r="D1700">
        <v>3966.3000489999999</v>
      </c>
      <c r="E1700">
        <f t="shared" si="287"/>
        <v>2.9098543090346096E-2</v>
      </c>
      <c r="F1700">
        <v>1446.150024</v>
      </c>
      <c r="G1700">
        <f t="shared" si="288"/>
        <v>-1.3775669063058604E-2</v>
      </c>
      <c r="H1700">
        <v>1150.8000489999999</v>
      </c>
      <c r="I1700">
        <f t="shared" si="289"/>
        <v>-3.4737840255527619E-4</v>
      </c>
      <c r="J1700">
        <v>1693.349976</v>
      </c>
      <c r="K1700">
        <f t="shared" si="290"/>
        <v>2.1906355225604912E-2</v>
      </c>
      <c r="L1700">
        <v>440.10000609999997</v>
      </c>
      <c r="M1700">
        <f t="shared" si="291"/>
        <v>-6.3219413830749582E-3</v>
      </c>
      <c r="N1700">
        <v>1416.650024</v>
      </c>
      <c r="O1700">
        <f t="shared" si="292"/>
        <v>6.1792487679130925E-3</v>
      </c>
      <c r="P1700">
        <v>257.25</v>
      </c>
      <c r="Q1700">
        <f t="shared" si="293"/>
        <v>3.876441080744164E-2</v>
      </c>
      <c r="R1700">
        <v>878.75</v>
      </c>
      <c r="S1700">
        <f t="shared" si="294"/>
        <v>2.8457598178710519E-4</v>
      </c>
      <c r="T1700">
        <v>3784.3000489999999</v>
      </c>
      <c r="U1700">
        <f t="shared" si="295"/>
        <v>-6.2759052327922005E-3</v>
      </c>
      <c r="W1700">
        <f t="shared" si="296"/>
        <v>9.1276460845673216E-3</v>
      </c>
      <c r="X1700">
        <v>1.4998602192539148E-2</v>
      </c>
    </row>
    <row r="1701" spans="1:24" x14ac:dyDescent="0.35">
      <c r="A1701" s="1">
        <v>45327</v>
      </c>
      <c r="B1701">
        <v>2878.0500489999999</v>
      </c>
      <c r="C1701">
        <f t="shared" si="286"/>
        <v>-1.2811228049495971E-2</v>
      </c>
      <c r="D1701">
        <v>3973.3000489999999</v>
      </c>
      <c r="E1701">
        <f t="shared" si="287"/>
        <v>1.7648689997029621E-3</v>
      </c>
      <c r="F1701">
        <v>1444.849976</v>
      </c>
      <c r="G1701">
        <f t="shared" si="288"/>
        <v>-8.989717376653994E-4</v>
      </c>
      <c r="H1701">
        <v>1113.5500489999999</v>
      </c>
      <c r="I1701">
        <f t="shared" si="289"/>
        <v>-3.2368785552597812E-2</v>
      </c>
      <c r="J1701">
        <v>1687.1999510000001</v>
      </c>
      <c r="K1701">
        <f t="shared" si="290"/>
        <v>-3.6318688322938275E-3</v>
      </c>
      <c r="L1701">
        <v>438.0499878</v>
      </c>
      <c r="M1701">
        <f t="shared" si="291"/>
        <v>-4.6580737822897733E-3</v>
      </c>
      <c r="N1701">
        <v>1463.8000489999999</v>
      </c>
      <c r="O1701">
        <f t="shared" si="292"/>
        <v>3.328276158628718E-2</v>
      </c>
      <c r="P1701">
        <v>262.9500122</v>
      </c>
      <c r="Q1701">
        <f t="shared" si="293"/>
        <v>2.215748182701649E-2</v>
      </c>
      <c r="R1701">
        <v>926.79998780000005</v>
      </c>
      <c r="S1701">
        <f t="shared" si="294"/>
        <v>5.4679929217638756E-2</v>
      </c>
      <c r="T1701">
        <v>3729.6000979999999</v>
      </c>
      <c r="U1701">
        <f t="shared" si="295"/>
        <v>-1.445444343517488E-2</v>
      </c>
      <c r="W1701">
        <f t="shared" si="296"/>
        <v>4.3061670241127739E-3</v>
      </c>
      <c r="X1701">
        <v>1.4998613356999358E-2</v>
      </c>
    </row>
    <row r="1702" spans="1:24" x14ac:dyDescent="0.35">
      <c r="A1702" s="1">
        <v>45328</v>
      </c>
      <c r="B1702">
        <v>2855.6000979999999</v>
      </c>
      <c r="C1702">
        <f t="shared" si="286"/>
        <v>-7.8004032653290478E-3</v>
      </c>
      <c r="D1702">
        <v>4136</v>
      </c>
      <c r="E1702">
        <f t="shared" si="287"/>
        <v>4.0948317266134682E-2</v>
      </c>
      <c r="F1702">
        <v>1444.099976</v>
      </c>
      <c r="G1702">
        <f t="shared" si="288"/>
        <v>-5.1908503474962231E-4</v>
      </c>
      <c r="H1702">
        <v>1134.0500489999999</v>
      </c>
      <c r="I1702">
        <f t="shared" si="289"/>
        <v>1.8409590137784537E-2</v>
      </c>
      <c r="J1702">
        <v>1729.4499510000001</v>
      </c>
      <c r="K1702">
        <f t="shared" si="290"/>
        <v>2.5041489584538335E-2</v>
      </c>
      <c r="L1702">
        <v>431.39999390000003</v>
      </c>
      <c r="M1702">
        <f t="shared" si="291"/>
        <v>-1.5180901918061762E-2</v>
      </c>
      <c r="N1702">
        <v>1475.099976</v>
      </c>
      <c r="O1702">
        <f t="shared" si="292"/>
        <v>7.7195837011478918E-3</v>
      </c>
      <c r="P1702">
        <v>272.2999878</v>
      </c>
      <c r="Q1702">
        <f t="shared" si="293"/>
        <v>3.5557996448725815E-2</v>
      </c>
      <c r="R1702">
        <v>939.54998780000005</v>
      </c>
      <c r="S1702">
        <f t="shared" si="294"/>
        <v>1.375701356046144E-2</v>
      </c>
      <c r="T1702">
        <v>3727.3999020000001</v>
      </c>
      <c r="U1702">
        <f t="shared" si="295"/>
        <v>-5.8992812692693075E-4</v>
      </c>
      <c r="W1702">
        <f t="shared" si="296"/>
        <v>1.1734367235372535E-2</v>
      </c>
      <c r="X1702">
        <v>1.5042081294908707E-2</v>
      </c>
    </row>
    <row r="1703" spans="1:24" x14ac:dyDescent="0.35">
      <c r="A1703" s="1">
        <v>45329</v>
      </c>
      <c r="B1703">
        <v>2884.3000489999999</v>
      </c>
      <c r="C1703">
        <f t="shared" si="286"/>
        <v>1.0050409726523268E-2</v>
      </c>
      <c r="D1703">
        <v>4083.3999020000001</v>
      </c>
      <c r="E1703">
        <f t="shared" si="287"/>
        <v>-1.271762524177944E-2</v>
      </c>
      <c r="F1703">
        <v>1429.9499510000001</v>
      </c>
      <c r="G1703">
        <f t="shared" si="288"/>
        <v>-9.7985078839166739E-3</v>
      </c>
      <c r="H1703">
        <v>1134.3000489999999</v>
      </c>
      <c r="I1703">
        <f t="shared" si="289"/>
        <v>2.2044882430050095E-4</v>
      </c>
      <c r="J1703">
        <v>1693.75</v>
      </c>
      <c r="K1703">
        <f t="shared" si="290"/>
        <v>-2.0642373015395843E-2</v>
      </c>
      <c r="L1703">
        <v>431.7999878</v>
      </c>
      <c r="M1703">
        <f t="shared" si="291"/>
        <v>9.2719959586440304E-4</v>
      </c>
      <c r="N1703">
        <v>1496.1999510000001</v>
      </c>
      <c r="O1703">
        <f t="shared" si="292"/>
        <v>1.4304098259981357E-2</v>
      </c>
      <c r="P1703">
        <v>271.89999390000003</v>
      </c>
      <c r="Q1703">
        <f t="shared" si="293"/>
        <v>-1.4689457139960282E-3</v>
      </c>
      <c r="R1703">
        <v>933.79998780000005</v>
      </c>
      <c r="S1703">
        <f t="shared" si="294"/>
        <v>-6.1199511198588574E-3</v>
      </c>
      <c r="T1703">
        <v>3717.6999510000001</v>
      </c>
      <c r="U1703">
        <f t="shared" si="295"/>
        <v>-2.6023370861805173E-3</v>
      </c>
      <c r="W1703">
        <f t="shared" si="296"/>
        <v>-2.784758365445783E-3</v>
      </c>
      <c r="X1703">
        <v>1.50799744630624E-2</v>
      </c>
    </row>
    <row r="1704" spans="1:24" x14ac:dyDescent="0.35">
      <c r="A1704" s="1">
        <v>45330</v>
      </c>
      <c r="B1704">
        <v>2900.25</v>
      </c>
      <c r="C1704">
        <f t="shared" si="286"/>
        <v>5.5299208574122183E-3</v>
      </c>
      <c r="D1704">
        <v>4134.1000979999999</v>
      </c>
      <c r="E1704">
        <f t="shared" si="287"/>
        <v>1.241617211558621E-2</v>
      </c>
      <c r="F1704">
        <v>1403.0500489999999</v>
      </c>
      <c r="G1704">
        <f t="shared" si="288"/>
        <v>-1.8811778678819002E-2</v>
      </c>
      <c r="H1704">
        <v>1142.150024</v>
      </c>
      <c r="I1704">
        <f t="shared" si="289"/>
        <v>6.9205454120544463E-3</v>
      </c>
      <c r="J1704">
        <v>1692.099976</v>
      </c>
      <c r="K1704">
        <f t="shared" si="290"/>
        <v>-9.7418391143910821E-4</v>
      </c>
      <c r="L1704">
        <v>414.5499878</v>
      </c>
      <c r="M1704">
        <f t="shared" si="291"/>
        <v>-3.994905161504958E-2</v>
      </c>
      <c r="N1704">
        <v>1499.599976</v>
      </c>
      <c r="O1704">
        <f t="shared" si="292"/>
        <v>2.2724402562153134E-3</v>
      </c>
      <c r="P1704">
        <v>273.14999390000003</v>
      </c>
      <c r="Q1704">
        <f t="shared" si="293"/>
        <v>4.5972785143191253E-3</v>
      </c>
      <c r="R1704">
        <v>924.29998780000005</v>
      </c>
      <c r="S1704">
        <f t="shared" si="294"/>
        <v>-1.0173484819143819E-2</v>
      </c>
      <c r="T1704">
        <v>3731.0500489999999</v>
      </c>
      <c r="U1704">
        <f t="shared" si="295"/>
        <v>3.5909562837121989E-3</v>
      </c>
      <c r="W1704">
        <f t="shared" si="296"/>
        <v>-3.458118558515199E-3</v>
      </c>
      <c r="X1704">
        <v>1.509380239255669E-2</v>
      </c>
    </row>
    <row r="1705" spans="1:24" x14ac:dyDescent="0.35">
      <c r="A1705" s="1">
        <v>45331</v>
      </c>
      <c r="B1705">
        <v>2921.5</v>
      </c>
      <c r="C1705">
        <f t="shared" si="286"/>
        <v>7.3269545728815721E-3</v>
      </c>
      <c r="D1705">
        <v>4133.7001950000003</v>
      </c>
      <c r="E1705">
        <f t="shared" si="287"/>
        <v>-9.6732781142194746E-5</v>
      </c>
      <c r="F1705">
        <v>1403.599976</v>
      </c>
      <c r="G1705">
        <f t="shared" si="288"/>
        <v>3.9195109282941232E-4</v>
      </c>
      <c r="H1705">
        <v>1120.25</v>
      </c>
      <c r="I1705">
        <f t="shared" si="289"/>
        <v>-1.9174384747900675E-2</v>
      </c>
      <c r="J1705">
        <v>1669.349976</v>
      </c>
      <c r="K1705">
        <f t="shared" si="290"/>
        <v>-1.3444832056424549E-2</v>
      </c>
      <c r="L1705">
        <v>415.5</v>
      </c>
      <c r="M1705">
        <f t="shared" si="291"/>
        <v>2.2916710359628389E-3</v>
      </c>
      <c r="N1705">
        <v>1534.8000489999999</v>
      </c>
      <c r="O1705">
        <f t="shared" si="292"/>
        <v>2.3472975168945975E-2</v>
      </c>
      <c r="P1705">
        <v>267.5499878</v>
      </c>
      <c r="Q1705">
        <f t="shared" si="293"/>
        <v>-2.0501578711549229E-2</v>
      </c>
      <c r="R1705">
        <v>915</v>
      </c>
      <c r="S1705">
        <f t="shared" si="294"/>
        <v>-1.0061655223144284E-2</v>
      </c>
      <c r="T1705">
        <v>3719.1999510000001</v>
      </c>
      <c r="U1705">
        <f t="shared" si="295"/>
        <v>-3.1760758618545326E-3</v>
      </c>
      <c r="W1705">
        <f t="shared" si="296"/>
        <v>-3.2971707511395662E-3</v>
      </c>
      <c r="X1705">
        <v>1.511326089775813E-2</v>
      </c>
    </row>
    <row r="1706" spans="1:24" x14ac:dyDescent="0.35">
      <c r="A1706" s="1">
        <v>45334</v>
      </c>
      <c r="B1706">
        <v>2904.6999510000001</v>
      </c>
      <c r="C1706">
        <f t="shared" si="286"/>
        <v>-5.7504874208453849E-3</v>
      </c>
      <c r="D1706">
        <v>4120.7001950000003</v>
      </c>
      <c r="E1706">
        <f t="shared" si="287"/>
        <v>-3.1448821604731503E-3</v>
      </c>
      <c r="F1706">
        <v>1390</v>
      </c>
      <c r="G1706">
        <f t="shared" si="288"/>
        <v>-9.6893532577261299E-3</v>
      </c>
      <c r="H1706">
        <v>1118.6999510000001</v>
      </c>
      <c r="I1706">
        <f t="shared" si="289"/>
        <v>-1.3836634679758042E-3</v>
      </c>
      <c r="J1706">
        <v>1680.099976</v>
      </c>
      <c r="K1706">
        <f t="shared" si="290"/>
        <v>6.4396322847521947E-3</v>
      </c>
      <c r="L1706">
        <v>406.85000609999997</v>
      </c>
      <c r="M1706">
        <f t="shared" si="291"/>
        <v>-2.0818276534296132E-2</v>
      </c>
      <c r="N1706">
        <v>1534.4499510000001</v>
      </c>
      <c r="O1706">
        <f t="shared" si="292"/>
        <v>-2.281065864103704E-4</v>
      </c>
      <c r="P1706">
        <v>257.89999390000003</v>
      </c>
      <c r="Q1706">
        <f t="shared" si="293"/>
        <v>-3.6068003513472724E-2</v>
      </c>
      <c r="R1706">
        <v>911.59997559999999</v>
      </c>
      <c r="S1706">
        <f t="shared" si="294"/>
        <v>-3.7158736612021848E-3</v>
      </c>
      <c r="T1706">
        <v>3675.6000979999999</v>
      </c>
      <c r="U1706">
        <f t="shared" si="295"/>
        <v>-1.1722911802114155E-2</v>
      </c>
      <c r="W1706">
        <f t="shared" si="296"/>
        <v>-8.6081926119763851E-3</v>
      </c>
      <c r="X1706">
        <v>1.5403982133877548E-2</v>
      </c>
    </row>
    <row r="1707" spans="1:24" x14ac:dyDescent="0.35">
      <c r="A1707" s="1">
        <v>45335</v>
      </c>
      <c r="B1707">
        <v>2930.1999510000001</v>
      </c>
      <c r="C1707">
        <f t="shared" si="286"/>
        <v>8.7788757634745807E-3</v>
      </c>
      <c r="D1707">
        <v>4149.5</v>
      </c>
      <c r="E1707">
        <f t="shared" si="287"/>
        <v>6.9890561402512486E-3</v>
      </c>
      <c r="F1707">
        <v>1394.4499510000001</v>
      </c>
      <c r="G1707">
        <f t="shared" si="288"/>
        <v>3.2014035971223986E-3</v>
      </c>
      <c r="H1707">
        <v>1117.849976</v>
      </c>
      <c r="I1707">
        <f t="shared" si="289"/>
        <v>-7.5978818023569872E-4</v>
      </c>
      <c r="J1707">
        <v>1684.5500489999999</v>
      </c>
      <c r="K1707">
        <f t="shared" si="290"/>
        <v>2.6486953535913571E-3</v>
      </c>
      <c r="L1707">
        <v>406.75</v>
      </c>
      <c r="M1707">
        <f t="shared" si="291"/>
        <v>-2.4580582155719899E-4</v>
      </c>
      <c r="N1707">
        <v>1542.1999510000001</v>
      </c>
      <c r="O1707">
        <f t="shared" si="292"/>
        <v>5.0506697823211599E-3</v>
      </c>
      <c r="P1707">
        <v>259.5</v>
      </c>
      <c r="Q1707">
        <f t="shared" si="293"/>
        <v>6.2039788206444957E-3</v>
      </c>
      <c r="R1707">
        <v>906.90002440000001</v>
      </c>
      <c r="S1707">
        <f t="shared" si="294"/>
        <v>-5.1557166803416488E-3</v>
      </c>
      <c r="T1707">
        <v>3703.1999510000001</v>
      </c>
      <c r="U1707">
        <f t="shared" si="295"/>
        <v>7.5089379323440841E-3</v>
      </c>
      <c r="W1707">
        <f t="shared" si="296"/>
        <v>3.422030670761478E-3</v>
      </c>
      <c r="X1707">
        <v>1.5447392875149792E-2</v>
      </c>
    </row>
    <row r="1708" spans="1:24" x14ac:dyDescent="0.35">
      <c r="A1708" s="1">
        <v>45336</v>
      </c>
      <c r="B1708">
        <v>2962.75</v>
      </c>
      <c r="C1708">
        <f t="shared" si="286"/>
        <v>1.110847366879919E-2</v>
      </c>
      <c r="D1708">
        <v>4100.1000979999999</v>
      </c>
      <c r="E1708">
        <f t="shared" si="287"/>
        <v>-1.1905025183757134E-2</v>
      </c>
      <c r="F1708">
        <v>1384.0500489999999</v>
      </c>
      <c r="G1708">
        <f t="shared" si="288"/>
        <v>-7.4580676004485369E-3</v>
      </c>
      <c r="H1708">
        <v>1115.849976</v>
      </c>
      <c r="I1708">
        <f t="shared" si="289"/>
        <v>-1.7891488508651188E-3</v>
      </c>
      <c r="J1708">
        <v>1666.1999510000001</v>
      </c>
      <c r="K1708">
        <f t="shared" si="290"/>
        <v>-1.0893174715048137E-2</v>
      </c>
      <c r="L1708">
        <v>411.5499878</v>
      </c>
      <c r="M1708">
        <f t="shared" si="291"/>
        <v>1.1800830485556135E-2</v>
      </c>
      <c r="N1708">
        <v>1520.400024</v>
      </c>
      <c r="O1708">
        <f t="shared" si="292"/>
        <v>-1.4135603483753423E-2</v>
      </c>
      <c r="P1708">
        <v>268.85000609999997</v>
      </c>
      <c r="Q1708">
        <f t="shared" si="293"/>
        <v>3.6030852023121174E-2</v>
      </c>
      <c r="R1708">
        <v>918.29998780000005</v>
      </c>
      <c r="S1708">
        <f t="shared" si="294"/>
        <v>1.2570253714065283E-2</v>
      </c>
      <c r="T1708">
        <v>3722.3999020000001</v>
      </c>
      <c r="U1708">
        <f t="shared" si="295"/>
        <v>5.1846919566995719E-3</v>
      </c>
      <c r="W1708">
        <f t="shared" si="296"/>
        <v>3.0514082014369004E-3</v>
      </c>
      <c r="X1708">
        <v>1.548177291939158E-2</v>
      </c>
    </row>
    <row r="1709" spans="1:24" x14ac:dyDescent="0.35">
      <c r="A1709" s="1">
        <v>45337</v>
      </c>
      <c r="B1709">
        <v>2941.1999510000001</v>
      </c>
      <c r="C1709">
        <f t="shared" si="286"/>
        <v>-7.2736643321238414E-3</v>
      </c>
      <c r="D1709">
        <v>4103.2001950000003</v>
      </c>
      <c r="E1709">
        <f t="shared" si="287"/>
        <v>7.5610275990878328E-4</v>
      </c>
      <c r="F1709">
        <v>1414.0500489999999</v>
      </c>
      <c r="G1709">
        <f t="shared" si="288"/>
        <v>2.1675516735594647E-2</v>
      </c>
      <c r="H1709">
        <v>1120.6999510000001</v>
      </c>
      <c r="I1709">
        <f t="shared" si="289"/>
        <v>4.3464400271673309E-3</v>
      </c>
      <c r="J1709">
        <v>1676.349976</v>
      </c>
      <c r="K1709">
        <f t="shared" si="290"/>
        <v>6.0917208609376772E-3</v>
      </c>
      <c r="L1709">
        <v>403.89999390000003</v>
      </c>
      <c r="M1709">
        <f t="shared" si="291"/>
        <v>-1.8588249609468144E-2</v>
      </c>
      <c r="N1709">
        <v>1509.900024</v>
      </c>
      <c r="O1709">
        <f t="shared" si="292"/>
        <v>-6.9060772390516778E-3</v>
      </c>
      <c r="P1709">
        <v>277.2999878</v>
      </c>
      <c r="Q1709">
        <f t="shared" si="293"/>
        <v>3.1430096738986224E-2</v>
      </c>
      <c r="R1709">
        <v>920.54998780000005</v>
      </c>
      <c r="S1709">
        <f t="shared" si="294"/>
        <v>2.4501797123948066E-3</v>
      </c>
      <c r="T1709">
        <v>3678.6000979999999</v>
      </c>
      <c r="U1709">
        <f t="shared" si="295"/>
        <v>-1.1766549847711749E-2</v>
      </c>
      <c r="W1709">
        <f t="shared" si="296"/>
        <v>2.2215515806634058E-3</v>
      </c>
      <c r="X1709">
        <v>1.5577530040837586E-2</v>
      </c>
    </row>
    <row r="1710" spans="1:24" x14ac:dyDescent="0.35">
      <c r="A1710" s="1">
        <v>45338</v>
      </c>
      <c r="B1710">
        <v>2921.1499020000001</v>
      </c>
      <c r="C1710">
        <f t="shared" si="286"/>
        <v>-6.816962237872648E-3</v>
      </c>
      <c r="D1710">
        <v>4128.2998049999997</v>
      </c>
      <c r="E1710">
        <f t="shared" si="287"/>
        <v>6.1170814991149403E-3</v>
      </c>
      <c r="F1710">
        <v>1419.900024</v>
      </c>
      <c r="G1710">
        <f t="shared" si="288"/>
        <v>4.1370353221494849E-3</v>
      </c>
      <c r="H1710">
        <v>1120</v>
      </c>
      <c r="I1710">
        <f t="shared" si="289"/>
        <v>-6.2456592362258867E-4</v>
      </c>
      <c r="J1710">
        <v>1701.650024</v>
      </c>
      <c r="K1710">
        <f t="shared" si="290"/>
        <v>1.5092342507361911E-2</v>
      </c>
      <c r="L1710">
        <v>404.60000609999997</v>
      </c>
      <c r="M1710">
        <f t="shared" si="291"/>
        <v>1.7331324847043028E-3</v>
      </c>
      <c r="N1710">
        <v>1509.9499510000001</v>
      </c>
      <c r="O1710">
        <f t="shared" si="292"/>
        <v>3.306642771461199E-5</v>
      </c>
      <c r="P1710">
        <v>274.7000122</v>
      </c>
      <c r="Q1710">
        <f t="shared" si="293"/>
        <v>-9.3760393594939373E-3</v>
      </c>
      <c r="R1710">
        <v>938.59997559999999</v>
      </c>
      <c r="S1710">
        <f t="shared" si="294"/>
        <v>1.960783014416978E-2</v>
      </c>
      <c r="T1710">
        <v>3693.3000489999999</v>
      </c>
      <c r="U1710">
        <f t="shared" si="295"/>
        <v>3.9960720405547434E-3</v>
      </c>
      <c r="W1710">
        <f t="shared" si="296"/>
        <v>3.3898992904780609E-3</v>
      </c>
      <c r="X1710">
        <v>1.5580848351092238E-2</v>
      </c>
    </row>
    <row r="1711" spans="1:24" x14ac:dyDescent="0.35">
      <c r="A1711" s="1">
        <v>45341</v>
      </c>
      <c r="B1711">
        <v>2948</v>
      </c>
      <c r="C1711">
        <f t="shared" si="286"/>
        <v>9.1916193625039E-3</v>
      </c>
      <c r="D1711">
        <v>4103.7998049999997</v>
      </c>
      <c r="E1711">
        <f t="shared" si="287"/>
        <v>-5.9346465027386719E-3</v>
      </c>
      <c r="F1711">
        <v>1417.099976</v>
      </c>
      <c r="G1711">
        <f t="shared" si="288"/>
        <v>-1.9720036288978227E-3</v>
      </c>
      <c r="H1711">
        <v>1142.1999510000001</v>
      </c>
      <c r="I1711">
        <f t="shared" si="289"/>
        <v>1.9821384821428589E-2</v>
      </c>
      <c r="J1711">
        <v>1699.75</v>
      </c>
      <c r="K1711">
        <f t="shared" si="290"/>
        <v>-1.1165774237957837E-3</v>
      </c>
      <c r="L1711">
        <v>409.25</v>
      </c>
      <c r="M1711">
        <f t="shared" si="291"/>
        <v>1.1492817177196857E-2</v>
      </c>
      <c r="N1711">
        <v>1530.099976</v>
      </c>
      <c r="O1711">
        <f t="shared" si="292"/>
        <v>1.3344829732041763E-2</v>
      </c>
      <c r="P1711">
        <v>274.64999390000003</v>
      </c>
      <c r="Q1711">
        <f t="shared" si="293"/>
        <v>-1.8208335558267397E-4</v>
      </c>
      <c r="R1711">
        <v>932.59997559999999</v>
      </c>
      <c r="S1711">
        <f t="shared" si="294"/>
        <v>-6.3924996334722151E-3</v>
      </c>
      <c r="T1711">
        <v>3707.25</v>
      </c>
      <c r="U1711">
        <f t="shared" si="295"/>
        <v>3.7770965843344495E-3</v>
      </c>
      <c r="W1711">
        <f t="shared" si="296"/>
        <v>4.2029937133018398E-3</v>
      </c>
      <c r="X1711">
        <v>1.5701118809052728E-2</v>
      </c>
    </row>
    <row r="1712" spans="1:24" x14ac:dyDescent="0.35">
      <c r="A1712" s="1">
        <v>45342</v>
      </c>
      <c r="B1712">
        <v>2942.0500489999999</v>
      </c>
      <c r="C1712">
        <f t="shared" si="286"/>
        <v>-2.0183008819538717E-3</v>
      </c>
      <c r="D1712">
        <v>4030.6499020000001</v>
      </c>
      <c r="E1712">
        <f t="shared" si="287"/>
        <v>-1.7824919946356821E-2</v>
      </c>
      <c r="F1712">
        <v>1454.3000489999999</v>
      </c>
      <c r="G1712">
        <f t="shared" si="288"/>
        <v>2.6250845833053704E-2</v>
      </c>
      <c r="H1712">
        <v>1143.9499510000001</v>
      </c>
      <c r="I1712">
        <f t="shared" si="289"/>
        <v>1.5321310410387756E-3</v>
      </c>
      <c r="J1712">
        <v>1685.25</v>
      </c>
      <c r="K1712">
        <f t="shared" si="290"/>
        <v>-8.5306662744520922E-3</v>
      </c>
      <c r="L1712">
        <v>406.10000609999997</v>
      </c>
      <c r="M1712">
        <f t="shared" si="291"/>
        <v>-7.6969918142945071E-3</v>
      </c>
      <c r="N1712">
        <v>1538.6999510000001</v>
      </c>
      <c r="O1712">
        <f t="shared" si="292"/>
        <v>5.6205314259805128E-3</v>
      </c>
      <c r="P1712">
        <v>276.60000609999997</v>
      </c>
      <c r="Q1712">
        <f t="shared" si="293"/>
        <v>7.0999899628978458E-3</v>
      </c>
      <c r="R1712">
        <v>926.34997559999999</v>
      </c>
      <c r="S1712">
        <f t="shared" si="294"/>
        <v>-6.7016943636299953E-3</v>
      </c>
      <c r="T1712">
        <v>3756.1999510000001</v>
      </c>
      <c r="U1712">
        <f t="shared" si="295"/>
        <v>1.3203844089284544E-2</v>
      </c>
      <c r="W1712">
        <f t="shared" si="296"/>
        <v>1.0934769071568097E-3</v>
      </c>
      <c r="X1712">
        <v>1.5732939575142147E-2</v>
      </c>
    </row>
    <row r="1713" spans="1:24" x14ac:dyDescent="0.35">
      <c r="A1713" s="1">
        <v>45343</v>
      </c>
      <c r="B1713">
        <v>2935.3999020000001</v>
      </c>
      <c r="C1713">
        <f t="shared" si="286"/>
        <v>-2.2603786098949197E-3</v>
      </c>
      <c r="D1713">
        <v>3991.5</v>
      </c>
      <c r="E1713">
        <f t="shared" si="287"/>
        <v>-9.7130494962051062E-3</v>
      </c>
      <c r="F1713">
        <v>1439.150024</v>
      </c>
      <c r="G1713">
        <f t="shared" si="288"/>
        <v>-1.0417399772775449E-2</v>
      </c>
      <c r="H1713">
        <v>1139.900024</v>
      </c>
      <c r="I1713">
        <f t="shared" si="289"/>
        <v>-3.5403008640891853E-3</v>
      </c>
      <c r="J1713">
        <v>1655.5500489999999</v>
      </c>
      <c r="K1713">
        <f t="shared" si="290"/>
        <v>-1.7623468921524998E-2</v>
      </c>
      <c r="L1713">
        <v>403.35000609999997</v>
      </c>
      <c r="M1713">
        <f t="shared" si="291"/>
        <v>-6.771730998996417E-3</v>
      </c>
      <c r="N1713">
        <v>1543.400024</v>
      </c>
      <c r="O1713">
        <f t="shared" si="292"/>
        <v>3.0545740883045625E-3</v>
      </c>
      <c r="P1713">
        <v>272.9500122</v>
      </c>
      <c r="Q1713">
        <f t="shared" si="293"/>
        <v>-1.319592848700224E-2</v>
      </c>
      <c r="R1713">
        <v>921.04998780000005</v>
      </c>
      <c r="S1713">
        <f t="shared" si="294"/>
        <v>-5.7213665888716791E-3</v>
      </c>
      <c r="T1713">
        <v>3835.75</v>
      </c>
      <c r="U1713">
        <f t="shared" si="295"/>
        <v>2.1178331834763364E-2</v>
      </c>
      <c r="W1713">
        <f t="shared" si="296"/>
        <v>-4.5010717816292081E-3</v>
      </c>
      <c r="X1713">
        <v>1.5736061011225478E-2</v>
      </c>
    </row>
    <row r="1714" spans="1:24" x14ac:dyDescent="0.35">
      <c r="A1714" s="1">
        <v>45344</v>
      </c>
      <c r="B1714">
        <v>2963.5</v>
      </c>
      <c r="C1714">
        <f t="shared" si="286"/>
        <v>9.5728346862906655E-3</v>
      </c>
      <c r="D1714">
        <v>4087.1000979999999</v>
      </c>
      <c r="E1714">
        <f t="shared" si="287"/>
        <v>2.3950920205436432E-2</v>
      </c>
      <c r="F1714">
        <v>1419.5500489999999</v>
      </c>
      <c r="G1714">
        <f t="shared" si="288"/>
        <v>-1.3619132594337557E-2</v>
      </c>
      <c r="H1714">
        <v>1135.5500489999999</v>
      </c>
      <c r="I1714">
        <f t="shared" si="289"/>
        <v>-3.8161022093285979E-3</v>
      </c>
      <c r="J1714">
        <v>1681.349976</v>
      </c>
      <c r="K1714">
        <f t="shared" si="290"/>
        <v>1.5583900357216018E-2</v>
      </c>
      <c r="L1714">
        <v>414.4500122</v>
      </c>
      <c r="M1714">
        <f t="shared" si="291"/>
        <v>2.7519538693766776E-2</v>
      </c>
      <c r="N1714">
        <v>1558.0500489999999</v>
      </c>
      <c r="O1714">
        <f t="shared" si="292"/>
        <v>9.4920466322345742E-3</v>
      </c>
      <c r="P1714">
        <v>274.7000122</v>
      </c>
      <c r="Q1714">
        <f t="shared" si="293"/>
        <v>6.411430378386429E-3</v>
      </c>
      <c r="R1714">
        <v>932.29998780000005</v>
      </c>
      <c r="S1714">
        <f t="shared" si="294"/>
        <v>1.2214320774132537E-2</v>
      </c>
      <c r="T1714">
        <v>3851.4499510000001</v>
      </c>
      <c r="U1714">
        <f t="shared" si="295"/>
        <v>4.093058984553144E-3</v>
      </c>
      <c r="W1714">
        <f t="shared" si="296"/>
        <v>9.1402815908350424E-3</v>
      </c>
      <c r="X1714">
        <v>1.5786411853028572E-2</v>
      </c>
    </row>
    <row r="1715" spans="1:24" x14ac:dyDescent="0.35">
      <c r="A1715" s="1">
        <v>45345</v>
      </c>
      <c r="B1715">
        <v>2987.25</v>
      </c>
      <c r="C1715">
        <f t="shared" si="286"/>
        <v>8.0141724312468021E-3</v>
      </c>
      <c r="D1715">
        <v>4052.1000979999999</v>
      </c>
      <c r="E1715">
        <f t="shared" si="287"/>
        <v>-8.5635289473646736E-3</v>
      </c>
      <c r="F1715">
        <v>1420.599976</v>
      </c>
      <c r="G1715">
        <f t="shared" si="288"/>
        <v>7.3961957222978825E-4</v>
      </c>
      <c r="H1715">
        <v>1125.75</v>
      </c>
      <c r="I1715">
        <f t="shared" si="289"/>
        <v>-8.630221986807296E-3</v>
      </c>
      <c r="J1715">
        <v>1676.849976</v>
      </c>
      <c r="K1715">
        <f t="shared" si="290"/>
        <v>-2.6764207715431754E-3</v>
      </c>
      <c r="L1715">
        <v>411.39999390000003</v>
      </c>
      <c r="M1715">
        <f t="shared" si="291"/>
        <v>-7.3591946199006442E-3</v>
      </c>
      <c r="N1715">
        <v>1561.25</v>
      </c>
      <c r="O1715">
        <f t="shared" si="292"/>
        <v>2.0538178488258563E-3</v>
      </c>
      <c r="P1715">
        <v>272.2000122</v>
      </c>
      <c r="Q1715">
        <f t="shared" si="293"/>
        <v>-9.100836872842355E-3</v>
      </c>
      <c r="R1715">
        <v>937.40002440000001</v>
      </c>
      <c r="S1715">
        <f t="shared" si="294"/>
        <v>5.4703814938739104E-3</v>
      </c>
      <c r="T1715">
        <v>3840.5500489999999</v>
      </c>
      <c r="U1715">
        <f t="shared" si="295"/>
        <v>-2.8300775392836597E-3</v>
      </c>
      <c r="W1715">
        <f t="shared" si="296"/>
        <v>-2.2882289391565449E-3</v>
      </c>
      <c r="X1715">
        <v>1.5808564231243605E-2</v>
      </c>
    </row>
    <row r="1716" spans="1:24" x14ac:dyDescent="0.35">
      <c r="A1716" s="1">
        <v>45348</v>
      </c>
      <c r="B1716">
        <v>2974.6499020000001</v>
      </c>
      <c r="C1716">
        <f t="shared" si="286"/>
        <v>-4.2179589923843075E-3</v>
      </c>
      <c r="D1716">
        <v>4001.0500489999999</v>
      </c>
      <c r="E1716">
        <f t="shared" si="287"/>
        <v>-1.2598417552714625E-2</v>
      </c>
      <c r="F1716">
        <v>1422.3000489999999</v>
      </c>
      <c r="G1716">
        <f t="shared" si="288"/>
        <v>1.196728867183916E-3</v>
      </c>
      <c r="H1716">
        <v>1110.0500489999999</v>
      </c>
      <c r="I1716">
        <f t="shared" si="289"/>
        <v>-1.3946214523650968E-2</v>
      </c>
      <c r="J1716">
        <v>1660.150024</v>
      </c>
      <c r="K1716">
        <f t="shared" si="290"/>
        <v>-9.9591211134083535E-3</v>
      </c>
      <c r="L1716">
        <v>409.2000122</v>
      </c>
      <c r="M1716">
        <f t="shared" si="291"/>
        <v>-5.3475491799224173E-3</v>
      </c>
      <c r="N1716">
        <v>1556.9499510000001</v>
      </c>
      <c r="O1716">
        <f t="shared" si="292"/>
        <v>-2.7542347477982343E-3</v>
      </c>
      <c r="P1716">
        <v>269.85000609999997</v>
      </c>
      <c r="Q1716">
        <f t="shared" si="293"/>
        <v>-8.6333798481733615E-3</v>
      </c>
      <c r="R1716">
        <v>936.95001219999995</v>
      </c>
      <c r="S1716">
        <f t="shared" si="294"/>
        <v>-4.8006420768775815E-4</v>
      </c>
      <c r="T1716">
        <v>3850.3500979999999</v>
      </c>
      <c r="U1716">
        <f t="shared" si="295"/>
        <v>2.5517305789444222E-3</v>
      </c>
      <c r="W1716">
        <f t="shared" si="296"/>
        <v>-5.4188480719611683E-3</v>
      </c>
      <c r="X1716">
        <v>1.5868210411117301E-2</v>
      </c>
    </row>
    <row r="1717" spans="1:24" x14ac:dyDescent="0.35">
      <c r="A1717" s="1">
        <v>45349</v>
      </c>
      <c r="B1717">
        <v>2971.3000489999999</v>
      </c>
      <c r="C1717">
        <f t="shared" si="286"/>
        <v>-1.1261335317974686E-3</v>
      </c>
      <c r="D1717">
        <v>4104.3999020000001</v>
      </c>
      <c r="E1717">
        <f t="shared" si="287"/>
        <v>2.5830682379449632E-2</v>
      </c>
      <c r="F1717">
        <v>1420.150024</v>
      </c>
      <c r="G1717">
        <f t="shared" si="288"/>
        <v>-1.5116536074870623E-3</v>
      </c>
      <c r="H1717">
        <v>1127.5</v>
      </c>
      <c r="I1717">
        <f t="shared" si="289"/>
        <v>1.5719967775975618E-2</v>
      </c>
      <c r="J1717">
        <v>1663.599976</v>
      </c>
      <c r="K1717">
        <f t="shared" si="290"/>
        <v>2.0780965274977969E-3</v>
      </c>
      <c r="L1717">
        <v>411.14999390000003</v>
      </c>
      <c r="M1717">
        <f t="shared" si="291"/>
        <v>4.7653510309451086E-3</v>
      </c>
      <c r="N1717">
        <v>1582.75</v>
      </c>
      <c r="O1717">
        <f t="shared" si="292"/>
        <v>1.6570891686935152E-2</v>
      </c>
      <c r="P1717">
        <v>269.35000609999997</v>
      </c>
      <c r="Q1717">
        <f t="shared" si="293"/>
        <v>-1.8528811884285235E-3</v>
      </c>
      <c r="R1717">
        <v>962.70001219999995</v>
      </c>
      <c r="S1717">
        <f t="shared" si="294"/>
        <v>2.7482789545557385E-2</v>
      </c>
      <c r="T1717">
        <v>3852.1999510000001</v>
      </c>
      <c r="U1717">
        <f t="shared" si="295"/>
        <v>4.8043761032556809E-4</v>
      </c>
      <c r="W1717">
        <f t="shared" si="296"/>
        <v>8.8437548228973203E-3</v>
      </c>
      <c r="X1717">
        <v>1.5945837024637168E-2</v>
      </c>
    </row>
    <row r="1718" spans="1:24" x14ac:dyDescent="0.35">
      <c r="A1718" s="1">
        <v>45350</v>
      </c>
      <c r="B1718">
        <v>2911.25</v>
      </c>
      <c r="C1718">
        <f t="shared" si="286"/>
        <v>-2.0210025244744245E-2</v>
      </c>
      <c r="D1718">
        <v>4118.9501950000003</v>
      </c>
      <c r="E1718">
        <f t="shared" si="287"/>
        <v>3.545047594633699E-3</v>
      </c>
      <c r="F1718">
        <v>1409.400024</v>
      </c>
      <c r="G1718">
        <f t="shared" si="288"/>
        <v>-7.5696227992317899E-3</v>
      </c>
      <c r="H1718">
        <v>1128.75</v>
      </c>
      <c r="I1718">
        <f t="shared" si="289"/>
        <v>1.1086474501109667E-3</v>
      </c>
      <c r="J1718">
        <v>1671.25</v>
      </c>
      <c r="K1718">
        <f t="shared" si="290"/>
        <v>4.5984756614350086E-3</v>
      </c>
      <c r="L1718">
        <v>408.2999878</v>
      </c>
      <c r="M1718">
        <f t="shared" si="291"/>
        <v>-6.9317916631009835E-3</v>
      </c>
      <c r="N1718">
        <v>1573.849976</v>
      </c>
      <c r="O1718">
        <f t="shared" si="292"/>
        <v>-5.6231394724371997E-3</v>
      </c>
      <c r="P1718">
        <v>265.75</v>
      </c>
      <c r="Q1718">
        <f t="shared" si="293"/>
        <v>-1.3365531904474537E-2</v>
      </c>
      <c r="R1718">
        <v>958.04998780000005</v>
      </c>
      <c r="S1718">
        <f t="shared" si="294"/>
        <v>-4.8301904446572674E-3</v>
      </c>
      <c r="T1718">
        <v>3850</v>
      </c>
      <c r="U1718">
        <f t="shared" si="295"/>
        <v>-5.7108951455875356E-4</v>
      </c>
      <c r="W1718">
        <f t="shared" si="296"/>
        <v>-4.9849220337025105E-3</v>
      </c>
      <c r="X1718">
        <v>1.5990510074351684E-2</v>
      </c>
    </row>
    <row r="1719" spans="1:24" x14ac:dyDescent="0.35">
      <c r="A1719" s="1">
        <v>45351</v>
      </c>
      <c r="B1719">
        <v>2921.6000979999999</v>
      </c>
      <c r="C1719">
        <f t="shared" si="286"/>
        <v>3.5552075568914265E-3</v>
      </c>
      <c r="D1719">
        <v>4095.1000979999999</v>
      </c>
      <c r="E1719">
        <f t="shared" si="287"/>
        <v>-5.7903339129840026E-3</v>
      </c>
      <c r="F1719">
        <v>1403.400024</v>
      </c>
      <c r="G1719">
        <f t="shared" si="288"/>
        <v>-4.2571306214196358E-3</v>
      </c>
      <c r="H1719">
        <v>1123.349976</v>
      </c>
      <c r="I1719">
        <f t="shared" si="289"/>
        <v>-4.7840744186047335E-3</v>
      </c>
      <c r="J1719">
        <v>1673.900024</v>
      </c>
      <c r="K1719">
        <f t="shared" si="290"/>
        <v>1.5856538519072316E-3</v>
      </c>
      <c r="L1719">
        <v>406.2999878</v>
      </c>
      <c r="M1719">
        <f t="shared" si="291"/>
        <v>-4.8983591960812811E-3</v>
      </c>
      <c r="N1719">
        <v>1577.9499510000001</v>
      </c>
      <c r="O1719">
        <f t="shared" si="292"/>
        <v>2.6050608777974382E-3</v>
      </c>
      <c r="P1719">
        <v>264.60000609999997</v>
      </c>
      <c r="Q1719">
        <f t="shared" si="293"/>
        <v>-4.3273523988711649E-3</v>
      </c>
      <c r="R1719">
        <v>950.20001219999995</v>
      </c>
      <c r="S1719">
        <f t="shared" si="294"/>
        <v>-8.1937014769201122E-3</v>
      </c>
      <c r="T1719">
        <v>3918.8999020000001</v>
      </c>
      <c r="U1719">
        <f t="shared" si="295"/>
        <v>1.7896078441558494E-2</v>
      </c>
      <c r="W1719">
        <f t="shared" si="296"/>
        <v>-6.6089512967263384E-4</v>
      </c>
      <c r="X1719">
        <v>1.5992363681154517E-2</v>
      </c>
    </row>
    <row r="1720" spans="1:24" x14ac:dyDescent="0.35">
      <c r="A1720" s="1">
        <v>45352</v>
      </c>
      <c r="B1720">
        <v>2984.25</v>
      </c>
      <c r="C1720">
        <f t="shared" si="286"/>
        <v>2.14436952007524E-2</v>
      </c>
      <c r="D1720">
        <v>4094.3500979999999</v>
      </c>
      <c r="E1720">
        <f t="shared" si="287"/>
        <v>-1.831457063445896E-4</v>
      </c>
      <c r="F1720">
        <v>1430.75</v>
      </c>
      <c r="G1720">
        <f t="shared" si="288"/>
        <v>1.9488367915262428E-2</v>
      </c>
      <c r="H1720">
        <v>1128.6999510000001</v>
      </c>
      <c r="I1720">
        <f t="shared" si="289"/>
        <v>4.762518462011478E-3</v>
      </c>
      <c r="J1720">
        <v>1654.6999510000001</v>
      </c>
      <c r="K1720">
        <f t="shared" si="290"/>
        <v>-1.1470262694733058E-2</v>
      </c>
      <c r="L1720">
        <v>409.5</v>
      </c>
      <c r="M1720">
        <f t="shared" si="291"/>
        <v>7.8759839923381314E-3</v>
      </c>
      <c r="N1720">
        <v>1559.25</v>
      </c>
      <c r="O1720">
        <f t="shared" si="292"/>
        <v>-1.1850788415785463E-2</v>
      </c>
      <c r="P1720">
        <v>270.5499878</v>
      </c>
      <c r="Q1720">
        <f t="shared" si="293"/>
        <v>2.248670280737386E-2</v>
      </c>
      <c r="R1720">
        <v>977.40002440000001</v>
      </c>
      <c r="S1720">
        <f t="shared" si="294"/>
        <v>2.8625564987127206E-2</v>
      </c>
      <c r="T1720">
        <v>3884.1499020000001</v>
      </c>
      <c r="U1720">
        <f t="shared" si="295"/>
        <v>-8.8672844086334912E-3</v>
      </c>
      <c r="W1720">
        <f t="shared" si="296"/>
        <v>7.2311352139368887E-3</v>
      </c>
      <c r="X1720">
        <v>1.6112106034804095E-2</v>
      </c>
    </row>
    <row r="1721" spans="1:24" x14ac:dyDescent="0.35">
      <c r="A1721" s="1">
        <v>45355</v>
      </c>
      <c r="B1721">
        <v>3014.8000489999999</v>
      </c>
      <c r="C1721">
        <f t="shared" si="286"/>
        <v>1.0237094412331338E-2</v>
      </c>
      <c r="D1721">
        <v>4080.6999510000001</v>
      </c>
      <c r="E1721">
        <f t="shared" si="287"/>
        <v>-3.3338983411964618E-3</v>
      </c>
      <c r="F1721">
        <v>1432.6999510000001</v>
      </c>
      <c r="G1721">
        <f t="shared" si="288"/>
        <v>1.3628872968722838E-3</v>
      </c>
      <c r="H1721">
        <v>1133.5</v>
      </c>
      <c r="I1721">
        <f t="shared" si="289"/>
        <v>4.2527236718201689E-3</v>
      </c>
      <c r="J1721">
        <v>1637.1999510000001</v>
      </c>
      <c r="K1721">
        <f t="shared" si="290"/>
        <v>-1.0575935528023717E-2</v>
      </c>
      <c r="L1721">
        <v>409.10000609999997</v>
      </c>
      <c r="M1721">
        <f t="shared" si="291"/>
        <v>-9.7678608058615612E-4</v>
      </c>
      <c r="N1721">
        <v>1552.099976</v>
      </c>
      <c r="O1721">
        <f t="shared" si="292"/>
        <v>-4.5855533108866142E-3</v>
      </c>
      <c r="P1721">
        <v>279.2000122</v>
      </c>
      <c r="Q1721">
        <f t="shared" si="293"/>
        <v>3.1972000702489067E-2</v>
      </c>
      <c r="R1721">
        <v>987.20001219999995</v>
      </c>
      <c r="S1721">
        <f t="shared" si="294"/>
        <v>1.0026588454421059E-2</v>
      </c>
      <c r="T1721">
        <v>3846.3500979999999</v>
      </c>
      <c r="U1721">
        <f t="shared" si="295"/>
        <v>-9.7318087493318828E-3</v>
      </c>
      <c r="W1721">
        <f t="shared" si="296"/>
        <v>2.8647312527909086E-3</v>
      </c>
      <c r="X1721">
        <v>1.6167827671964088E-2</v>
      </c>
    </row>
    <row r="1722" spans="1:24" x14ac:dyDescent="0.35">
      <c r="A1722" s="1">
        <v>45356</v>
      </c>
      <c r="B1722">
        <v>3000.3999020000001</v>
      </c>
      <c r="C1722">
        <f t="shared" si="286"/>
        <v>-4.7764849296643153E-3</v>
      </c>
      <c r="D1722">
        <v>4012.1000979999999</v>
      </c>
      <c r="E1722">
        <f t="shared" si="287"/>
        <v>-1.6810805455860445E-2</v>
      </c>
      <c r="F1722">
        <v>1440.849976</v>
      </c>
      <c r="G1722">
        <f t="shared" si="288"/>
        <v>5.6885777055490916E-3</v>
      </c>
      <c r="H1722">
        <v>1168.900024</v>
      </c>
      <c r="I1722">
        <f t="shared" si="289"/>
        <v>3.1230722540802835E-2</v>
      </c>
      <c r="J1722">
        <v>1606.5</v>
      </c>
      <c r="K1722">
        <f t="shared" si="290"/>
        <v>-1.8751497629381553E-2</v>
      </c>
      <c r="L1722">
        <v>406.14999390000003</v>
      </c>
      <c r="M1722">
        <f t="shared" si="291"/>
        <v>-7.2109805817965889E-3</v>
      </c>
      <c r="N1722">
        <v>1574.1999510000001</v>
      </c>
      <c r="O1722">
        <f t="shared" si="292"/>
        <v>1.4238757387881051E-2</v>
      </c>
      <c r="P1722">
        <v>283.75</v>
      </c>
      <c r="Q1722">
        <f t="shared" si="293"/>
        <v>1.629651719621239E-2</v>
      </c>
      <c r="R1722">
        <v>1021.900024</v>
      </c>
      <c r="S1722">
        <f t="shared" si="294"/>
        <v>3.5149930481332081E-2</v>
      </c>
      <c r="T1722">
        <v>3834.5</v>
      </c>
      <c r="U1722">
        <f t="shared" si="295"/>
        <v>-3.080868277217319E-3</v>
      </c>
      <c r="W1722">
        <f t="shared" si="296"/>
        <v>5.1973868437857236E-3</v>
      </c>
      <c r="X1722">
        <v>1.6212521400635851E-2</v>
      </c>
    </row>
    <row r="1723" spans="1:24" x14ac:dyDescent="0.35">
      <c r="A1723" s="1">
        <v>45357</v>
      </c>
      <c r="B1723">
        <v>3006</v>
      </c>
      <c r="C1723">
        <f t="shared" si="286"/>
        <v>1.8664505342327331E-3</v>
      </c>
      <c r="D1723">
        <v>4064.3000489999999</v>
      </c>
      <c r="E1723">
        <f t="shared" si="287"/>
        <v>1.3010630274658652E-2</v>
      </c>
      <c r="F1723">
        <v>1442.599976</v>
      </c>
      <c r="G1723">
        <f t="shared" si="288"/>
        <v>1.2145608697293753E-3</v>
      </c>
      <c r="H1723">
        <v>1193.6999510000001</v>
      </c>
      <c r="I1723">
        <f t="shared" si="289"/>
        <v>2.1216465472499557E-2</v>
      </c>
      <c r="J1723">
        <v>1617.5500489999999</v>
      </c>
      <c r="K1723">
        <f t="shared" si="290"/>
        <v>6.8783373793961378E-3</v>
      </c>
      <c r="L1723">
        <v>407.85000609999997</v>
      </c>
      <c r="M1723">
        <f t="shared" si="291"/>
        <v>4.1856757984306547E-3</v>
      </c>
      <c r="N1723">
        <v>1604</v>
      </c>
      <c r="O1723">
        <f t="shared" si="292"/>
        <v>1.8930282002022514E-2</v>
      </c>
      <c r="P1723">
        <v>280.25</v>
      </c>
      <c r="Q1723">
        <f t="shared" si="293"/>
        <v>-1.2334801762114544E-2</v>
      </c>
      <c r="R1723">
        <v>1017.650024</v>
      </c>
      <c r="S1723">
        <f t="shared" si="294"/>
        <v>-4.1589195617829366E-3</v>
      </c>
      <c r="T1723">
        <v>3888.6499020000001</v>
      </c>
      <c r="U1723">
        <f t="shared" si="295"/>
        <v>1.4121763463293746E-2</v>
      </c>
      <c r="W1723">
        <f t="shared" si="296"/>
        <v>6.4930444470365899E-3</v>
      </c>
      <c r="X1723">
        <v>1.6322751583842901E-2</v>
      </c>
    </row>
    <row r="1724" spans="1:24" x14ac:dyDescent="0.35">
      <c r="A1724" s="1">
        <v>45358</v>
      </c>
      <c r="B1724">
        <v>2957.8500979999999</v>
      </c>
      <c r="C1724">
        <f t="shared" si="286"/>
        <v>-1.6017931470392544E-2</v>
      </c>
      <c r="D1724">
        <v>4108.6000979999999</v>
      </c>
      <c r="E1724">
        <f t="shared" si="287"/>
        <v>1.0899797865784988E-2</v>
      </c>
      <c r="F1724">
        <v>1446.099976</v>
      </c>
      <c r="G1724">
        <f t="shared" si="288"/>
        <v>2.4261750022378514E-3</v>
      </c>
      <c r="H1724">
        <v>1199.6999510000001</v>
      </c>
      <c r="I1724">
        <f t="shared" si="289"/>
        <v>5.0263887461614587E-3</v>
      </c>
      <c r="J1724">
        <v>1616.4499510000001</v>
      </c>
      <c r="K1724">
        <f t="shared" si="290"/>
        <v>-6.8010136729923509E-4</v>
      </c>
      <c r="L1724">
        <v>413.5499878</v>
      </c>
      <c r="M1724">
        <f t="shared" si="291"/>
        <v>1.3975681291524822E-2</v>
      </c>
      <c r="N1724">
        <v>1605.6999510000001</v>
      </c>
      <c r="O1724">
        <f t="shared" si="292"/>
        <v>1.0598198254363478E-3</v>
      </c>
      <c r="P1724">
        <v>278.10000609999997</v>
      </c>
      <c r="Q1724">
        <f t="shared" si="293"/>
        <v>-7.6716999107940831E-3</v>
      </c>
      <c r="R1724">
        <v>1039.3000489999999</v>
      </c>
      <c r="S1724">
        <f t="shared" si="294"/>
        <v>2.1274529051649615E-2</v>
      </c>
      <c r="T1724">
        <v>3925.9499510000001</v>
      </c>
      <c r="U1724">
        <f t="shared" si="295"/>
        <v>9.5920306378869391E-3</v>
      </c>
      <c r="W1724">
        <f t="shared" si="296"/>
        <v>3.9884689672196163E-3</v>
      </c>
      <c r="X1724">
        <v>1.6352751288909964E-2</v>
      </c>
    </row>
    <row r="1725" spans="1:24" x14ac:dyDescent="0.35">
      <c r="A1725" s="1">
        <v>45362</v>
      </c>
      <c r="B1725">
        <v>2933.1999510000001</v>
      </c>
      <c r="C1725">
        <f t="shared" si="286"/>
        <v>-8.3338053597332706E-3</v>
      </c>
      <c r="D1725">
        <v>4122.3500979999999</v>
      </c>
      <c r="E1725">
        <f t="shared" si="287"/>
        <v>3.3466386779024138E-3</v>
      </c>
      <c r="F1725">
        <v>1427.8000489999999</v>
      </c>
      <c r="G1725">
        <f t="shared" si="288"/>
        <v>-1.2654676235192786E-2</v>
      </c>
      <c r="H1725">
        <v>1196.599976</v>
      </c>
      <c r="I1725">
        <f t="shared" si="289"/>
        <v>-2.5839585951604738E-3</v>
      </c>
      <c r="J1725">
        <v>1600.599976</v>
      </c>
      <c r="K1725">
        <f t="shared" si="290"/>
        <v>-9.8054226734298755E-3</v>
      </c>
      <c r="L1725">
        <v>409.39999390000003</v>
      </c>
      <c r="M1725">
        <f t="shared" si="291"/>
        <v>-1.0035047811455811E-2</v>
      </c>
      <c r="N1725">
        <v>1593.599976</v>
      </c>
      <c r="O1725">
        <f t="shared" si="292"/>
        <v>-7.5356388922254158E-3</v>
      </c>
      <c r="P1725">
        <v>274</v>
      </c>
      <c r="Q1725">
        <f t="shared" si="293"/>
        <v>-1.4742919849220271E-2</v>
      </c>
      <c r="R1725">
        <v>1028</v>
      </c>
      <c r="S1725">
        <f t="shared" si="294"/>
        <v>-1.0872749415217209E-2</v>
      </c>
      <c r="T1725">
        <v>3979.6499020000001</v>
      </c>
      <c r="U1725">
        <f t="shared" si="295"/>
        <v>1.3678205700590196E-2</v>
      </c>
      <c r="W1725">
        <f t="shared" si="296"/>
        <v>-5.9539374453142502E-3</v>
      </c>
      <c r="X1725">
        <v>1.6513219831849967E-2</v>
      </c>
    </row>
    <row r="1726" spans="1:24" x14ac:dyDescent="0.35">
      <c r="A1726" s="1">
        <v>45363</v>
      </c>
      <c r="B1726">
        <v>2950.8500979999999</v>
      </c>
      <c r="C1726">
        <f t="shared" si="286"/>
        <v>6.0173691854803479E-3</v>
      </c>
      <c r="D1726">
        <v>4192.25</v>
      </c>
      <c r="E1726">
        <f t="shared" si="287"/>
        <v>1.69563235383412E-2</v>
      </c>
      <c r="F1726">
        <v>1459.5500489999999</v>
      </c>
      <c r="G1726">
        <f t="shared" si="288"/>
        <v>2.2237007221170169E-2</v>
      </c>
      <c r="H1726">
        <v>1204.25</v>
      </c>
      <c r="I1726">
        <f t="shared" si="289"/>
        <v>6.3931340075507048E-3</v>
      </c>
      <c r="J1726">
        <v>1612.9499510000001</v>
      </c>
      <c r="K1726">
        <f t="shared" si="290"/>
        <v>7.7158410503437302E-3</v>
      </c>
      <c r="L1726">
        <v>404.4500122</v>
      </c>
      <c r="M1726">
        <f t="shared" si="291"/>
        <v>-1.2090820160610694E-2</v>
      </c>
      <c r="N1726">
        <v>1584.3000489999999</v>
      </c>
      <c r="O1726">
        <f t="shared" si="292"/>
        <v>-5.8357976531495659E-3</v>
      </c>
      <c r="P1726">
        <v>270.39999390000003</v>
      </c>
      <c r="Q1726">
        <f t="shared" si="293"/>
        <v>-1.3138708394160536E-2</v>
      </c>
      <c r="R1726">
        <v>1016.5</v>
      </c>
      <c r="S1726">
        <f t="shared" si="294"/>
        <v>-1.1186770428015524E-2</v>
      </c>
      <c r="T1726">
        <v>4031.6999510000001</v>
      </c>
      <c r="U1726">
        <f t="shared" si="295"/>
        <v>1.3079052248752276E-2</v>
      </c>
      <c r="W1726">
        <f t="shared" si="296"/>
        <v>3.0146630615702106E-3</v>
      </c>
      <c r="X1726">
        <v>1.6523423135339655E-2</v>
      </c>
    </row>
    <row r="1727" spans="1:24" x14ac:dyDescent="0.35">
      <c r="A1727" s="1">
        <v>45364</v>
      </c>
      <c r="B1727">
        <v>2864.3500979999999</v>
      </c>
      <c r="C1727">
        <f t="shared" si="286"/>
        <v>-2.9313586636822819E-2</v>
      </c>
      <c r="D1727">
        <v>4149</v>
      </c>
      <c r="E1727">
        <f t="shared" si="287"/>
        <v>-1.0316655733794478E-2</v>
      </c>
      <c r="F1727">
        <v>1460.400024</v>
      </c>
      <c r="G1727">
        <f t="shared" si="288"/>
        <v>5.8235413070106823E-4</v>
      </c>
      <c r="H1727">
        <v>1168.75</v>
      </c>
      <c r="I1727">
        <f t="shared" si="289"/>
        <v>-2.9478928793855053E-2</v>
      </c>
      <c r="J1727">
        <v>1611.400024</v>
      </c>
      <c r="K1727">
        <f t="shared" si="290"/>
        <v>-9.6092690231275313E-4</v>
      </c>
      <c r="L1727">
        <v>422.4500122</v>
      </c>
      <c r="M1727">
        <f t="shared" si="291"/>
        <v>4.4504881832217791E-2</v>
      </c>
      <c r="N1727">
        <v>1558.599976</v>
      </c>
      <c r="O1727">
        <f t="shared" si="292"/>
        <v>-1.6221720763198721E-2</v>
      </c>
      <c r="P1727">
        <v>255.3500061</v>
      </c>
      <c r="Q1727">
        <f t="shared" si="293"/>
        <v>-5.5658240160929351E-2</v>
      </c>
      <c r="R1727">
        <v>973.20001219999995</v>
      </c>
      <c r="S1727">
        <f t="shared" si="294"/>
        <v>-4.2597135071323233E-2</v>
      </c>
      <c r="T1727">
        <v>3967.8000489999999</v>
      </c>
      <c r="U1727">
        <f t="shared" si="295"/>
        <v>-1.5849369441332195E-2</v>
      </c>
      <c r="W1727">
        <f t="shared" si="296"/>
        <v>-1.5530932754064976E-2</v>
      </c>
      <c r="X1727">
        <v>1.65581537119333E-2</v>
      </c>
    </row>
    <row r="1728" spans="1:24" x14ac:dyDescent="0.35">
      <c r="A1728" s="1">
        <v>45365</v>
      </c>
      <c r="B1728">
        <v>2862.9499510000001</v>
      </c>
      <c r="C1728">
        <f t="shared" si="286"/>
        <v>-4.8881838884762274E-4</v>
      </c>
      <c r="D1728">
        <v>4207.6000979999999</v>
      </c>
      <c r="E1728">
        <f t="shared" si="287"/>
        <v>1.4123908893709292E-2</v>
      </c>
      <c r="F1728">
        <v>1455.4499510000001</v>
      </c>
      <c r="G1728">
        <f t="shared" si="288"/>
        <v>-3.3895322642092385E-3</v>
      </c>
      <c r="H1728">
        <v>1194.599976</v>
      </c>
      <c r="I1728">
        <f t="shared" si="289"/>
        <v>2.2117626524064127E-2</v>
      </c>
      <c r="J1728">
        <v>1653.3000489999999</v>
      </c>
      <c r="K1728">
        <f t="shared" si="290"/>
        <v>2.6002249209349682E-2</v>
      </c>
      <c r="L1728">
        <v>419.64999390000003</v>
      </c>
      <c r="M1728">
        <f t="shared" si="291"/>
        <v>-6.6280464413251972E-3</v>
      </c>
      <c r="N1728">
        <v>1570.1999510000001</v>
      </c>
      <c r="O1728">
        <f t="shared" si="292"/>
        <v>7.4425607459396304E-3</v>
      </c>
      <c r="P1728">
        <v>263.25</v>
      </c>
      <c r="Q1728">
        <f t="shared" si="293"/>
        <v>3.0937903705810843E-2</v>
      </c>
      <c r="R1728">
        <v>967.75</v>
      </c>
      <c r="S1728">
        <f t="shared" si="294"/>
        <v>-5.6000946688027353E-3</v>
      </c>
      <c r="T1728">
        <v>4019.25</v>
      </c>
      <c r="U1728">
        <f t="shared" si="295"/>
        <v>1.2966870901916172E-2</v>
      </c>
      <c r="W1728">
        <f t="shared" si="296"/>
        <v>9.7484628217604959E-3</v>
      </c>
      <c r="X1728">
        <v>1.6590522696129272E-2</v>
      </c>
    </row>
    <row r="1729" spans="1:24" x14ac:dyDescent="0.35">
      <c r="A1729" s="1">
        <v>45366</v>
      </c>
      <c r="B1729">
        <v>2836.4499510000001</v>
      </c>
      <c r="C1729">
        <f t="shared" si="286"/>
        <v>-9.2561869587499679E-3</v>
      </c>
      <c r="D1729">
        <v>4219.25</v>
      </c>
      <c r="E1729">
        <f t="shared" si="287"/>
        <v>2.7687759598489237E-3</v>
      </c>
      <c r="F1729">
        <v>1452.650024</v>
      </c>
      <c r="G1729">
        <f t="shared" si="288"/>
        <v>-1.9237535430718378E-3</v>
      </c>
      <c r="H1729">
        <v>1220</v>
      </c>
      <c r="I1729">
        <f t="shared" si="289"/>
        <v>2.126236774677448E-2</v>
      </c>
      <c r="J1729">
        <v>1634</v>
      </c>
      <c r="K1729">
        <f t="shared" si="290"/>
        <v>-1.1673651743779767E-2</v>
      </c>
      <c r="L1729">
        <v>419.10000609999997</v>
      </c>
      <c r="M1729">
        <f t="shared" si="291"/>
        <v>-1.3105869367202594E-3</v>
      </c>
      <c r="N1729">
        <v>1548.1999510000001</v>
      </c>
      <c r="O1729">
        <f t="shared" si="292"/>
        <v>-1.4010954455825231E-2</v>
      </c>
      <c r="P1729">
        <v>258.75</v>
      </c>
      <c r="Q1729">
        <f t="shared" si="293"/>
        <v>-1.7094017094017144E-2</v>
      </c>
      <c r="R1729">
        <v>945.84997559999999</v>
      </c>
      <c r="S1729">
        <f t="shared" si="294"/>
        <v>-2.2629836631361422E-2</v>
      </c>
      <c r="T1729">
        <v>3932.1000979999999</v>
      </c>
      <c r="U1729">
        <f t="shared" si="295"/>
        <v>-2.1683125458729857E-2</v>
      </c>
      <c r="W1729">
        <f t="shared" si="296"/>
        <v>-7.5550969115632093E-3</v>
      </c>
      <c r="X1729">
        <v>1.6625220986202508E-2</v>
      </c>
    </row>
    <row r="1730" spans="1:24" x14ac:dyDescent="0.35">
      <c r="A1730" s="1">
        <v>45369</v>
      </c>
      <c r="B1730">
        <v>2878.9499510000001</v>
      </c>
      <c r="C1730">
        <f t="shared" si="286"/>
        <v>1.4983518388898887E-2</v>
      </c>
      <c r="D1730">
        <v>4152.5</v>
      </c>
      <c r="E1730">
        <f t="shared" si="287"/>
        <v>-1.5820347218107433E-2</v>
      </c>
      <c r="F1730">
        <v>1446.0500489999999</v>
      </c>
      <c r="G1730">
        <f t="shared" si="288"/>
        <v>-4.5434033600374457E-3</v>
      </c>
      <c r="H1730">
        <v>1225.3000489999999</v>
      </c>
      <c r="I1730">
        <f t="shared" si="289"/>
        <v>4.3443024590164026E-3</v>
      </c>
      <c r="J1730">
        <v>1602.650024</v>
      </c>
      <c r="K1730">
        <f t="shared" si="290"/>
        <v>-1.9186031823745342E-2</v>
      </c>
      <c r="L1730">
        <v>417.4500122</v>
      </c>
      <c r="M1730">
        <f t="shared" si="291"/>
        <v>-3.936993261713928E-3</v>
      </c>
      <c r="N1730">
        <v>1571.25</v>
      </c>
      <c r="O1730">
        <f t="shared" si="292"/>
        <v>1.4888289451961079E-2</v>
      </c>
      <c r="P1730">
        <v>261.60000609999997</v>
      </c>
      <c r="Q1730">
        <f t="shared" si="293"/>
        <v>1.1014516328502255E-2</v>
      </c>
      <c r="R1730">
        <v>972.45001219999995</v>
      </c>
      <c r="S1730">
        <f t="shared" si="294"/>
        <v>2.8122891881586343E-2</v>
      </c>
      <c r="T1730">
        <v>4010.5500489999999</v>
      </c>
      <c r="U1730">
        <f t="shared" si="295"/>
        <v>1.9951158171152006E-2</v>
      </c>
      <c r="W1730">
        <f t="shared" si="296"/>
        <v>4.9817901017512826E-3</v>
      </c>
      <c r="X1730">
        <v>1.663367781318591E-2</v>
      </c>
    </row>
    <row r="1731" spans="1:24" x14ac:dyDescent="0.35">
      <c r="A1731" s="1">
        <v>45370</v>
      </c>
      <c r="B1731">
        <v>2850.5</v>
      </c>
      <c r="C1731">
        <f t="shared" si="286"/>
        <v>-9.8820582101880605E-3</v>
      </c>
      <c r="D1731">
        <v>3977.3000489999999</v>
      </c>
      <c r="E1731">
        <f t="shared" si="287"/>
        <v>-4.2191439133052344E-2</v>
      </c>
      <c r="F1731">
        <v>1449.349976</v>
      </c>
      <c r="G1731">
        <f t="shared" si="288"/>
        <v>2.2820282066184916E-3</v>
      </c>
      <c r="H1731">
        <v>1228.349976</v>
      </c>
      <c r="I1731">
        <f t="shared" si="289"/>
        <v>2.489126644930062E-3</v>
      </c>
      <c r="J1731">
        <v>1561.4499510000001</v>
      </c>
      <c r="K1731">
        <f t="shared" si="290"/>
        <v>-2.570746724676054E-2</v>
      </c>
      <c r="L1731">
        <v>409.5499878</v>
      </c>
      <c r="M1731">
        <f t="shared" si="291"/>
        <v>-1.8924479983522202E-2</v>
      </c>
      <c r="N1731">
        <v>1548.4499510000001</v>
      </c>
      <c r="O1731">
        <f t="shared" si="292"/>
        <v>-1.4510771042163806E-2</v>
      </c>
      <c r="P1731">
        <v>259.25</v>
      </c>
      <c r="Q1731">
        <f t="shared" si="293"/>
        <v>-8.9832035367065632E-3</v>
      </c>
      <c r="R1731">
        <v>957.75</v>
      </c>
      <c r="S1731">
        <f t="shared" si="294"/>
        <v>-1.5116470785725755E-2</v>
      </c>
      <c r="T1731">
        <v>4014.1000979999999</v>
      </c>
      <c r="U1731">
        <f t="shared" si="295"/>
        <v>8.8517758328054974E-4</v>
      </c>
      <c r="W1731">
        <f t="shared" si="296"/>
        <v>-1.2965955750329017E-2</v>
      </c>
      <c r="X1731">
        <v>1.6634493827210651E-2</v>
      </c>
    </row>
    <row r="1732" spans="1:24" x14ac:dyDescent="0.35">
      <c r="A1732" s="1">
        <v>45371</v>
      </c>
      <c r="B1732">
        <v>2887.5</v>
      </c>
      <c r="C1732">
        <f t="shared" ref="C1732:C1795" si="297">B1732/B1731 - 1</f>
        <v>1.2980178915979579E-2</v>
      </c>
      <c r="D1732">
        <v>3970.8999020000001</v>
      </c>
      <c r="E1732">
        <f t="shared" ref="E1732:E1795" si="298">D1732/D1731 - 1</f>
        <v>-1.6091687630177542E-3</v>
      </c>
      <c r="F1732">
        <v>1431.0500489999999</v>
      </c>
      <c r="G1732">
        <f t="shared" ref="G1732:G1795" si="299">F1732/F1731 - 1</f>
        <v>-1.2626299584662881E-2</v>
      </c>
      <c r="H1732">
        <v>1231.8000489999999</v>
      </c>
      <c r="I1732">
        <f t="shared" ref="I1732:I1795" si="300">H1732/H1731 - 1</f>
        <v>2.8087052284844205E-3</v>
      </c>
      <c r="J1732">
        <v>1554.9499510000001</v>
      </c>
      <c r="K1732">
        <f t="shared" ref="K1732:K1795" si="301">J1732/J1731 -1</f>
        <v>-4.1627975304857623E-3</v>
      </c>
      <c r="L1732">
        <v>415.7000122</v>
      </c>
      <c r="M1732">
        <f t="shared" ref="M1732:M1795" si="302">L1732/L1731 -1</f>
        <v>1.5016541528999561E-2</v>
      </c>
      <c r="N1732">
        <v>1549.349976</v>
      </c>
      <c r="O1732">
        <f t="shared" ref="O1732:O1795" si="303">N1732/N1731-1</f>
        <v>5.8124255124858415E-4</v>
      </c>
      <c r="P1732">
        <v>263.85000609999997</v>
      </c>
      <c r="Q1732">
        <f t="shared" ref="Q1732:Q1795" si="304">P1732/P1731 -1</f>
        <v>1.7743514368370183E-2</v>
      </c>
      <c r="R1732">
        <v>940.45001219999995</v>
      </c>
      <c r="S1732">
        <f t="shared" ref="S1732:S1795" si="305">R1732/R1731 - 1</f>
        <v>-1.8063156147220094E-2</v>
      </c>
      <c r="T1732">
        <v>4056.3500979999999</v>
      </c>
      <c r="U1732">
        <f t="shared" ref="U1732:U1795" si="306">T1732/T1731 - 1</f>
        <v>1.0525397715181795E-2</v>
      </c>
      <c r="W1732">
        <f t="shared" ref="W1732:W1795" si="307">0.1*C1732+0.1*E1732+0.1*G1732+0.1*I1732+0.1*K1732+0.1*M1732+0.1*O1732+0.1*Q1732+0.1*S1732+0.1*U1732</f>
        <v>2.319415828287763E-3</v>
      </c>
      <c r="X1732">
        <v>1.6799978894856682E-2</v>
      </c>
    </row>
    <row r="1733" spans="1:24" x14ac:dyDescent="0.35">
      <c r="A1733" s="1">
        <v>45372</v>
      </c>
      <c r="B1733">
        <v>2901.9499510000001</v>
      </c>
      <c r="C1733">
        <f t="shared" si="297"/>
        <v>5.0043120346321412E-3</v>
      </c>
      <c r="D1733">
        <v>3972.9499510000001</v>
      </c>
      <c r="E1733">
        <f t="shared" si="298"/>
        <v>5.1626811317184718E-4</v>
      </c>
      <c r="F1733">
        <v>1445.75</v>
      </c>
      <c r="G1733">
        <f t="shared" si="299"/>
        <v>1.0272143179249626E-2</v>
      </c>
      <c r="H1733">
        <v>1220.8000489999999</v>
      </c>
      <c r="I1733">
        <f t="shared" si="300"/>
        <v>-8.9300207520937036E-3</v>
      </c>
      <c r="J1733">
        <v>1554.6999510000001</v>
      </c>
      <c r="K1733">
        <f t="shared" si="301"/>
        <v>-1.6077687892090964E-4</v>
      </c>
      <c r="L1733">
        <v>421.25</v>
      </c>
      <c r="M1733">
        <f t="shared" si="302"/>
        <v>1.3350944520371666E-2</v>
      </c>
      <c r="N1733">
        <v>1565.1999510000001</v>
      </c>
      <c r="O1733">
        <f t="shared" si="303"/>
        <v>1.0230080514746165E-2</v>
      </c>
      <c r="P1733">
        <v>262.9500122</v>
      </c>
      <c r="Q1733">
        <f t="shared" si="304"/>
        <v>-3.4110057956900919E-3</v>
      </c>
      <c r="R1733">
        <v>964.90002440000001</v>
      </c>
      <c r="S1733">
        <f t="shared" si="305"/>
        <v>2.599820498997496E-2</v>
      </c>
      <c r="T1733">
        <v>4163.1000979999999</v>
      </c>
      <c r="U1733">
        <f t="shared" si="306"/>
        <v>2.6316761970973213E-2</v>
      </c>
      <c r="W1733">
        <f t="shared" si="307"/>
        <v>7.918691189641492E-3</v>
      </c>
      <c r="X1733">
        <v>1.6805952524435629E-2</v>
      </c>
    </row>
    <row r="1734" spans="1:24" x14ac:dyDescent="0.35">
      <c r="A1734" s="1">
        <v>45373</v>
      </c>
      <c r="B1734">
        <v>2910.0500489999999</v>
      </c>
      <c r="C1734">
        <f t="shared" si="297"/>
        <v>2.7912604065445379E-3</v>
      </c>
      <c r="D1734">
        <v>3910.8999020000001</v>
      </c>
      <c r="E1734">
        <f t="shared" si="298"/>
        <v>-1.5618130045756518E-2</v>
      </c>
      <c r="F1734">
        <v>1442.849976</v>
      </c>
      <c r="G1734">
        <f t="shared" si="299"/>
        <v>-2.0058959017811295E-3</v>
      </c>
      <c r="H1734">
        <v>1236.099976</v>
      </c>
      <c r="I1734">
        <f t="shared" si="300"/>
        <v>1.2532705099850494E-2</v>
      </c>
      <c r="J1734">
        <v>1508.849976</v>
      </c>
      <c r="K1734">
        <f t="shared" si="301"/>
        <v>-2.9491205020305555E-2</v>
      </c>
      <c r="L1734">
        <v>428.60000609999997</v>
      </c>
      <c r="M1734">
        <f t="shared" si="302"/>
        <v>1.7448085697329363E-2</v>
      </c>
      <c r="N1734">
        <v>1608.900024</v>
      </c>
      <c r="O1734">
        <f t="shared" si="303"/>
        <v>2.7919802177402531E-2</v>
      </c>
      <c r="P1734">
        <v>263.25</v>
      </c>
      <c r="Q1734">
        <f t="shared" si="304"/>
        <v>1.1408548624511905E-3</v>
      </c>
      <c r="R1734">
        <v>979.79998780000005</v>
      </c>
      <c r="S1734">
        <f t="shared" si="305"/>
        <v>1.5441976394668711E-2</v>
      </c>
      <c r="T1734">
        <v>4297.6000979999999</v>
      </c>
      <c r="U1734">
        <f t="shared" si="306"/>
        <v>3.2307654592455215E-2</v>
      </c>
      <c r="W1734">
        <f t="shared" si="307"/>
        <v>6.2467108262858851E-3</v>
      </c>
      <c r="X1734">
        <v>1.7030024603590013E-2</v>
      </c>
    </row>
    <row r="1735" spans="1:24" x14ac:dyDescent="0.35">
      <c r="A1735" s="1">
        <v>45377</v>
      </c>
      <c r="B1735">
        <v>2883.1499020000001</v>
      </c>
      <c r="C1735">
        <f t="shared" si="297"/>
        <v>-9.2438777845912368E-3</v>
      </c>
      <c r="D1735">
        <v>3877.5</v>
      </c>
      <c r="E1735">
        <f t="shared" si="298"/>
        <v>-8.5402088616278737E-3</v>
      </c>
      <c r="F1735">
        <v>1425.400024</v>
      </c>
      <c r="G1735">
        <f t="shared" si="299"/>
        <v>-1.2094086211496657E-2</v>
      </c>
      <c r="H1735">
        <v>1213.099976</v>
      </c>
      <c r="I1735">
        <f t="shared" si="300"/>
        <v>-1.8606909187416698E-2</v>
      </c>
      <c r="J1735">
        <v>1492.650024</v>
      </c>
      <c r="K1735">
        <f t="shared" si="301"/>
        <v>-1.0736622101387705E-2</v>
      </c>
      <c r="L1735">
        <v>427.64999390000003</v>
      </c>
      <c r="M1735">
        <f t="shared" si="302"/>
        <v>-2.2165473319621931E-3</v>
      </c>
      <c r="N1735">
        <v>1598.099976</v>
      </c>
      <c r="O1735">
        <f t="shared" si="303"/>
        <v>-6.7126905580803253E-3</v>
      </c>
      <c r="P1735">
        <v>265.5</v>
      </c>
      <c r="Q1735">
        <f t="shared" si="304"/>
        <v>8.5470085470085166E-3</v>
      </c>
      <c r="R1735">
        <v>986.20001219999995</v>
      </c>
      <c r="S1735">
        <f t="shared" si="305"/>
        <v>6.5319702793324996E-3</v>
      </c>
      <c r="T1735">
        <v>4486.2001950000003</v>
      </c>
      <c r="U1735">
        <f t="shared" si="306"/>
        <v>4.3884980616919256E-2</v>
      </c>
      <c r="W1735">
        <f t="shared" si="307"/>
        <v>-9.1869825933024035E-4</v>
      </c>
      <c r="X1735">
        <v>1.7232294895325406E-2</v>
      </c>
    </row>
    <row r="1736" spans="1:24" x14ac:dyDescent="0.35">
      <c r="A1736" s="1">
        <v>45378</v>
      </c>
      <c r="B1736">
        <v>2985.6999510000001</v>
      </c>
      <c r="C1736">
        <f t="shared" si="297"/>
        <v>3.5568753788647101E-2</v>
      </c>
      <c r="D1736">
        <v>3840.8999020000001</v>
      </c>
      <c r="E1736">
        <f t="shared" si="298"/>
        <v>-9.4390968407478404E-3</v>
      </c>
      <c r="F1736">
        <v>1440.6999510000001</v>
      </c>
      <c r="G1736">
        <f t="shared" si="299"/>
        <v>1.0733777706180225E-2</v>
      </c>
      <c r="H1736">
        <v>1224.8000489999999</v>
      </c>
      <c r="I1736">
        <f t="shared" si="300"/>
        <v>9.6447722623647092E-3</v>
      </c>
      <c r="J1736">
        <v>1483.849976</v>
      </c>
      <c r="K1736">
        <f t="shared" si="301"/>
        <v>-5.8955869483844348E-3</v>
      </c>
      <c r="L1736">
        <v>428</v>
      </c>
      <c r="M1736">
        <f t="shared" si="302"/>
        <v>8.1844055885049727E-4</v>
      </c>
      <c r="N1736">
        <v>1604.150024</v>
      </c>
      <c r="O1736">
        <f t="shared" si="303"/>
        <v>3.7857756653894015E-3</v>
      </c>
      <c r="P1736">
        <v>261.75</v>
      </c>
      <c r="Q1736">
        <f t="shared" si="304"/>
        <v>-1.4124293785310771E-2</v>
      </c>
      <c r="R1736">
        <v>978.65002440000001</v>
      </c>
      <c r="S1736">
        <f t="shared" si="305"/>
        <v>-7.6556354761723178E-3</v>
      </c>
      <c r="T1736">
        <v>4420.5498049999997</v>
      </c>
      <c r="U1736">
        <f t="shared" si="306"/>
        <v>-1.4633852067763242E-2</v>
      </c>
      <c r="W1736">
        <f t="shared" si="307"/>
        <v>8.8030548630533396E-4</v>
      </c>
      <c r="X1736">
        <v>1.7283849724332979E-2</v>
      </c>
    </row>
    <row r="1737" spans="1:24" x14ac:dyDescent="0.35">
      <c r="A1737" s="1">
        <v>45379</v>
      </c>
      <c r="B1737">
        <v>2971.6999510000001</v>
      </c>
      <c r="C1737">
        <f t="shared" si="297"/>
        <v>-4.6890177277562062E-3</v>
      </c>
      <c r="D1737">
        <v>3876.3000489999999</v>
      </c>
      <c r="E1737">
        <f t="shared" si="298"/>
        <v>9.2166283691919038E-3</v>
      </c>
      <c r="F1737">
        <v>1447.900024</v>
      </c>
      <c r="G1737">
        <f t="shared" si="299"/>
        <v>4.9976214651790141E-3</v>
      </c>
      <c r="H1737">
        <v>1228.599976</v>
      </c>
      <c r="I1737">
        <f t="shared" si="300"/>
        <v>3.1024876289829084E-3</v>
      </c>
      <c r="J1737">
        <v>1498.0500489999999</v>
      </c>
      <c r="K1737">
        <f t="shared" si="301"/>
        <v>9.5697497925490982E-3</v>
      </c>
      <c r="L1737">
        <v>428.35000609999997</v>
      </c>
      <c r="M1737">
        <f t="shared" si="302"/>
        <v>8.1777126168214309E-4</v>
      </c>
      <c r="N1737">
        <v>1620.5500489999999</v>
      </c>
      <c r="O1737">
        <f t="shared" si="303"/>
        <v>1.0223498273001841E-2</v>
      </c>
      <c r="P1737">
        <v>268.0499878</v>
      </c>
      <c r="Q1737">
        <f t="shared" si="304"/>
        <v>2.4068721298949436E-2</v>
      </c>
      <c r="R1737">
        <v>992.79998780000005</v>
      </c>
      <c r="S1737">
        <f t="shared" si="305"/>
        <v>1.4458655338689841E-2</v>
      </c>
      <c r="T1737">
        <v>4525.6000979999999</v>
      </c>
      <c r="U1737">
        <f t="shared" si="306"/>
        <v>2.3764078595196469E-2</v>
      </c>
      <c r="W1737">
        <f t="shared" si="307"/>
        <v>9.5530194295666455E-3</v>
      </c>
      <c r="X1737">
        <v>1.7306385860712467E-2</v>
      </c>
    </row>
    <row r="1738" spans="1:24" x14ac:dyDescent="0.35">
      <c r="A1738" s="1">
        <v>45383</v>
      </c>
      <c r="B1738">
        <v>2969.5500489999999</v>
      </c>
      <c r="C1738">
        <f t="shared" si="297"/>
        <v>-7.2345863830458601E-4</v>
      </c>
      <c r="D1738">
        <v>3916.75</v>
      </c>
      <c r="E1738">
        <f t="shared" si="298"/>
        <v>1.0435196060334606E-2</v>
      </c>
      <c r="F1738">
        <v>1470.5</v>
      </c>
      <c r="G1738">
        <f t="shared" si="299"/>
        <v>1.5608795928854891E-2</v>
      </c>
      <c r="H1738">
        <v>1217.349976</v>
      </c>
      <c r="I1738">
        <f t="shared" si="300"/>
        <v>-9.1567639750629315E-3</v>
      </c>
      <c r="J1738">
        <v>1495.4499510000001</v>
      </c>
      <c r="K1738">
        <f t="shared" si="301"/>
        <v>-1.7356549614183647E-3</v>
      </c>
      <c r="L1738">
        <v>426.7000122</v>
      </c>
      <c r="M1738">
        <f t="shared" si="302"/>
        <v>-3.851975899388127E-3</v>
      </c>
      <c r="N1738">
        <v>1629.25</v>
      </c>
      <c r="O1738">
        <f t="shared" si="303"/>
        <v>5.3685173163078304E-3</v>
      </c>
      <c r="P1738">
        <v>269.89999390000003</v>
      </c>
      <c r="Q1738">
        <f t="shared" si="304"/>
        <v>6.901720515579246E-3</v>
      </c>
      <c r="R1738">
        <v>992.25</v>
      </c>
      <c r="S1738">
        <f t="shared" si="305"/>
        <v>-5.5397643710575206E-4</v>
      </c>
      <c r="T1738">
        <v>4483.2998049999997</v>
      </c>
      <c r="U1738">
        <f t="shared" si="306"/>
        <v>-9.346891480467745E-3</v>
      </c>
      <c r="W1738">
        <f t="shared" si="307"/>
        <v>1.2945508429329071E-3</v>
      </c>
      <c r="X1738">
        <v>1.7315609107800955E-2</v>
      </c>
    </row>
    <row r="1739" spans="1:24" x14ac:dyDescent="0.35">
      <c r="A1739" s="1">
        <v>45384</v>
      </c>
      <c r="B1739">
        <v>2973.8999020000001</v>
      </c>
      <c r="C1739">
        <f t="shared" si="297"/>
        <v>1.4648188877857127E-3</v>
      </c>
      <c r="D1739">
        <v>3883.8000489999999</v>
      </c>
      <c r="E1739">
        <f t="shared" si="298"/>
        <v>-8.4125744558626314E-3</v>
      </c>
      <c r="F1739">
        <v>1480.150024</v>
      </c>
      <c r="G1739">
        <f t="shared" si="299"/>
        <v>6.5624100646040073E-3</v>
      </c>
      <c r="H1739">
        <v>1208.25</v>
      </c>
      <c r="I1739">
        <f t="shared" si="300"/>
        <v>-7.4752340570958253E-3</v>
      </c>
      <c r="J1739">
        <v>1482.849976</v>
      </c>
      <c r="K1739">
        <f t="shared" si="301"/>
        <v>-8.4255410831867161E-3</v>
      </c>
      <c r="L1739">
        <v>425.85000609999997</v>
      </c>
      <c r="M1739">
        <f t="shared" si="302"/>
        <v>-1.9920461113125398E-3</v>
      </c>
      <c r="N1739">
        <v>1622.25</v>
      </c>
      <c r="O1739">
        <f t="shared" si="303"/>
        <v>-4.2964554242749253E-3</v>
      </c>
      <c r="P1739">
        <v>272.5</v>
      </c>
      <c r="Q1739">
        <f t="shared" si="304"/>
        <v>9.6332202992315263E-3</v>
      </c>
      <c r="R1739">
        <v>1004.650024</v>
      </c>
      <c r="S1739">
        <f t="shared" si="305"/>
        <v>1.2496874779541534E-2</v>
      </c>
      <c r="T1739">
        <v>4411.8500979999999</v>
      </c>
      <c r="U1739">
        <f t="shared" si="306"/>
        <v>-1.5936856803623889E-2</v>
      </c>
      <c r="W1739">
        <f t="shared" si="307"/>
        <v>-1.6381383904193749E-3</v>
      </c>
      <c r="X1739">
        <v>1.7420052021604369E-2</v>
      </c>
    </row>
    <row r="1740" spans="1:24" x14ac:dyDescent="0.35">
      <c r="A1740" s="1">
        <v>45385</v>
      </c>
      <c r="B1740">
        <v>2943.1999510000001</v>
      </c>
      <c r="C1740">
        <f t="shared" si="297"/>
        <v>-1.0323128555656425E-2</v>
      </c>
      <c r="D1740">
        <v>3947.3000489999999</v>
      </c>
      <c r="E1740">
        <f t="shared" si="298"/>
        <v>1.6349966321347997E-2</v>
      </c>
      <c r="F1740">
        <v>1482.3000489999999</v>
      </c>
      <c r="G1740">
        <f t="shared" si="299"/>
        <v>1.4525723508687083E-3</v>
      </c>
      <c r="H1740">
        <v>1225.6999510000001</v>
      </c>
      <c r="I1740">
        <f t="shared" si="300"/>
        <v>1.4442334781709087E-2</v>
      </c>
      <c r="J1740">
        <v>1480.650024</v>
      </c>
      <c r="K1740">
        <f t="shared" si="301"/>
        <v>-1.4835971511658608E-3</v>
      </c>
      <c r="L1740">
        <v>425.2000122</v>
      </c>
      <c r="M1740">
        <f t="shared" si="302"/>
        <v>-1.5263447004562058E-3</v>
      </c>
      <c r="N1740">
        <v>1619.849976</v>
      </c>
      <c r="O1740">
        <f t="shared" si="303"/>
        <v>-1.4794415164124386E-3</v>
      </c>
      <c r="P1740">
        <v>275.35000609999997</v>
      </c>
      <c r="Q1740">
        <f t="shared" si="304"/>
        <v>1.04587379816512E-2</v>
      </c>
      <c r="R1740">
        <v>1009.150024</v>
      </c>
      <c r="S1740">
        <f t="shared" si="305"/>
        <v>4.4791717438907863E-3</v>
      </c>
      <c r="T1740">
        <v>4460.8999020000001</v>
      </c>
      <c r="U1740">
        <f t="shared" si="306"/>
        <v>1.111774038339064E-2</v>
      </c>
      <c r="W1740">
        <f t="shared" si="307"/>
        <v>4.3488011639167493E-3</v>
      </c>
      <c r="X1740">
        <v>1.7433830745031773E-2</v>
      </c>
    </row>
    <row r="1741" spans="1:24" x14ac:dyDescent="0.35">
      <c r="A1741" s="1">
        <v>45386</v>
      </c>
      <c r="B1741">
        <v>2925.8500979999999</v>
      </c>
      <c r="C1741">
        <f t="shared" si="297"/>
        <v>-5.8948944308405693E-3</v>
      </c>
      <c r="D1741">
        <v>4003.3000489999999</v>
      </c>
      <c r="E1741">
        <f t="shared" si="298"/>
        <v>1.4186912397041285E-2</v>
      </c>
      <c r="F1741">
        <v>1527.599976</v>
      </c>
      <c r="G1741">
        <f t="shared" si="299"/>
        <v>3.0560565002045736E-2</v>
      </c>
      <c r="H1741">
        <v>1206.849976</v>
      </c>
      <c r="I1741">
        <f t="shared" si="300"/>
        <v>-1.537894733912748E-2</v>
      </c>
      <c r="J1741">
        <v>1486.6999510000001</v>
      </c>
      <c r="K1741">
        <f t="shared" si="301"/>
        <v>4.0859939228961029E-3</v>
      </c>
      <c r="L1741">
        <v>422.75</v>
      </c>
      <c r="M1741">
        <f t="shared" si="302"/>
        <v>-5.7620228826512632E-3</v>
      </c>
      <c r="N1741">
        <v>1619.349976</v>
      </c>
      <c r="O1741">
        <f t="shared" si="303"/>
        <v>-3.0867056048899943E-4</v>
      </c>
      <c r="P1741">
        <v>269</v>
      </c>
      <c r="Q1741">
        <f t="shared" si="304"/>
        <v>-2.3061579659794162E-2</v>
      </c>
      <c r="R1741">
        <v>1011.599976</v>
      </c>
      <c r="S1741">
        <f t="shared" si="305"/>
        <v>2.4277381377735274E-3</v>
      </c>
      <c r="T1741">
        <v>4645.0498049999997</v>
      </c>
      <c r="U1741">
        <f t="shared" si="306"/>
        <v>4.1280886602597322E-2</v>
      </c>
      <c r="W1741">
        <f t="shared" si="307"/>
        <v>4.2135981189451513E-3</v>
      </c>
      <c r="X1741">
        <v>1.7589462738636919E-2</v>
      </c>
    </row>
    <row r="1742" spans="1:24" x14ac:dyDescent="0.35">
      <c r="A1742" s="1">
        <v>45387</v>
      </c>
      <c r="B1742">
        <v>2920.1999510000001</v>
      </c>
      <c r="C1742">
        <f t="shared" si="297"/>
        <v>-1.931112945212754E-3</v>
      </c>
      <c r="D1742">
        <v>3979.25</v>
      </c>
      <c r="E1742">
        <f t="shared" si="298"/>
        <v>-6.0075559427547054E-3</v>
      </c>
      <c r="F1742">
        <v>1549.5500489999999</v>
      </c>
      <c r="G1742">
        <f t="shared" si="299"/>
        <v>1.4368992763063471E-2</v>
      </c>
      <c r="H1742">
        <v>1191</v>
      </c>
      <c r="I1742">
        <f t="shared" si="300"/>
        <v>-1.313334409015221E-2</v>
      </c>
      <c r="J1742">
        <v>1479.099976</v>
      </c>
      <c r="K1742">
        <f t="shared" si="301"/>
        <v>-5.1119763573598265E-3</v>
      </c>
      <c r="L1742">
        <v>427.5499878</v>
      </c>
      <c r="M1742">
        <f t="shared" si="302"/>
        <v>1.1354199408633914E-2</v>
      </c>
      <c r="N1742">
        <v>1609</v>
      </c>
      <c r="O1742">
        <f t="shared" si="303"/>
        <v>-6.3914386348810082E-3</v>
      </c>
      <c r="P1742">
        <v>267.9500122</v>
      </c>
      <c r="Q1742">
        <f t="shared" si="304"/>
        <v>-3.9033003717472425E-3</v>
      </c>
      <c r="R1742">
        <v>1007.099976</v>
      </c>
      <c r="S1742">
        <f t="shared" si="305"/>
        <v>-4.4483986820498256E-3</v>
      </c>
      <c r="T1742">
        <v>4619.25</v>
      </c>
      <c r="U1742">
        <f t="shared" si="306"/>
        <v>-5.5542579914273915E-3</v>
      </c>
      <c r="W1742">
        <f t="shared" si="307"/>
        <v>-2.0758192843887578E-3</v>
      </c>
      <c r="X1742">
        <v>1.7688004444035899E-2</v>
      </c>
    </row>
    <row r="1743" spans="1:24" x14ac:dyDescent="0.35">
      <c r="A1743" s="1">
        <v>45390</v>
      </c>
      <c r="B1743">
        <v>2971.9499510000001</v>
      </c>
      <c r="C1743">
        <f t="shared" si="297"/>
        <v>1.7721389243321672E-2</v>
      </c>
      <c r="D1743">
        <v>3972.5500489999999</v>
      </c>
      <c r="E1743">
        <f t="shared" si="298"/>
        <v>-1.6837220581767953E-3</v>
      </c>
      <c r="F1743">
        <v>1546.599976</v>
      </c>
      <c r="G1743">
        <f t="shared" si="299"/>
        <v>-1.9038255665919657E-3</v>
      </c>
      <c r="H1743">
        <v>1204.6999510000001</v>
      </c>
      <c r="I1743">
        <f t="shared" si="300"/>
        <v>1.1502897565071502E-2</v>
      </c>
      <c r="J1743">
        <v>1476.6999510000001</v>
      </c>
      <c r="K1743">
        <f t="shared" si="301"/>
        <v>-1.6226252714102163E-3</v>
      </c>
      <c r="L1743">
        <v>429.10000609999997</v>
      </c>
      <c r="M1743">
        <f t="shared" si="302"/>
        <v>3.6253498870990608E-3</v>
      </c>
      <c r="N1743">
        <v>1599.6999510000001</v>
      </c>
      <c r="O1743">
        <f t="shared" si="303"/>
        <v>-5.7800180236171617E-3</v>
      </c>
      <c r="P1743">
        <v>270.39999390000003</v>
      </c>
      <c r="Q1743">
        <f t="shared" si="304"/>
        <v>9.143428208435056E-3</v>
      </c>
      <c r="R1743">
        <v>1013.200012</v>
      </c>
      <c r="S1743">
        <f t="shared" si="305"/>
        <v>6.0570312236807311E-3</v>
      </c>
      <c r="T1743">
        <v>4672.7998049999997</v>
      </c>
      <c r="U1743">
        <f t="shared" si="306"/>
        <v>1.1592748822860877E-2</v>
      </c>
      <c r="W1743">
        <f t="shared" si="307"/>
        <v>4.8652654030672763E-3</v>
      </c>
      <c r="X1743">
        <v>1.8047797117028176E-2</v>
      </c>
    </row>
    <row r="1744" spans="1:24" x14ac:dyDescent="0.35">
      <c r="A1744" s="1">
        <v>45391</v>
      </c>
      <c r="B1744">
        <v>2927.3000489999999</v>
      </c>
      <c r="C1744">
        <f t="shared" si="297"/>
        <v>-1.5023773191394585E-2</v>
      </c>
      <c r="D1744">
        <v>3946.5500489999999</v>
      </c>
      <c r="E1744">
        <f t="shared" si="298"/>
        <v>-6.5449143948594912E-3</v>
      </c>
      <c r="F1744">
        <v>1548.5500489999999</v>
      </c>
      <c r="G1744">
        <f t="shared" si="299"/>
        <v>1.2608774280751245E-3</v>
      </c>
      <c r="H1744">
        <v>1204.4499510000001</v>
      </c>
      <c r="I1744">
        <f t="shared" si="300"/>
        <v>-2.0752055297457161E-4</v>
      </c>
      <c r="J1744">
        <v>1494.849976</v>
      </c>
      <c r="K1744">
        <f t="shared" si="301"/>
        <v>1.2290936278360975E-2</v>
      </c>
      <c r="L1744">
        <v>426.35000609999997</v>
      </c>
      <c r="M1744">
        <f t="shared" si="302"/>
        <v>-6.4087624351120143E-3</v>
      </c>
      <c r="N1744">
        <v>1602.5500489999999</v>
      </c>
      <c r="O1744">
        <f t="shared" si="303"/>
        <v>1.7816453630683515E-3</v>
      </c>
      <c r="P1744">
        <v>268.9500122</v>
      </c>
      <c r="Q1744">
        <f t="shared" si="304"/>
        <v>-5.3623584789586065E-3</v>
      </c>
      <c r="R1744">
        <v>1008.5</v>
      </c>
      <c r="S1744">
        <f t="shared" si="305"/>
        <v>-4.6387800477049046E-3</v>
      </c>
      <c r="T1744">
        <v>4716.1499020000001</v>
      </c>
      <c r="U1744">
        <f t="shared" si="306"/>
        <v>9.277114109107476E-3</v>
      </c>
      <c r="W1744">
        <f t="shared" si="307"/>
        <v>-1.3575535922392247E-3</v>
      </c>
      <c r="X1744">
        <v>1.8104587971023867E-2</v>
      </c>
    </row>
    <row r="1745" spans="1:24" x14ac:dyDescent="0.35">
      <c r="A1745" s="1">
        <v>45392</v>
      </c>
      <c r="B1745">
        <v>2959.1499020000001</v>
      </c>
      <c r="C1745">
        <f t="shared" si="297"/>
        <v>1.0880283013994463E-2</v>
      </c>
      <c r="D1745">
        <v>3984.6499020000001</v>
      </c>
      <c r="E1745">
        <f t="shared" si="298"/>
        <v>9.6539642287456484E-3</v>
      </c>
      <c r="F1745">
        <v>1536.349976</v>
      </c>
      <c r="G1745">
        <f t="shared" si="299"/>
        <v>-7.8783846914591837E-3</v>
      </c>
      <c r="H1745">
        <v>1229.400024</v>
      </c>
      <c r="I1745">
        <f t="shared" si="300"/>
        <v>2.0714910552559695E-2</v>
      </c>
      <c r="J1745">
        <v>1506.8000489999999</v>
      </c>
      <c r="K1745">
        <f t="shared" si="301"/>
        <v>7.9941620843964056E-3</v>
      </c>
      <c r="L1745">
        <v>436.9500122</v>
      </c>
      <c r="M1745">
        <f t="shared" si="302"/>
        <v>2.4862216367633527E-2</v>
      </c>
      <c r="N1745">
        <v>1604.0500489999999</v>
      </c>
      <c r="O1745">
        <f t="shared" si="303"/>
        <v>9.3600820825279207E-4</v>
      </c>
      <c r="P1745">
        <v>272</v>
      </c>
      <c r="Q1745">
        <f t="shared" si="304"/>
        <v>1.1340351967457529E-2</v>
      </c>
      <c r="R1745">
        <v>1013.5</v>
      </c>
      <c r="S1745">
        <f t="shared" si="305"/>
        <v>4.9578582052554054E-3</v>
      </c>
      <c r="T1745">
        <v>4754</v>
      </c>
      <c r="U1745">
        <f t="shared" si="306"/>
        <v>8.0256350596381587E-3</v>
      </c>
      <c r="W1745">
        <f t="shared" si="307"/>
        <v>9.1487004996474424E-3</v>
      </c>
      <c r="X1745">
        <v>1.842246846625243E-2</v>
      </c>
    </row>
    <row r="1746" spans="1:24" x14ac:dyDescent="0.35">
      <c r="A1746" s="1">
        <v>45394</v>
      </c>
      <c r="B1746">
        <v>2934.3000489999999</v>
      </c>
      <c r="C1746">
        <f t="shared" si="297"/>
        <v>-8.3976323684058496E-3</v>
      </c>
      <c r="D1746">
        <v>4001.3999020000001</v>
      </c>
      <c r="E1746">
        <f t="shared" si="298"/>
        <v>4.2036315390199253E-3</v>
      </c>
      <c r="F1746">
        <v>1518.9499510000001</v>
      </c>
      <c r="G1746">
        <f t="shared" si="299"/>
        <v>-1.1325560758820186E-2</v>
      </c>
      <c r="H1746">
        <v>1225.5500489999999</v>
      </c>
      <c r="I1746">
        <f t="shared" si="300"/>
        <v>-3.1315885186611325E-3</v>
      </c>
      <c r="J1746">
        <v>1484.75</v>
      </c>
      <c r="K1746">
        <f t="shared" si="301"/>
        <v>-1.4633692781357177E-2</v>
      </c>
      <c r="L1746">
        <v>430.10000609999997</v>
      </c>
      <c r="M1746">
        <f t="shared" si="302"/>
        <v>-1.5676864420968717E-2</v>
      </c>
      <c r="N1746">
        <v>1540</v>
      </c>
      <c r="O1746">
        <f t="shared" si="303"/>
        <v>-3.9930206068027663E-2</v>
      </c>
      <c r="P1746">
        <v>265.7000122</v>
      </c>
      <c r="Q1746">
        <f t="shared" si="304"/>
        <v>-2.3161719852941132E-2</v>
      </c>
      <c r="R1746">
        <v>1018.5</v>
      </c>
      <c r="S1746">
        <f t="shared" si="305"/>
        <v>4.9333991119882015E-3</v>
      </c>
      <c r="T1746">
        <v>4765.0498049999997</v>
      </c>
      <c r="U1746">
        <f t="shared" si="306"/>
        <v>2.3243174169120806E-3</v>
      </c>
      <c r="W1746">
        <f t="shared" si="307"/>
        <v>-1.0479591670126165E-2</v>
      </c>
      <c r="X1746">
        <v>1.85438780669012E-2</v>
      </c>
    </row>
    <row r="1747" spans="1:24" x14ac:dyDescent="0.35">
      <c r="A1747" s="1">
        <v>45397</v>
      </c>
      <c r="B1747">
        <v>2929.6499020000001</v>
      </c>
      <c r="C1747">
        <f t="shared" si="297"/>
        <v>-1.5847551110474978E-3</v>
      </c>
      <c r="D1747">
        <v>3941.1999510000001</v>
      </c>
      <c r="E1747">
        <f t="shared" si="298"/>
        <v>-1.5044722465732741E-2</v>
      </c>
      <c r="F1747">
        <v>1494.6999510000001</v>
      </c>
      <c r="G1747">
        <f t="shared" si="299"/>
        <v>-1.5964976320671398E-2</v>
      </c>
      <c r="H1747">
        <v>1224.5500489999999</v>
      </c>
      <c r="I1747">
        <f t="shared" si="300"/>
        <v>-8.1596014851936793E-4</v>
      </c>
      <c r="J1747">
        <v>1468.150024</v>
      </c>
      <c r="K1747">
        <f t="shared" si="301"/>
        <v>-1.1180317225122027E-2</v>
      </c>
      <c r="L1747">
        <v>425.89999390000003</v>
      </c>
      <c r="M1747">
        <f t="shared" si="302"/>
        <v>-9.7651991174895203E-3</v>
      </c>
      <c r="N1747">
        <v>1540.0500489999999</v>
      </c>
      <c r="O1747">
        <f t="shared" si="303"/>
        <v>3.2499350649306535E-5</v>
      </c>
      <c r="P1747">
        <v>279.85000609999997</v>
      </c>
      <c r="Q1747">
        <f t="shared" si="304"/>
        <v>5.3255525970201445E-2</v>
      </c>
      <c r="R1747">
        <v>998.79998780000005</v>
      </c>
      <c r="S1747">
        <f t="shared" si="305"/>
        <v>-1.9342181836033312E-2</v>
      </c>
      <c r="T1747">
        <v>4686.7998049999997</v>
      </c>
      <c r="U1747">
        <f t="shared" si="306"/>
        <v>-1.6421654169887501E-2</v>
      </c>
      <c r="W1747">
        <f t="shared" si="307"/>
        <v>-3.6831741073652608E-3</v>
      </c>
      <c r="X1747">
        <v>1.8568535154692992E-2</v>
      </c>
    </row>
    <row r="1748" spans="1:24" x14ac:dyDescent="0.35">
      <c r="A1748" s="1">
        <v>45398</v>
      </c>
      <c r="B1748">
        <v>2931.5</v>
      </c>
      <c r="C1748">
        <f t="shared" si="297"/>
        <v>6.3150822176294419E-4</v>
      </c>
      <c r="D1748">
        <v>3872.8000489999999</v>
      </c>
      <c r="E1748">
        <f t="shared" si="298"/>
        <v>-1.7355095618187266E-2</v>
      </c>
      <c r="F1748">
        <v>1509.25</v>
      </c>
      <c r="G1748">
        <f t="shared" si="299"/>
        <v>9.7344279634621333E-3</v>
      </c>
      <c r="H1748">
        <v>1216.4499510000001</v>
      </c>
      <c r="I1748">
        <f t="shared" si="300"/>
        <v>-6.6147545432011512E-3</v>
      </c>
      <c r="J1748">
        <v>1414.4499510000001</v>
      </c>
      <c r="K1748">
        <f t="shared" si="301"/>
        <v>-3.6576693200394583E-2</v>
      </c>
      <c r="L1748">
        <v>425.89999390000003</v>
      </c>
      <c r="M1748">
        <f t="shared" si="302"/>
        <v>0</v>
      </c>
      <c r="N1748">
        <v>1537.5500489999999</v>
      </c>
      <c r="O1748">
        <f t="shared" si="303"/>
        <v>-1.6233238664050686E-3</v>
      </c>
      <c r="P1748">
        <v>283.14999390000003</v>
      </c>
      <c r="Q1748">
        <f t="shared" si="304"/>
        <v>1.1791987593599895E-2</v>
      </c>
      <c r="R1748">
        <v>992.79998780000005</v>
      </c>
      <c r="S1748">
        <f t="shared" si="305"/>
        <v>-6.0072087237564853E-3</v>
      </c>
      <c r="T1748">
        <v>4644.2998049999997</v>
      </c>
      <c r="U1748">
        <f t="shared" si="306"/>
        <v>-9.0680212017291151E-3</v>
      </c>
      <c r="W1748">
        <f t="shared" si="307"/>
        <v>-5.5087173374848697E-3</v>
      </c>
      <c r="X1748">
        <v>1.8656085805409253E-2</v>
      </c>
    </row>
    <row r="1749" spans="1:24" x14ac:dyDescent="0.35">
      <c r="A1749" s="1">
        <v>45400</v>
      </c>
      <c r="B1749">
        <v>2928.6499020000001</v>
      </c>
      <c r="C1749">
        <f t="shared" si="297"/>
        <v>-9.7223196315876503E-4</v>
      </c>
      <c r="D1749">
        <v>3862</v>
      </c>
      <c r="E1749">
        <f t="shared" si="298"/>
        <v>-2.788692641849333E-3</v>
      </c>
      <c r="F1749">
        <v>1494.6999510000001</v>
      </c>
      <c r="G1749">
        <f t="shared" si="299"/>
        <v>-9.6405824084809799E-3</v>
      </c>
      <c r="H1749">
        <v>1265.75</v>
      </c>
      <c r="I1749">
        <f t="shared" si="300"/>
        <v>4.0527807132116012E-2</v>
      </c>
      <c r="J1749">
        <v>1419.25</v>
      </c>
      <c r="K1749">
        <f t="shared" si="301"/>
        <v>3.3935799542474943E-3</v>
      </c>
      <c r="L1749">
        <v>418.85000609999997</v>
      </c>
      <c r="M1749">
        <f t="shared" si="302"/>
        <v>-1.6553153089866823E-2</v>
      </c>
      <c r="N1749">
        <v>1516.400024</v>
      </c>
      <c r="O1749">
        <f t="shared" si="303"/>
        <v>-1.3755666044013015E-2</v>
      </c>
      <c r="P1749">
        <v>274.14999390000003</v>
      </c>
      <c r="Q1749">
        <f t="shared" si="304"/>
        <v>-3.1785273508353029E-2</v>
      </c>
      <c r="R1749">
        <v>971.34997559999999</v>
      </c>
      <c r="S1749">
        <f t="shared" si="305"/>
        <v>-2.1605572586208766E-2</v>
      </c>
      <c r="T1749">
        <v>4627.1000979999999</v>
      </c>
      <c r="U1749">
        <f t="shared" si="306"/>
        <v>-3.7034015292214395E-3</v>
      </c>
      <c r="W1749">
        <f t="shared" si="307"/>
        <v>-5.6883186684788638E-3</v>
      </c>
      <c r="X1749">
        <v>1.8774285034670171E-2</v>
      </c>
    </row>
    <row r="1750" spans="1:24" x14ac:dyDescent="0.35">
      <c r="A1750" s="1">
        <v>45401</v>
      </c>
      <c r="B1750">
        <v>2940.25</v>
      </c>
      <c r="C1750">
        <f t="shared" si="297"/>
        <v>3.9609029375884397E-3</v>
      </c>
      <c r="D1750">
        <v>3826.1999510000001</v>
      </c>
      <c r="E1750">
        <f t="shared" si="298"/>
        <v>-9.2698210771621214E-3</v>
      </c>
      <c r="F1750">
        <v>1531.3000489999999</v>
      </c>
      <c r="G1750">
        <f t="shared" si="299"/>
        <v>2.4486585401647609E-2</v>
      </c>
      <c r="H1750">
        <v>1289</v>
      </c>
      <c r="I1750">
        <f t="shared" si="300"/>
        <v>1.8368556191981078E-2</v>
      </c>
      <c r="J1750">
        <v>1411.25</v>
      </c>
      <c r="K1750">
        <f t="shared" si="301"/>
        <v>-5.6367799894310178E-3</v>
      </c>
      <c r="L1750">
        <v>424.75</v>
      </c>
      <c r="M1750">
        <f t="shared" si="302"/>
        <v>1.4086173604093144E-2</v>
      </c>
      <c r="N1750">
        <v>1522.8000489999999</v>
      </c>
      <c r="O1750">
        <f t="shared" si="303"/>
        <v>4.22053870925021E-3</v>
      </c>
      <c r="P1750">
        <v>275.25</v>
      </c>
      <c r="Q1750">
        <f t="shared" si="304"/>
        <v>4.0124243095960299E-3</v>
      </c>
      <c r="R1750">
        <v>963.20001219999995</v>
      </c>
      <c r="S1750">
        <f t="shared" si="305"/>
        <v>-8.3903470476394126E-3</v>
      </c>
      <c r="T1750">
        <v>4696</v>
      </c>
      <c r="U1750">
        <f t="shared" si="306"/>
        <v>1.4890514694026358E-2</v>
      </c>
      <c r="W1750">
        <f t="shared" si="307"/>
        <v>6.0728747733950319E-3</v>
      </c>
      <c r="X1750">
        <v>1.8885043827029949E-2</v>
      </c>
    </row>
    <row r="1751" spans="1:24" x14ac:dyDescent="0.35">
      <c r="A1751" s="1">
        <v>45404</v>
      </c>
      <c r="B1751">
        <v>2959.6999510000001</v>
      </c>
      <c r="C1751">
        <f t="shared" si="297"/>
        <v>6.6150670861322425E-3</v>
      </c>
      <c r="D1751">
        <v>3864.6000979999999</v>
      </c>
      <c r="E1751">
        <f t="shared" si="298"/>
        <v>1.0036105664045003E-2</v>
      </c>
      <c r="F1751">
        <v>1512.1999510000001</v>
      </c>
      <c r="G1751">
        <f t="shared" si="299"/>
        <v>-1.247312570287773E-2</v>
      </c>
      <c r="H1751">
        <v>1297.5500489999999</v>
      </c>
      <c r="I1751">
        <f t="shared" si="300"/>
        <v>6.6330868890611683E-3</v>
      </c>
      <c r="J1751">
        <v>1432.75</v>
      </c>
      <c r="K1751">
        <f t="shared" si="301"/>
        <v>1.5234720992028272E-2</v>
      </c>
      <c r="L1751">
        <v>425.2999878</v>
      </c>
      <c r="M1751">
        <f t="shared" si="302"/>
        <v>1.2948506180106012E-3</v>
      </c>
      <c r="N1751">
        <v>1540.099976</v>
      </c>
      <c r="O1751">
        <f t="shared" si="303"/>
        <v>1.1360603128008018E-2</v>
      </c>
      <c r="P1751">
        <v>276.7999878</v>
      </c>
      <c r="Q1751">
        <f t="shared" si="304"/>
        <v>5.6312000000000584E-3</v>
      </c>
      <c r="R1751">
        <v>973.54998780000005</v>
      </c>
      <c r="S1751">
        <f t="shared" si="305"/>
        <v>1.0745406425359372E-2</v>
      </c>
      <c r="T1751">
        <v>4758</v>
      </c>
      <c r="U1751">
        <f t="shared" si="306"/>
        <v>1.320272572402037E-2</v>
      </c>
      <c r="W1751">
        <f t="shared" si="307"/>
        <v>6.8280640823787375E-3</v>
      </c>
      <c r="X1751">
        <v>1.8989113654888215E-2</v>
      </c>
    </row>
    <row r="1752" spans="1:24" x14ac:dyDescent="0.35">
      <c r="A1752" s="1">
        <v>45405</v>
      </c>
      <c r="B1752">
        <v>2918.6499020000001</v>
      </c>
      <c r="C1752">
        <f t="shared" si="297"/>
        <v>-1.3869665736261583E-2</v>
      </c>
      <c r="D1752">
        <v>3874.6999510000001</v>
      </c>
      <c r="E1752">
        <f t="shared" si="298"/>
        <v>2.6134277140930084E-3</v>
      </c>
      <c r="F1752">
        <v>1507.599976</v>
      </c>
      <c r="G1752">
        <f t="shared" si="299"/>
        <v>-3.041909237570195E-3</v>
      </c>
      <c r="H1752">
        <v>1342.349976</v>
      </c>
      <c r="I1752">
        <f t="shared" si="300"/>
        <v>3.4526550274131207E-2</v>
      </c>
      <c r="J1752">
        <v>1442.400024</v>
      </c>
      <c r="K1752">
        <f t="shared" si="301"/>
        <v>6.7353160006979884E-3</v>
      </c>
      <c r="L1752">
        <v>429.2000122</v>
      </c>
      <c r="M1752">
        <f t="shared" si="302"/>
        <v>9.1700552830347171E-3</v>
      </c>
      <c r="N1752">
        <v>1484.650024</v>
      </c>
      <c r="O1752">
        <f t="shared" si="303"/>
        <v>-3.6004124968572748E-2</v>
      </c>
      <c r="P1752">
        <v>276.7999878</v>
      </c>
      <c r="Q1752">
        <f t="shared" si="304"/>
        <v>0</v>
      </c>
      <c r="R1752">
        <v>986.75</v>
      </c>
      <c r="S1752">
        <f t="shared" si="305"/>
        <v>1.3558638349766561E-2</v>
      </c>
      <c r="T1752">
        <v>4800.5498049999997</v>
      </c>
      <c r="U1752">
        <f t="shared" si="306"/>
        <v>8.9427921395544008E-3</v>
      </c>
      <c r="W1752">
        <f t="shared" si="307"/>
        <v>2.2631079818873361E-3</v>
      </c>
      <c r="X1752">
        <v>1.9051302128234228E-2</v>
      </c>
    </row>
    <row r="1753" spans="1:24" x14ac:dyDescent="0.35">
      <c r="A1753" s="1">
        <v>45406</v>
      </c>
      <c r="B1753">
        <v>2900.3500979999999</v>
      </c>
      <c r="C1753">
        <f t="shared" si="297"/>
        <v>-6.2699551554505906E-3</v>
      </c>
      <c r="D1753">
        <v>3831.0500489999999</v>
      </c>
      <c r="E1753">
        <f t="shared" si="298"/>
        <v>-1.1265363138308282E-2</v>
      </c>
      <c r="F1753">
        <v>1511.6999510000001</v>
      </c>
      <c r="G1753">
        <f t="shared" si="299"/>
        <v>2.7195377190694092E-3</v>
      </c>
      <c r="H1753">
        <v>1336.400024</v>
      </c>
      <c r="I1753">
        <f t="shared" si="300"/>
        <v>-4.4324893704172919E-3</v>
      </c>
      <c r="J1753">
        <v>1430.75</v>
      </c>
      <c r="K1753">
        <f t="shared" si="301"/>
        <v>-8.0768329216278634E-3</v>
      </c>
      <c r="L1753">
        <v>428.89999390000003</v>
      </c>
      <c r="M1753">
        <f t="shared" si="302"/>
        <v>-6.9901745450129393E-4</v>
      </c>
      <c r="N1753">
        <v>1485.75</v>
      </c>
      <c r="O1753">
        <f t="shared" si="303"/>
        <v>7.408991898552042E-4</v>
      </c>
      <c r="P1753">
        <v>279.35000609999997</v>
      </c>
      <c r="Q1753">
        <f t="shared" si="304"/>
        <v>9.2124942644233876E-3</v>
      </c>
      <c r="R1753">
        <v>991.65002440000001</v>
      </c>
      <c r="S1753">
        <f t="shared" si="305"/>
        <v>4.9658215353431956E-3</v>
      </c>
      <c r="T1753">
        <v>4797.5498049999997</v>
      </c>
      <c r="U1753">
        <f t="shared" si="306"/>
        <v>-6.2492841900640972E-4</v>
      </c>
      <c r="W1753">
        <f t="shared" si="307"/>
        <v>-1.372983375062054E-3</v>
      </c>
      <c r="X1753">
        <v>1.9173502431616196E-2</v>
      </c>
    </row>
    <row r="1754" spans="1:24" x14ac:dyDescent="0.35">
      <c r="A1754" s="1">
        <v>45407</v>
      </c>
      <c r="B1754">
        <v>2919.9499510000001</v>
      </c>
      <c r="C1754">
        <f t="shared" si="297"/>
        <v>6.7577541806127517E-3</v>
      </c>
      <c r="D1754">
        <v>3852.1999510000001</v>
      </c>
      <c r="E1754">
        <f t="shared" si="298"/>
        <v>5.5206540581531627E-3</v>
      </c>
      <c r="F1754">
        <v>1510.75</v>
      </c>
      <c r="G1754">
        <f t="shared" si="299"/>
        <v>-6.2839917363999298E-4</v>
      </c>
      <c r="H1754">
        <v>1338.6999510000001</v>
      </c>
      <c r="I1754">
        <f t="shared" si="300"/>
        <v>1.7209869490395491E-3</v>
      </c>
      <c r="J1754">
        <v>1438.4499510000001</v>
      </c>
      <c r="K1754">
        <f t="shared" si="301"/>
        <v>5.3817585182596162E-3</v>
      </c>
      <c r="L1754">
        <v>437.5499878</v>
      </c>
      <c r="M1754">
        <f t="shared" si="302"/>
        <v>2.0167857363077468E-2</v>
      </c>
      <c r="N1754">
        <v>1520.150024</v>
      </c>
      <c r="O1754">
        <f t="shared" si="303"/>
        <v>2.31533057378428E-2</v>
      </c>
      <c r="P1754">
        <v>281.9500122</v>
      </c>
      <c r="Q1754">
        <f t="shared" si="304"/>
        <v>9.3073421987659444E-3</v>
      </c>
      <c r="R1754">
        <v>1001.25</v>
      </c>
      <c r="S1754">
        <f t="shared" si="305"/>
        <v>9.6808101283600845E-3</v>
      </c>
      <c r="T1754">
        <v>4657.1000979999999</v>
      </c>
      <c r="U1754">
        <f t="shared" si="306"/>
        <v>-2.9275299415052136E-2</v>
      </c>
      <c r="W1754">
        <f t="shared" si="307"/>
        <v>5.1786770545419244E-3</v>
      </c>
      <c r="X1754">
        <v>1.9254559569968445E-2</v>
      </c>
    </row>
    <row r="1755" spans="1:24" x14ac:dyDescent="0.35">
      <c r="A1755" s="1">
        <v>45408</v>
      </c>
      <c r="B1755">
        <v>2905.1000979999999</v>
      </c>
      <c r="C1755">
        <f t="shared" si="297"/>
        <v>-5.0856532643357433E-3</v>
      </c>
      <c r="D1755">
        <v>3821.3500979999999</v>
      </c>
      <c r="E1755">
        <f t="shared" si="298"/>
        <v>-8.0083727201106791E-3</v>
      </c>
      <c r="F1755">
        <v>1509.8000489999999</v>
      </c>
      <c r="G1755">
        <f t="shared" si="299"/>
        <v>-6.2879430746320963E-4</v>
      </c>
      <c r="H1755">
        <v>1326</v>
      </c>
      <c r="I1755">
        <f t="shared" si="300"/>
        <v>-9.4867793119087773E-3</v>
      </c>
      <c r="J1755">
        <v>1430.25</v>
      </c>
      <c r="K1755">
        <f t="shared" si="301"/>
        <v>-5.7005466156813123E-3</v>
      </c>
      <c r="L1755">
        <v>440</v>
      </c>
      <c r="M1755">
        <f t="shared" si="302"/>
        <v>5.5993881117872846E-3</v>
      </c>
      <c r="N1755">
        <v>1506.5500489999999</v>
      </c>
      <c r="O1755">
        <f t="shared" si="303"/>
        <v>-8.9464689571981948E-3</v>
      </c>
      <c r="P1755">
        <v>282.89999390000003</v>
      </c>
      <c r="Q1755">
        <f t="shared" si="304"/>
        <v>3.3693266852075077E-3</v>
      </c>
      <c r="R1755">
        <v>999.5</v>
      </c>
      <c r="S1755">
        <f t="shared" si="305"/>
        <v>-1.7478152309613471E-3</v>
      </c>
      <c r="T1755">
        <v>4553.1499020000001</v>
      </c>
      <c r="U1755">
        <f t="shared" si="306"/>
        <v>-2.2320799169560757E-2</v>
      </c>
      <c r="W1755">
        <f t="shared" si="307"/>
        <v>-5.2956514780225228E-3</v>
      </c>
      <c r="X1755">
        <v>1.928155972938124E-2</v>
      </c>
    </row>
    <row r="1756" spans="1:24" x14ac:dyDescent="0.35">
      <c r="A1756" s="1">
        <v>45411</v>
      </c>
      <c r="B1756">
        <v>2930.0500489999999</v>
      </c>
      <c r="C1756">
        <f t="shared" si="297"/>
        <v>8.5883274786906494E-3</v>
      </c>
      <c r="D1756">
        <v>3870.1999510000001</v>
      </c>
      <c r="E1756">
        <f t="shared" si="298"/>
        <v>1.2783401611270007E-2</v>
      </c>
      <c r="F1756">
        <v>1529.5</v>
      </c>
      <c r="G1756">
        <f t="shared" si="299"/>
        <v>1.3048052961084577E-2</v>
      </c>
      <c r="H1756">
        <v>1332.4499510000001</v>
      </c>
      <c r="I1756">
        <f t="shared" si="300"/>
        <v>4.864216440422453E-3</v>
      </c>
      <c r="J1756">
        <v>1434.75</v>
      </c>
      <c r="K1756">
        <f t="shared" si="301"/>
        <v>3.1463030938647663E-3</v>
      </c>
      <c r="L1756">
        <v>438.2000122</v>
      </c>
      <c r="M1756">
        <f t="shared" si="302"/>
        <v>-4.0908813636363339E-3</v>
      </c>
      <c r="N1756">
        <v>1521.599976</v>
      </c>
      <c r="O1756">
        <f t="shared" si="303"/>
        <v>9.9896628127220666E-3</v>
      </c>
      <c r="P1756">
        <v>283.2000122</v>
      </c>
      <c r="Q1756">
        <f t="shared" si="304"/>
        <v>1.0605100970981773E-3</v>
      </c>
      <c r="R1756">
        <v>1000.599976</v>
      </c>
      <c r="S1756">
        <f t="shared" si="305"/>
        <v>1.1005262631316182E-3</v>
      </c>
      <c r="T1756">
        <v>4483.7998049999997</v>
      </c>
      <c r="U1756">
        <f t="shared" si="306"/>
        <v>-1.5231235187213588E-2</v>
      </c>
      <c r="W1756">
        <f t="shared" si="307"/>
        <v>3.5258884207434397E-3</v>
      </c>
      <c r="X1756">
        <v>1.9391135620555448E-2</v>
      </c>
    </row>
    <row r="1757" spans="1:24" x14ac:dyDescent="0.35">
      <c r="A1757" s="1">
        <v>45412</v>
      </c>
      <c r="B1757">
        <v>2934</v>
      </c>
      <c r="C1757">
        <f t="shared" si="297"/>
        <v>1.348083115968679E-3</v>
      </c>
      <c r="D1757">
        <v>3820.6499020000001</v>
      </c>
      <c r="E1757">
        <f t="shared" si="298"/>
        <v>-1.2802968742531506E-2</v>
      </c>
      <c r="F1757">
        <v>1520.099976</v>
      </c>
      <c r="G1757">
        <f t="shared" si="299"/>
        <v>-6.145814972213115E-3</v>
      </c>
      <c r="H1757">
        <v>1322.3000489999999</v>
      </c>
      <c r="I1757">
        <f t="shared" si="300"/>
        <v>-7.6174733560405716E-3</v>
      </c>
      <c r="J1757">
        <v>1420.5500489999999</v>
      </c>
      <c r="K1757">
        <f t="shared" si="301"/>
        <v>-9.897160480920042E-3</v>
      </c>
      <c r="L1757">
        <v>435.64999390000003</v>
      </c>
      <c r="M1757">
        <f t="shared" si="302"/>
        <v>-5.8193022113293136E-3</v>
      </c>
      <c r="N1757">
        <v>1502.099976</v>
      </c>
      <c r="O1757">
        <f t="shared" si="303"/>
        <v>-1.2815457615385717E-2</v>
      </c>
      <c r="P1757">
        <v>282.85000609999997</v>
      </c>
      <c r="Q1757">
        <f t="shared" si="304"/>
        <v>-1.2358971925214846E-3</v>
      </c>
      <c r="R1757">
        <v>1007.900024</v>
      </c>
      <c r="S1757">
        <f t="shared" si="305"/>
        <v>7.2956707726326009E-3</v>
      </c>
      <c r="T1757">
        <v>4603.7998049999997</v>
      </c>
      <c r="U1757">
        <f t="shared" si="306"/>
        <v>2.676301467924258E-2</v>
      </c>
      <c r="W1757">
        <f t="shared" si="307"/>
        <v>-2.092730600309789E-3</v>
      </c>
      <c r="X1757">
        <v>1.9428605038929327E-2</v>
      </c>
    </row>
    <row r="1758" spans="1:24" x14ac:dyDescent="0.35">
      <c r="A1758" s="1">
        <v>45414</v>
      </c>
      <c r="B1758">
        <v>2933.1000979999999</v>
      </c>
      <c r="C1758">
        <f t="shared" si="297"/>
        <v>-3.0671506475810073E-4</v>
      </c>
      <c r="D1758">
        <v>3863.3000489999999</v>
      </c>
      <c r="E1758">
        <f t="shared" si="298"/>
        <v>1.1163060760336574E-2</v>
      </c>
      <c r="F1758">
        <v>1532.25</v>
      </c>
      <c r="G1758">
        <f t="shared" si="299"/>
        <v>7.9929111188934421E-3</v>
      </c>
      <c r="H1758">
        <v>1304.0500489999999</v>
      </c>
      <c r="I1758">
        <f t="shared" si="300"/>
        <v>-1.3801708631714593E-2</v>
      </c>
      <c r="J1758">
        <v>1414.4499510000001</v>
      </c>
      <c r="K1758">
        <f t="shared" si="301"/>
        <v>-4.2941802749534297E-3</v>
      </c>
      <c r="L1758">
        <v>439</v>
      </c>
      <c r="M1758">
        <f t="shared" si="302"/>
        <v>7.6896732397726542E-3</v>
      </c>
      <c r="N1758">
        <v>1519</v>
      </c>
      <c r="O1758">
        <f t="shared" si="303"/>
        <v>1.1250931542521991E-2</v>
      </c>
      <c r="P1758">
        <v>282.7999878</v>
      </c>
      <c r="Q1758">
        <f t="shared" si="304"/>
        <v>-1.7683683550029361E-4</v>
      </c>
      <c r="R1758">
        <v>1027.8000489999999</v>
      </c>
      <c r="S1758">
        <f t="shared" si="305"/>
        <v>1.9744046558332062E-2</v>
      </c>
      <c r="T1758">
        <v>4605.0498049999997</v>
      </c>
      <c r="U1758">
        <f t="shared" si="306"/>
        <v>2.7151484707088613E-4</v>
      </c>
      <c r="W1758">
        <f t="shared" si="307"/>
        <v>3.9532697260001191E-3</v>
      </c>
      <c r="X1758">
        <v>1.9902165593334756E-2</v>
      </c>
    </row>
    <row r="1759" spans="1:24" x14ac:dyDescent="0.35">
      <c r="A1759" s="1">
        <v>45415</v>
      </c>
      <c r="B1759">
        <v>2868</v>
      </c>
      <c r="C1759">
        <f t="shared" si="297"/>
        <v>-2.2194979995530995E-2</v>
      </c>
      <c r="D1759">
        <v>3843.3999020000001</v>
      </c>
      <c r="E1759">
        <f t="shared" si="298"/>
        <v>-5.151074663525268E-3</v>
      </c>
      <c r="F1759">
        <v>1519.599976</v>
      </c>
      <c r="G1759">
        <f t="shared" si="299"/>
        <v>-8.2558485886767841E-3</v>
      </c>
      <c r="H1759">
        <v>1277.400024</v>
      </c>
      <c r="I1759">
        <f t="shared" si="300"/>
        <v>-2.0436351365836214E-2</v>
      </c>
      <c r="J1759">
        <v>1416.3000489999999</v>
      </c>
      <c r="K1759">
        <f t="shared" si="301"/>
        <v>1.3079982071417806E-3</v>
      </c>
      <c r="L1759">
        <v>436.4500122</v>
      </c>
      <c r="M1759">
        <f t="shared" si="302"/>
        <v>-5.8086282460136918E-3</v>
      </c>
      <c r="N1759">
        <v>1511.150024</v>
      </c>
      <c r="O1759">
        <f t="shared" si="303"/>
        <v>-5.1678578011850052E-3</v>
      </c>
      <c r="P1759">
        <v>286.10000609999997</v>
      </c>
      <c r="Q1759">
        <f t="shared" si="304"/>
        <v>1.1669089258708798E-2</v>
      </c>
      <c r="R1759">
        <v>1013.400024</v>
      </c>
      <c r="S1759">
        <f t="shared" si="305"/>
        <v>-1.4010531536761905E-2</v>
      </c>
      <c r="T1759">
        <v>4612.3500979999999</v>
      </c>
      <c r="U1759">
        <f t="shared" si="306"/>
        <v>1.585279922938998E-3</v>
      </c>
      <c r="W1759">
        <f t="shared" si="307"/>
        <v>-6.646290480874029E-3</v>
      </c>
      <c r="X1759">
        <v>1.9935927359393216E-2</v>
      </c>
    </row>
    <row r="1760" spans="1:24" x14ac:dyDescent="0.35">
      <c r="A1760" s="1">
        <v>45418</v>
      </c>
      <c r="B1760">
        <v>2839.0500489999999</v>
      </c>
      <c r="C1760">
        <f t="shared" si="297"/>
        <v>-1.0094125174337498E-2</v>
      </c>
      <c r="D1760">
        <v>3921.0500489999999</v>
      </c>
      <c r="E1760">
        <f t="shared" si="298"/>
        <v>2.0203504443967235E-2</v>
      </c>
      <c r="F1760">
        <v>1522.650024</v>
      </c>
      <c r="G1760">
        <f t="shared" si="299"/>
        <v>2.0071387524160933E-3</v>
      </c>
      <c r="H1760">
        <v>1283.400024</v>
      </c>
      <c r="I1760">
        <f t="shared" si="300"/>
        <v>4.6970407760067445E-3</v>
      </c>
      <c r="J1760">
        <v>1425.900024</v>
      </c>
      <c r="K1760">
        <f t="shared" si="301"/>
        <v>6.7782070662063543E-3</v>
      </c>
      <c r="L1760">
        <v>434.75</v>
      </c>
      <c r="M1760">
        <f t="shared" si="302"/>
        <v>-3.8950902794819831E-3</v>
      </c>
      <c r="N1760">
        <v>1529.150024</v>
      </c>
      <c r="O1760">
        <f t="shared" si="303"/>
        <v>1.1911457971826023E-2</v>
      </c>
      <c r="P1760">
        <v>282.14999390000003</v>
      </c>
      <c r="Q1760">
        <f t="shared" si="304"/>
        <v>-1.3806403760156849E-2</v>
      </c>
      <c r="R1760">
        <v>1016.200012</v>
      </c>
      <c r="S1760">
        <f t="shared" si="305"/>
        <v>2.7629642132316334E-3</v>
      </c>
      <c r="T1760">
        <v>4600.6000979999999</v>
      </c>
      <c r="U1760">
        <f t="shared" si="306"/>
        <v>-2.5475082659260906E-3</v>
      </c>
      <c r="W1760">
        <f t="shared" si="307"/>
        <v>1.8017185743751669E-3</v>
      </c>
      <c r="X1760">
        <v>2.0514663483068296E-2</v>
      </c>
    </row>
    <row r="1761" spans="1:24" x14ac:dyDescent="0.35">
      <c r="A1761" s="1">
        <v>45419</v>
      </c>
      <c r="B1761">
        <v>2802.9499510000001</v>
      </c>
      <c r="C1761">
        <f t="shared" si="297"/>
        <v>-1.2715555336094031E-2</v>
      </c>
      <c r="D1761">
        <v>3978.9499510000001</v>
      </c>
      <c r="E1761">
        <f t="shared" si="298"/>
        <v>1.4766427685555028E-2</v>
      </c>
      <c r="F1761">
        <v>1506.150024</v>
      </c>
      <c r="G1761">
        <f t="shared" si="299"/>
        <v>-1.0836370630103453E-2</v>
      </c>
      <c r="H1761">
        <v>1286.150024</v>
      </c>
      <c r="I1761">
        <f t="shared" si="300"/>
        <v>2.142745791315237E-3</v>
      </c>
      <c r="J1761">
        <v>1440.9499510000001</v>
      </c>
      <c r="K1761">
        <f t="shared" si="301"/>
        <v>1.0554685985474155E-2</v>
      </c>
      <c r="L1761">
        <v>440.35000609999997</v>
      </c>
      <c r="M1761">
        <f t="shared" si="302"/>
        <v>1.2880980103507689E-2</v>
      </c>
      <c r="N1761">
        <v>1515.349976</v>
      </c>
      <c r="O1761">
        <f t="shared" si="303"/>
        <v>-9.024652770106556E-3</v>
      </c>
      <c r="P1761">
        <v>273.60000609999997</v>
      </c>
      <c r="Q1761">
        <f t="shared" si="304"/>
        <v>-3.0302987718760499E-2</v>
      </c>
      <c r="R1761">
        <v>988.54998780000005</v>
      </c>
      <c r="S1761">
        <f t="shared" si="305"/>
        <v>-2.7209234278182559E-2</v>
      </c>
      <c r="T1761">
        <v>4660.4501950000003</v>
      </c>
      <c r="U1761">
        <f t="shared" si="306"/>
        <v>1.3009193523692453E-2</v>
      </c>
      <c r="W1761">
        <f t="shared" si="307"/>
        <v>-3.6734767643702539E-3</v>
      </c>
      <c r="X1761">
        <v>2.065443830352125E-2</v>
      </c>
    </row>
    <row r="1762" spans="1:24" x14ac:dyDescent="0.35">
      <c r="A1762" s="1">
        <v>45420</v>
      </c>
      <c r="B1762">
        <v>2837.1000979999999</v>
      </c>
      <c r="C1762">
        <f t="shared" si="297"/>
        <v>1.2183644944433025E-2</v>
      </c>
      <c r="D1762">
        <v>3976.9499510000001</v>
      </c>
      <c r="E1762">
        <f t="shared" si="298"/>
        <v>-5.0264517639819761E-4</v>
      </c>
      <c r="F1762">
        <v>1482.650024</v>
      </c>
      <c r="G1762">
        <f t="shared" si="299"/>
        <v>-1.5602695366022878E-2</v>
      </c>
      <c r="H1762">
        <v>1288.599976</v>
      </c>
      <c r="I1762">
        <f t="shared" si="300"/>
        <v>1.9048726464898635E-3</v>
      </c>
      <c r="J1762">
        <v>1427.3000489999999</v>
      </c>
      <c r="K1762">
        <f t="shared" si="301"/>
        <v>-9.4728494841387345E-3</v>
      </c>
      <c r="L1762">
        <v>441</v>
      </c>
      <c r="M1762">
        <f t="shared" si="302"/>
        <v>1.4760846849004583E-3</v>
      </c>
      <c r="N1762">
        <v>1521.75</v>
      </c>
      <c r="O1762">
        <f t="shared" si="303"/>
        <v>4.2234626332946501E-3</v>
      </c>
      <c r="P1762">
        <v>276.85000609999997</v>
      </c>
      <c r="Q1762">
        <f t="shared" si="304"/>
        <v>1.1878654705921754E-2</v>
      </c>
      <c r="R1762">
        <v>1012.099976</v>
      </c>
      <c r="S1762">
        <f t="shared" si="305"/>
        <v>2.3822759082127831E-2</v>
      </c>
      <c r="T1762">
        <v>4806.75</v>
      </c>
      <c r="U1762">
        <f t="shared" si="306"/>
        <v>3.1391775231705887E-2</v>
      </c>
      <c r="W1762">
        <f t="shared" si="307"/>
        <v>6.1303063902313666E-3</v>
      </c>
      <c r="X1762">
        <v>2.0661228799935084E-2</v>
      </c>
    </row>
    <row r="1763" spans="1:24" x14ac:dyDescent="0.35">
      <c r="A1763" s="1">
        <v>45421</v>
      </c>
      <c r="B1763">
        <v>2788.25</v>
      </c>
      <c r="C1763">
        <f t="shared" si="297"/>
        <v>-1.7218320225795503E-2</v>
      </c>
      <c r="D1763">
        <v>3960.1999510000001</v>
      </c>
      <c r="E1763">
        <f t="shared" si="298"/>
        <v>-4.211770378399704E-3</v>
      </c>
      <c r="F1763">
        <v>1447.5</v>
      </c>
      <c r="G1763">
        <f t="shared" si="299"/>
        <v>-2.3707566472881969E-2</v>
      </c>
      <c r="H1763">
        <v>1275.4499510000001</v>
      </c>
      <c r="I1763">
        <f t="shared" si="300"/>
        <v>-1.0204893097095602E-2</v>
      </c>
      <c r="J1763">
        <v>1439.5500489999999</v>
      </c>
      <c r="K1763">
        <f t="shared" si="301"/>
        <v>8.5826382536613455E-3</v>
      </c>
      <c r="L1763">
        <v>425.10000609999997</v>
      </c>
      <c r="M1763">
        <f t="shared" si="302"/>
        <v>-3.6054407936508048E-2</v>
      </c>
      <c r="N1763">
        <v>1494.650024</v>
      </c>
      <c r="O1763">
        <f t="shared" si="303"/>
        <v>-1.7808428454082481E-2</v>
      </c>
      <c r="P1763">
        <v>265.25</v>
      </c>
      <c r="Q1763">
        <f t="shared" si="304"/>
        <v>-4.1899966929420884E-2</v>
      </c>
      <c r="R1763">
        <v>1030.3000489999999</v>
      </c>
      <c r="S1763">
        <f t="shared" si="305"/>
        <v>1.798248535873892E-2</v>
      </c>
      <c r="T1763">
        <v>4798.6499020000001</v>
      </c>
      <c r="U1763">
        <f t="shared" si="306"/>
        <v>-1.6851506735320321E-3</v>
      </c>
      <c r="W1763">
        <f t="shared" si="307"/>
        <v>-1.2622538055531598E-2</v>
      </c>
      <c r="X1763">
        <v>2.0702283784903609E-2</v>
      </c>
    </row>
    <row r="1764" spans="1:24" x14ac:dyDescent="0.35">
      <c r="A1764" s="1">
        <v>45422</v>
      </c>
      <c r="B1764">
        <v>2814.8500979999999</v>
      </c>
      <c r="C1764">
        <f t="shared" si="297"/>
        <v>9.5400692190441561E-3</v>
      </c>
      <c r="D1764">
        <v>3893.8999020000001</v>
      </c>
      <c r="E1764">
        <f t="shared" si="298"/>
        <v>-1.6741591288404134E-2</v>
      </c>
      <c r="F1764">
        <v>1437.900024</v>
      </c>
      <c r="G1764">
        <f t="shared" si="299"/>
        <v>-6.6321077720207233E-3</v>
      </c>
      <c r="H1764">
        <v>1301.150024</v>
      </c>
      <c r="I1764">
        <f t="shared" si="300"/>
        <v>2.0149809077063541E-2</v>
      </c>
      <c r="J1764">
        <v>1424.900024</v>
      </c>
      <c r="K1764">
        <f t="shared" si="301"/>
        <v>-1.0176808378546287E-2</v>
      </c>
      <c r="L1764">
        <v>433.35000609999997</v>
      </c>
      <c r="M1764">
        <f t="shared" si="302"/>
        <v>1.9407198027796113E-2</v>
      </c>
      <c r="N1764">
        <v>1506.5500489999999</v>
      </c>
      <c r="O1764">
        <f t="shared" si="303"/>
        <v>7.9617467694228505E-3</v>
      </c>
      <c r="P1764">
        <v>270.25</v>
      </c>
      <c r="Q1764">
        <f t="shared" si="304"/>
        <v>1.8850141376060225E-2</v>
      </c>
      <c r="R1764">
        <v>1046.650024</v>
      </c>
      <c r="S1764">
        <f t="shared" si="305"/>
        <v>1.5869139301574631E-2</v>
      </c>
      <c r="T1764">
        <v>4796.7998049999997</v>
      </c>
      <c r="U1764">
        <f t="shared" si="306"/>
        <v>-3.8554531749224186E-4</v>
      </c>
      <c r="W1764">
        <f t="shared" si="307"/>
        <v>5.7842051014498127E-3</v>
      </c>
      <c r="X1764">
        <v>2.0862510785027554E-2</v>
      </c>
    </row>
    <row r="1765" spans="1:24" x14ac:dyDescent="0.35">
      <c r="A1765" s="1">
        <v>45425</v>
      </c>
      <c r="B1765">
        <v>2805.3999020000001</v>
      </c>
      <c r="C1765">
        <f t="shared" si="297"/>
        <v>-3.3572643909934863E-3</v>
      </c>
      <c r="D1765">
        <v>3947.8000489999999</v>
      </c>
      <c r="E1765">
        <f t="shared" si="298"/>
        <v>1.3842201483483363E-2</v>
      </c>
      <c r="F1765">
        <v>1455.25</v>
      </c>
      <c r="G1765">
        <f t="shared" si="299"/>
        <v>1.2066190771549801E-2</v>
      </c>
      <c r="H1765">
        <v>1285.9499510000001</v>
      </c>
      <c r="I1765">
        <f t="shared" si="300"/>
        <v>-1.1682029527442128E-2</v>
      </c>
      <c r="J1765">
        <v>1423.4499510000001</v>
      </c>
      <c r="K1765">
        <f t="shared" si="301"/>
        <v>-1.0176664857716178E-3</v>
      </c>
      <c r="L1765">
        <v>431.85000609999997</v>
      </c>
      <c r="M1765">
        <f t="shared" si="302"/>
        <v>-3.4614052818401353E-3</v>
      </c>
      <c r="N1765">
        <v>1525.0500489999999</v>
      </c>
      <c r="O1765">
        <f t="shared" si="303"/>
        <v>1.2279711525202686E-2</v>
      </c>
      <c r="P1765">
        <v>266.89999390000003</v>
      </c>
      <c r="Q1765">
        <f t="shared" si="304"/>
        <v>-1.2395952266419874E-2</v>
      </c>
      <c r="R1765">
        <v>959.75</v>
      </c>
      <c r="S1765">
        <f t="shared" si="305"/>
        <v>-8.3026820816276992E-2</v>
      </c>
      <c r="T1765">
        <v>4693.7001950000003</v>
      </c>
      <c r="U1765">
        <f t="shared" si="306"/>
        <v>-2.1493415233325375E-2</v>
      </c>
      <c r="W1765">
        <f t="shared" si="307"/>
        <v>-9.8246450221833766E-3</v>
      </c>
      <c r="X1765">
        <v>2.1145626967898137E-2</v>
      </c>
    </row>
    <row r="1766" spans="1:24" x14ac:dyDescent="0.35">
      <c r="A1766" s="1">
        <v>45426</v>
      </c>
      <c r="B1766">
        <v>2840.1499020000001</v>
      </c>
      <c r="C1766">
        <f t="shared" si="297"/>
        <v>1.2386825840845939E-2</v>
      </c>
      <c r="D1766">
        <v>3901.1999510000001</v>
      </c>
      <c r="E1766">
        <f t="shared" si="298"/>
        <v>-1.1804067435432497E-2</v>
      </c>
      <c r="F1766">
        <v>1460.9499510000001</v>
      </c>
      <c r="G1766">
        <f t="shared" si="299"/>
        <v>3.9168191032468158E-3</v>
      </c>
      <c r="H1766">
        <v>1284.3000489999999</v>
      </c>
      <c r="I1766">
        <f t="shared" si="300"/>
        <v>-1.2830219393197284E-3</v>
      </c>
      <c r="J1766">
        <v>1424.6999510000001</v>
      </c>
      <c r="K1766">
        <f t="shared" si="301"/>
        <v>8.7814819138665179E-4</v>
      </c>
      <c r="L1766">
        <v>429.7000122</v>
      </c>
      <c r="M1766">
        <f t="shared" si="302"/>
        <v>-4.9785663300467853E-3</v>
      </c>
      <c r="N1766">
        <v>1545.25</v>
      </c>
      <c r="O1766">
        <f t="shared" si="303"/>
        <v>1.3245434806054668E-2</v>
      </c>
      <c r="P1766">
        <v>272.89999390000003</v>
      </c>
      <c r="Q1766">
        <f t="shared" si="304"/>
        <v>2.2480330225290501E-2</v>
      </c>
      <c r="R1766">
        <v>964.65002440000001</v>
      </c>
      <c r="S1766">
        <f t="shared" si="305"/>
        <v>5.1055216462621011E-3</v>
      </c>
      <c r="T1766">
        <v>4597.0498049999997</v>
      </c>
      <c r="U1766">
        <f t="shared" si="306"/>
        <v>-2.0591513301799313E-2</v>
      </c>
      <c r="W1766">
        <f t="shared" si="307"/>
        <v>1.9355910806488352E-3</v>
      </c>
      <c r="X1766">
        <v>2.1288839656167371E-2</v>
      </c>
    </row>
    <row r="1767" spans="1:24" x14ac:dyDescent="0.35">
      <c r="A1767" s="1">
        <v>45427</v>
      </c>
      <c r="B1767">
        <v>2832.5500489999999</v>
      </c>
      <c r="C1767">
        <f t="shared" si="297"/>
        <v>-2.6758633389908359E-3</v>
      </c>
      <c r="D1767">
        <v>3880.3999020000001</v>
      </c>
      <c r="E1767">
        <f t="shared" si="298"/>
        <v>-5.3317054396733177E-3</v>
      </c>
      <c r="F1767">
        <v>1438.5</v>
      </c>
      <c r="G1767">
        <f t="shared" si="299"/>
        <v>-1.5366680415460743E-2</v>
      </c>
      <c r="H1767">
        <v>1309.900024</v>
      </c>
      <c r="I1767">
        <f t="shared" si="300"/>
        <v>1.9933017225945759E-2</v>
      </c>
      <c r="J1767">
        <v>1419.9499510000001</v>
      </c>
      <c r="K1767">
        <f t="shared" si="301"/>
        <v>-3.3340353501563058E-3</v>
      </c>
      <c r="L1767">
        <v>427.7999878</v>
      </c>
      <c r="M1767">
        <f t="shared" si="302"/>
        <v>-4.4217462091102888E-3</v>
      </c>
      <c r="N1767">
        <v>1527.400024</v>
      </c>
      <c r="O1767">
        <f t="shared" si="303"/>
        <v>-1.1551513347354825E-2</v>
      </c>
      <c r="P1767">
        <v>273.4500122</v>
      </c>
      <c r="Q1767">
        <f t="shared" si="304"/>
        <v>2.0154573554205246E-3</v>
      </c>
      <c r="R1767">
        <v>947.29998780000005</v>
      </c>
      <c r="S1767">
        <f t="shared" si="305"/>
        <v>-1.7985835444094267E-2</v>
      </c>
      <c r="T1767">
        <v>4652.4501950000003</v>
      </c>
      <c r="U1767">
        <f t="shared" si="306"/>
        <v>1.205129210036926E-2</v>
      </c>
      <c r="W1767">
        <f t="shared" si="307"/>
        <v>-2.6667612863105041E-3</v>
      </c>
      <c r="X1767">
        <v>2.136965546422076E-2</v>
      </c>
    </row>
    <row r="1768" spans="1:24" x14ac:dyDescent="0.35">
      <c r="A1768" s="1">
        <v>45428</v>
      </c>
      <c r="B1768">
        <v>2850.6999510000001</v>
      </c>
      <c r="C1768">
        <f t="shared" si="297"/>
        <v>6.4076191721336162E-3</v>
      </c>
      <c r="D1768">
        <v>3900.9499510000001</v>
      </c>
      <c r="E1768">
        <f t="shared" si="298"/>
        <v>5.2958585504057076E-3</v>
      </c>
      <c r="F1768">
        <v>1460.25</v>
      </c>
      <c r="G1768">
        <f t="shared" si="299"/>
        <v>1.5119916579770631E-2</v>
      </c>
      <c r="H1768">
        <v>1345.099976</v>
      </c>
      <c r="I1768">
        <f t="shared" si="300"/>
        <v>2.6872243190370293E-2</v>
      </c>
      <c r="J1768">
        <v>1453.349976</v>
      </c>
      <c r="K1768">
        <f t="shared" si="301"/>
        <v>2.3521973416371411E-2</v>
      </c>
      <c r="L1768">
        <v>431.4500122</v>
      </c>
      <c r="M1768">
        <f t="shared" si="302"/>
        <v>8.5320815897413915E-3</v>
      </c>
      <c r="N1768">
        <v>1536.3000489999999</v>
      </c>
      <c r="O1768">
        <f t="shared" si="303"/>
        <v>5.8269116538915977E-3</v>
      </c>
      <c r="P1768">
        <v>277.64999390000003</v>
      </c>
      <c r="Q1768">
        <f t="shared" si="304"/>
        <v>1.5359230252760758E-2</v>
      </c>
      <c r="R1768">
        <v>936.40002440000001</v>
      </c>
      <c r="S1768">
        <f t="shared" si="305"/>
        <v>-1.1506348084426743E-2</v>
      </c>
      <c r="T1768">
        <v>4671.25</v>
      </c>
      <c r="U1768">
        <f t="shared" si="306"/>
        <v>4.0408396032274307E-3</v>
      </c>
      <c r="W1768">
        <f t="shared" si="307"/>
        <v>9.9470325924246091E-3</v>
      </c>
      <c r="X1768">
        <v>2.1580910477816056E-2</v>
      </c>
    </row>
    <row r="1769" spans="1:24" x14ac:dyDescent="0.35">
      <c r="A1769" s="1">
        <v>45429</v>
      </c>
      <c r="B1769">
        <v>2871.3999020000001</v>
      </c>
      <c r="C1769">
        <f t="shared" si="297"/>
        <v>7.261357335323515E-3</v>
      </c>
      <c r="D1769">
        <v>3834.1000979999999</v>
      </c>
      <c r="E1769">
        <f t="shared" si="298"/>
        <v>-1.7136813811944318E-2</v>
      </c>
      <c r="F1769">
        <v>1464.099976</v>
      </c>
      <c r="G1769">
        <f t="shared" si="299"/>
        <v>2.6365184043828371E-3</v>
      </c>
      <c r="H1769">
        <v>1344.4499510000001</v>
      </c>
      <c r="I1769">
        <f t="shared" si="300"/>
        <v>-4.8325404177984588E-4</v>
      </c>
      <c r="J1769">
        <v>1444.3000489999999</v>
      </c>
      <c r="K1769">
        <f t="shared" si="301"/>
        <v>-6.2269426837627817E-3</v>
      </c>
      <c r="L1769">
        <v>436.2999878</v>
      </c>
      <c r="M1769">
        <f t="shared" si="302"/>
        <v>1.1241106647023935E-2</v>
      </c>
      <c r="N1769">
        <v>1531.400024</v>
      </c>
      <c r="O1769">
        <f t="shared" si="303"/>
        <v>-3.1894973922506065E-3</v>
      </c>
      <c r="P1769">
        <v>277.4500122</v>
      </c>
      <c r="Q1769">
        <f t="shared" si="304"/>
        <v>-7.202654579278045E-4</v>
      </c>
      <c r="R1769">
        <v>945.70001219999995</v>
      </c>
      <c r="S1769">
        <f t="shared" si="305"/>
        <v>9.9316398522724114E-3</v>
      </c>
      <c r="T1769">
        <v>4682.8999020000001</v>
      </c>
      <c r="U1769">
        <f t="shared" si="306"/>
        <v>2.4939581482472661E-3</v>
      </c>
      <c r="W1769">
        <f t="shared" si="307"/>
        <v>5.8078069995846091E-4</v>
      </c>
      <c r="X1769">
        <v>2.1694107134197251E-2</v>
      </c>
    </row>
    <row r="1770" spans="1:24" x14ac:dyDescent="0.35">
      <c r="A1770" s="1">
        <v>45433</v>
      </c>
      <c r="B1770">
        <v>2872.25</v>
      </c>
      <c r="C1770">
        <f t="shared" si="297"/>
        <v>2.9605698579548978E-4</v>
      </c>
      <c r="D1770">
        <v>3820.1999510000001</v>
      </c>
      <c r="E1770">
        <f t="shared" si="298"/>
        <v>-3.6254001316372575E-3</v>
      </c>
      <c r="F1770">
        <v>1458.8000489999999</v>
      </c>
      <c r="G1770">
        <f t="shared" si="299"/>
        <v>-3.6199215127915574E-3</v>
      </c>
      <c r="H1770">
        <v>1344.3000489999999</v>
      </c>
      <c r="I1770">
        <f t="shared" si="300"/>
        <v>-1.1149689870459945E-4</v>
      </c>
      <c r="J1770">
        <v>1434.150024</v>
      </c>
      <c r="K1770">
        <f t="shared" si="301"/>
        <v>-7.0276429105070592E-3</v>
      </c>
      <c r="L1770">
        <v>434.7999878</v>
      </c>
      <c r="M1770">
        <f t="shared" si="302"/>
        <v>-3.438001471335328E-3</v>
      </c>
      <c r="N1770">
        <v>1540.9499510000001</v>
      </c>
      <c r="O1770">
        <f t="shared" si="303"/>
        <v>6.2360760417488059E-3</v>
      </c>
      <c r="P1770">
        <v>280.10000609999997</v>
      </c>
      <c r="Q1770">
        <f t="shared" si="304"/>
        <v>9.5512480932591348E-3</v>
      </c>
      <c r="R1770">
        <v>951.29998780000005</v>
      </c>
      <c r="S1770">
        <f t="shared" si="305"/>
        <v>5.9215137229118309E-3</v>
      </c>
      <c r="T1770">
        <v>4705.8999020000001</v>
      </c>
      <c r="U1770">
        <f t="shared" si="306"/>
        <v>4.9114865748416392E-3</v>
      </c>
      <c r="W1770">
        <f t="shared" si="307"/>
        <v>9.0939184935810995E-4</v>
      </c>
      <c r="X1770">
        <v>2.1763568470730087E-2</v>
      </c>
    </row>
    <row r="1771" spans="1:24" x14ac:dyDescent="0.35">
      <c r="A1771" s="1">
        <v>45434</v>
      </c>
      <c r="B1771">
        <v>2921.3000489999999</v>
      </c>
      <c r="C1771">
        <f t="shared" si="297"/>
        <v>1.7077221342153281E-2</v>
      </c>
      <c r="D1771">
        <v>3832</v>
      </c>
      <c r="E1771">
        <f t="shared" si="298"/>
        <v>3.0888563822193404E-3</v>
      </c>
      <c r="F1771">
        <v>1459.1999510000001</v>
      </c>
      <c r="G1771">
        <f t="shared" si="299"/>
        <v>2.741307832243578E-4</v>
      </c>
      <c r="H1771">
        <v>1347.900024</v>
      </c>
      <c r="I1771">
        <f t="shared" si="300"/>
        <v>2.677954971940899E-3</v>
      </c>
      <c r="J1771">
        <v>1454.8000489999999</v>
      </c>
      <c r="K1771">
        <f t="shared" si="301"/>
        <v>1.4398789983215865E-2</v>
      </c>
      <c r="L1771">
        <v>439.89999390000003</v>
      </c>
      <c r="M1771">
        <f t="shared" si="302"/>
        <v>1.1729545177324052E-2</v>
      </c>
      <c r="N1771">
        <v>1539.3000489999999</v>
      </c>
      <c r="O1771">
        <f t="shared" si="303"/>
        <v>-1.0707044696224299E-3</v>
      </c>
      <c r="P1771">
        <v>278</v>
      </c>
      <c r="Q1771">
        <f t="shared" si="304"/>
        <v>-7.4973439995221769E-3</v>
      </c>
      <c r="R1771">
        <v>947.5</v>
      </c>
      <c r="S1771">
        <f t="shared" si="305"/>
        <v>-3.9945210225303951E-3</v>
      </c>
      <c r="T1771">
        <v>4798.7998049999997</v>
      </c>
      <c r="U1771">
        <f t="shared" si="306"/>
        <v>1.9741155769275265E-2</v>
      </c>
      <c r="W1771">
        <f t="shared" si="307"/>
        <v>5.6425084917678054E-3</v>
      </c>
      <c r="X1771">
        <v>2.1796378811309816E-2</v>
      </c>
    </row>
    <row r="1772" spans="1:24" x14ac:dyDescent="0.35">
      <c r="A1772" s="1">
        <v>45435</v>
      </c>
      <c r="B1772">
        <v>2972.1000979999999</v>
      </c>
      <c r="C1772">
        <f t="shared" si="297"/>
        <v>1.738953484678496E-2</v>
      </c>
      <c r="D1772">
        <v>3893.4499510000001</v>
      </c>
      <c r="E1772">
        <f t="shared" si="298"/>
        <v>1.6035999739039575E-2</v>
      </c>
      <c r="F1772">
        <v>1492.599976</v>
      </c>
      <c r="G1772">
        <f t="shared" si="299"/>
        <v>2.2889272287263118E-2</v>
      </c>
      <c r="H1772">
        <v>1374.0500489999999</v>
      </c>
      <c r="I1772">
        <f t="shared" si="300"/>
        <v>1.9400567204085117E-2</v>
      </c>
      <c r="J1772">
        <v>1472.400024</v>
      </c>
      <c r="K1772">
        <f t="shared" si="301"/>
        <v>1.2097865278529518E-2</v>
      </c>
      <c r="L1772">
        <v>441.35000609999997</v>
      </c>
      <c r="M1772">
        <f t="shared" si="302"/>
        <v>3.2962314619389144E-3</v>
      </c>
      <c r="N1772">
        <v>1495.099976</v>
      </c>
      <c r="O1772">
        <f t="shared" si="303"/>
        <v>-2.8714397188978391E-2</v>
      </c>
      <c r="P1772">
        <v>283.4500122</v>
      </c>
      <c r="Q1772">
        <f t="shared" si="304"/>
        <v>1.9604360431654699E-2</v>
      </c>
      <c r="R1772">
        <v>962.34997559999999</v>
      </c>
      <c r="S1772">
        <f t="shared" si="305"/>
        <v>1.5672797467018551E-2</v>
      </c>
      <c r="T1772">
        <v>4793.5498049999997</v>
      </c>
      <c r="U1772">
        <f t="shared" si="306"/>
        <v>-1.0940235503322793E-3</v>
      </c>
      <c r="W1772">
        <f t="shared" si="307"/>
        <v>9.6578207977003772E-3</v>
      </c>
      <c r="X1772">
        <v>2.1836854011973248E-2</v>
      </c>
    </row>
    <row r="1773" spans="1:24" x14ac:dyDescent="0.35">
      <c r="A1773" s="1">
        <v>45436</v>
      </c>
      <c r="B1773">
        <v>2960.5</v>
      </c>
      <c r="C1773">
        <f t="shared" si="297"/>
        <v>-3.9029970786670365E-3</v>
      </c>
      <c r="D1773">
        <v>3849.5</v>
      </c>
      <c r="E1773">
        <f t="shared" si="298"/>
        <v>-1.1288176694993046E-2</v>
      </c>
      <c r="F1773">
        <v>1517.1999510000001</v>
      </c>
      <c r="G1773">
        <f t="shared" si="299"/>
        <v>1.6481291300784573E-2</v>
      </c>
      <c r="H1773">
        <v>1388.5</v>
      </c>
      <c r="I1773">
        <f t="shared" si="300"/>
        <v>1.0516320719551997E-2</v>
      </c>
      <c r="J1773">
        <v>1465.099976</v>
      </c>
      <c r="K1773">
        <f t="shared" si="301"/>
        <v>-4.9579243962305508E-3</v>
      </c>
      <c r="L1773">
        <v>436.2000122</v>
      </c>
      <c r="M1773">
        <f t="shared" si="302"/>
        <v>-1.1668729644999876E-2</v>
      </c>
      <c r="N1773">
        <v>1486.6999510000001</v>
      </c>
      <c r="O1773">
        <f t="shared" si="303"/>
        <v>-5.6183700988835517E-3</v>
      </c>
      <c r="P1773">
        <v>283.25</v>
      </c>
      <c r="Q1773">
        <f t="shared" si="304"/>
        <v>-7.0563482586438742E-4</v>
      </c>
      <c r="R1773">
        <v>960.54998780000005</v>
      </c>
      <c r="S1773">
        <f t="shared" si="305"/>
        <v>-1.8704087344915132E-3</v>
      </c>
      <c r="T1773">
        <v>4684.5</v>
      </c>
      <c r="U1773">
        <f t="shared" si="306"/>
        <v>-2.2749279643710651E-2</v>
      </c>
      <c r="W1773">
        <f t="shared" si="307"/>
        <v>-3.5763909097504044E-3</v>
      </c>
      <c r="X1773">
        <v>2.2028777996194262E-2</v>
      </c>
    </row>
    <row r="1774" spans="1:24" x14ac:dyDescent="0.35">
      <c r="A1774" s="1">
        <v>45439</v>
      </c>
      <c r="B1774">
        <v>2932.5</v>
      </c>
      <c r="C1774">
        <f t="shared" si="297"/>
        <v>-9.4578618476608423E-3</v>
      </c>
      <c r="D1774">
        <v>3847.0500489999999</v>
      </c>
      <c r="E1774">
        <f t="shared" si="298"/>
        <v>-6.3643356280040919E-4</v>
      </c>
      <c r="F1774">
        <v>1527.6999510000001</v>
      </c>
      <c r="G1774">
        <f t="shared" si="299"/>
        <v>6.9206435137829647E-3</v>
      </c>
      <c r="H1774">
        <v>1384.349976</v>
      </c>
      <c r="I1774">
        <f t="shared" si="300"/>
        <v>-2.9888541591646112E-3</v>
      </c>
      <c r="J1774">
        <v>1471.349976</v>
      </c>
      <c r="K1774">
        <f t="shared" si="301"/>
        <v>4.265920484869401E-3</v>
      </c>
      <c r="L1774">
        <v>431.5</v>
      </c>
      <c r="M1774">
        <f t="shared" si="302"/>
        <v>-1.0774901578510354E-2</v>
      </c>
      <c r="N1774">
        <v>1466.0500489999999</v>
      </c>
      <c r="O1774">
        <f t="shared" si="303"/>
        <v>-1.3889757638123501E-2</v>
      </c>
      <c r="P1774">
        <v>277.64999390000003</v>
      </c>
      <c r="Q1774">
        <f t="shared" si="304"/>
        <v>-1.9770542277140257E-2</v>
      </c>
      <c r="R1774">
        <v>958.5</v>
      </c>
      <c r="S1774">
        <f t="shared" si="305"/>
        <v>-2.1341812774317015E-3</v>
      </c>
      <c r="T1774">
        <v>4537.3500979999999</v>
      </c>
      <c r="U1774">
        <f t="shared" si="306"/>
        <v>-3.1412082826342225E-2</v>
      </c>
      <c r="W1774">
        <f t="shared" si="307"/>
        <v>-7.9878051168521536E-3</v>
      </c>
      <c r="X1774">
        <v>2.2212174966645671E-2</v>
      </c>
    </row>
    <row r="1775" spans="1:24" x14ac:dyDescent="0.35">
      <c r="A1775" s="1">
        <v>45440</v>
      </c>
      <c r="B1775">
        <v>2912.3999020000001</v>
      </c>
      <c r="C1775">
        <f t="shared" si="297"/>
        <v>-6.854253367433838E-3</v>
      </c>
      <c r="D1775">
        <v>3839.8999020000001</v>
      </c>
      <c r="E1775">
        <f t="shared" si="298"/>
        <v>-1.8586051413234106E-3</v>
      </c>
      <c r="F1775">
        <v>1530.5</v>
      </c>
      <c r="G1775">
        <f t="shared" si="299"/>
        <v>1.8328527131044048E-3</v>
      </c>
      <c r="H1775">
        <v>1371.0500489999999</v>
      </c>
      <c r="I1775">
        <f t="shared" si="300"/>
        <v>-9.6073444075387426E-3</v>
      </c>
      <c r="J1775">
        <v>1467.0500489999999</v>
      </c>
      <c r="K1775">
        <f t="shared" si="301"/>
        <v>-2.9224365855429202E-3</v>
      </c>
      <c r="L1775">
        <v>429</v>
      </c>
      <c r="M1775">
        <f t="shared" si="302"/>
        <v>-5.7937427578215184E-3</v>
      </c>
      <c r="N1775">
        <v>1464.900024</v>
      </c>
      <c r="O1775">
        <f t="shared" si="303"/>
        <v>-7.8443774875514016E-4</v>
      </c>
      <c r="P1775">
        <v>274.2999878</v>
      </c>
      <c r="Q1775">
        <f t="shared" si="304"/>
        <v>-1.2065572388258672E-2</v>
      </c>
      <c r="R1775">
        <v>947.54998780000005</v>
      </c>
      <c r="S1775">
        <f t="shared" si="305"/>
        <v>-1.1424112884715676E-2</v>
      </c>
      <c r="T1775">
        <v>4474.4501950000003</v>
      </c>
      <c r="U1775">
        <f t="shared" si="306"/>
        <v>-1.3862695547281034E-2</v>
      </c>
      <c r="W1775">
        <f t="shared" si="307"/>
        <v>-6.3340348115566549E-3</v>
      </c>
      <c r="X1775">
        <v>2.2370820190572092E-2</v>
      </c>
    </row>
    <row r="1776" spans="1:24" x14ac:dyDescent="0.35">
      <c r="A1776" s="1">
        <v>45441</v>
      </c>
      <c r="B1776">
        <v>2881.5500489999999</v>
      </c>
      <c r="C1776">
        <f t="shared" si="297"/>
        <v>-1.0592588256446156E-2</v>
      </c>
      <c r="D1776">
        <v>3803.6499020000001</v>
      </c>
      <c r="E1776">
        <f t="shared" si="298"/>
        <v>-9.4403502500467473E-3</v>
      </c>
      <c r="F1776">
        <v>1508.3000489999999</v>
      </c>
      <c r="G1776">
        <f t="shared" si="299"/>
        <v>-1.4505031688990533E-2</v>
      </c>
      <c r="H1776">
        <v>1377.099976</v>
      </c>
      <c r="I1776">
        <f t="shared" si="300"/>
        <v>4.4126230143186618E-3</v>
      </c>
      <c r="J1776">
        <v>1450.9499510000001</v>
      </c>
      <c r="K1776">
        <f t="shared" si="301"/>
        <v>-1.0974470851198515E-2</v>
      </c>
      <c r="L1776">
        <v>430.9500122</v>
      </c>
      <c r="M1776">
        <f t="shared" si="302"/>
        <v>4.545482983683069E-3</v>
      </c>
      <c r="N1776">
        <v>1478.9499510000001</v>
      </c>
      <c r="O1776">
        <f t="shared" si="303"/>
        <v>9.5910483786025846E-3</v>
      </c>
      <c r="P1776">
        <v>271.85000609999997</v>
      </c>
      <c r="Q1776">
        <f t="shared" si="304"/>
        <v>-8.9317601493529297E-3</v>
      </c>
      <c r="R1776">
        <v>943.59997559999999</v>
      </c>
      <c r="S1776">
        <f t="shared" si="305"/>
        <v>-4.1686583830485846E-3</v>
      </c>
      <c r="T1776">
        <v>4476.8500979999999</v>
      </c>
      <c r="U1776">
        <f t="shared" si="306"/>
        <v>5.3635707079302541E-4</v>
      </c>
      <c r="W1776">
        <f t="shared" si="307"/>
        <v>-3.9527348131686117E-3</v>
      </c>
      <c r="X1776">
        <v>2.262247764331116E-2</v>
      </c>
    </row>
    <row r="1777" spans="1:24" x14ac:dyDescent="0.35">
      <c r="A1777" s="1">
        <v>45442</v>
      </c>
      <c r="B1777">
        <v>2849.6999510000001</v>
      </c>
      <c r="C1777">
        <f t="shared" si="297"/>
        <v>-1.1053112893545936E-2</v>
      </c>
      <c r="D1777">
        <v>3736.1000979999999</v>
      </c>
      <c r="E1777">
        <f t="shared" si="298"/>
        <v>-1.7759206483352163E-2</v>
      </c>
      <c r="F1777">
        <v>1514.849976</v>
      </c>
      <c r="G1777">
        <f t="shared" si="299"/>
        <v>4.3425888664145873E-3</v>
      </c>
      <c r="H1777">
        <v>1377.150024</v>
      </c>
      <c r="I1777">
        <f t="shared" si="300"/>
        <v>3.6343040354491762E-5</v>
      </c>
      <c r="J1777">
        <v>1427.4499510000001</v>
      </c>
      <c r="K1777">
        <f t="shared" si="301"/>
        <v>-1.6196285739424554E-2</v>
      </c>
      <c r="L1777">
        <v>423.85000609999997</v>
      </c>
      <c r="M1777">
        <f t="shared" si="302"/>
        <v>-1.6475242833280168E-2</v>
      </c>
      <c r="N1777">
        <v>1459.099976</v>
      </c>
      <c r="O1777">
        <f t="shared" si="303"/>
        <v>-1.3421667843849905E-2</v>
      </c>
      <c r="P1777">
        <v>266.7000122</v>
      </c>
      <c r="Q1777">
        <f t="shared" si="304"/>
        <v>-1.8944247873606934E-2</v>
      </c>
      <c r="R1777">
        <v>923.95001219999995</v>
      </c>
      <c r="S1777">
        <f t="shared" si="305"/>
        <v>-2.0824463658453807E-2</v>
      </c>
      <c r="T1777">
        <v>4444.9501950000003</v>
      </c>
      <c r="U1777">
        <f t="shared" si="306"/>
        <v>-7.1255240407201992E-3</v>
      </c>
      <c r="W1777">
        <f t="shared" si="307"/>
        <v>-1.1742081945946461E-2</v>
      </c>
      <c r="X1777">
        <v>2.2778630395073177E-2</v>
      </c>
    </row>
    <row r="1778" spans="1:24" x14ac:dyDescent="0.35">
      <c r="A1778" s="1">
        <v>45443</v>
      </c>
      <c r="B1778">
        <v>2860.8000489999999</v>
      </c>
      <c r="C1778">
        <f t="shared" si="297"/>
        <v>3.8951813141256952E-3</v>
      </c>
      <c r="D1778">
        <v>3670.9499510000001</v>
      </c>
      <c r="E1778">
        <f t="shared" si="298"/>
        <v>-1.7438008964180574E-2</v>
      </c>
      <c r="F1778">
        <v>1531.5500489999999</v>
      </c>
      <c r="G1778">
        <f t="shared" si="299"/>
        <v>1.1024242178817589E-2</v>
      </c>
      <c r="H1778">
        <v>1372.75</v>
      </c>
      <c r="I1778">
        <f t="shared" si="300"/>
        <v>-3.1950215469044307E-3</v>
      </c>
      <c r="J1778">
        <v>1406.900024</v>
      </c>
      <c r="K1778">
        <f t="shared" si="301"/>
        <v>-1.4396250450394943E-2</v>
      </c>
      <c r="L1778">
        <v>426.4500122</v>
      </c>
      <c r="M1778">
        <f t="shared" si="302"/>
        <v>6.1342599093572314E-3</v>
      </c>
      <c r="N1778">
        <v>1459.8000489999999</v>
      </c>
      <c r="O1778">
        <f t="shared" si="303"/>
        <v>4.7979782846629959E-4</v>
      </c>
      <c r="P1778">
        <v>264.35000609999997</v>
      </c>
      <c r="Q1778">
        <f t="shared" si="304"/>
        <v>-8.8114210442470364E-3</v>
      </c>
      <c r="R1778">
        <v>923</v>
      </c>
      <c r="S1778">
        <f t="shared" si="305"/>
        <v>-1.0282073569519712E-3</v>
      </c>
      <c r="T1778">
        <v>4302.1499020000001</v>
      </c>
      <c r="U1778">
        <f t="shared" si="306"/>
        <v>-3.2126410136300798E-2</v>
      </c>
      <c r="W1778">
        <f t="shared" si="307"/>
        <v>-5.5461838268212943E-3</v>
      </c>
      <c r="X1778">
        <v>2.3323797612939481E-2</v>
      </c>
    </row>
    <row r="1779" spans="1:24" x14ac:dyDescent="0.35">
      <c r="A1779" s="1">
        <v>45446</v>
      </c>
      <c r="B1779">
        <v>3020.6499020000001</v>
      </c>
      <c r="C1779">
        <f t="shared" si="297"/>
        <v>5.5875926405928311E-2</v>
      </c>
      <c r="D1779">
        <v>3702.8500979999999</v>
      </c>
      <c r="E1779">
        <f t="shared" si="298"/>
        <v>8.6898888368962535E-3</v>
      </c>
      <c r="F1779">
        <v>1572.1999510000001</v>
      </c>
      <c r="G1779">
        <f t="shared" si="299"/>
        <v>2.6541673924754816E-2</v>
      </c>
      <c r="H1779">
        <v>1391.099976</v>
      </c>
      <c r="I1779">
        <f t="shared" si="300"/>
        <v>1.3367310872336446E-2</v>
      </c>
      <c r="J1779">
        <v>1405.900024</v>
      </c>
      <c r="K1779">
        <f t="shared" si="301"/>
        <v>-7.1078255948631153E-4</v>
      </c>
      <c r="L1779">
        <v>430.35000609999997</v>
      </c>
      <c r="M1779">
        <f t="shared" si="302"/>
        <v>9.1452545161867516E-3</v>
      </c>
      <c r="N1779">
        <v>1453.0500489999999</v>
      </c>
      <c r="O1779">
        <f t="shared" si="303"/>
        <v>-4.6239209298725159E-3</v>
      </c>
      <c r="P1779">
        <v>284.10000609999997</v>
      </c>
      <c r="Q1779">
        <f t="shared" si="304"/>
        <v>7.4711554924378643E-2</v>
      </c>
      <c r="R1779">
        <v>950.45001219999995</v>
      </c>
      <c r="S1779">
        <f t="shared" si="305"/>
        <v>2.9739991549295741E-2</v>
      </c>
      <c r="T1779">
        <v>4349.3500979999999</v>
      </c>
      <c r="U1779">
        <f t="shared" si="306"/>
        <v>1.0971304365302803E-2</v>
      </c>
      <c r="W1779">
        <f t="shared" si="307"/>
        <v>2.2370820190572092E-2</v>
      </c>
      <c r="X1779">
        <v>2.3342065122929301E-2</v>
      </c>
    </row>
    <row r="1780" spans="1:24" x14ac:dyDescent="0.35">
      <c r="A1780" s="1">
        <v>45447</v>
      </c>
      <c r="B1780">
        <v>2794.5500489999999</v>
      </c>
      <c r="C1780">
        <f t="shared" si="297"/>
        <v>-7.4851393023169455E-2</v>
      </c>
      <c r="D1780">
        <v>3715</v>
      </c>
      <c r="E1780">
        <f t="shared" si="298"/>
        <v>3.2812297766422471E-3</v>
      </c>
      <c r="F1780">
        <v>1483.150024</v>
      </c>
      <c r="G1780">
        <f t="shared" si="299"/>
        <v>-5.6640331875954852E-2</v>
      </c>
      <c r="H1780">
        <v>1299.6999510000001</v>
      </c>
      <c r="I1780">
        <f t="shared" si="300"/>
        <v>-6.5703419291842424E-2</v>
      </c>
      <c r="J1780">
        <v>1393.650024</v>
      </c>
      <c r="K1780">
        <f t="shared" si="301"/>
        <v>-8.7132796008828617E-3</v>
      </c>
      <c r="L1780">
        <v>415.2000122</v>
      </c>
      <c r="M1780">
        <f t="shared" si="302"/>
        <v>-3.520388912572614E-2</v>
      </c>
      <c r="N1780">
        <v>1429.849976</v>
      </c>
      <c r="O1780">
        <f t="shared" si="303"/>
        <v>-1.5966465171634248E-2</v>
      </c>
      <c r="P1780">
        <v>236.3000031</v>
      </c>
      <c r="Q1780">
        <f t="shared" si="304"/>
        <v>-0.1682506229273889</v>
      </c>
      <c r="R1780">
        <v>903.90002440000001</v>
      </c>
      <c r="S1780">
        <f t="shared" si="305"/>
        <v>-4.8976786998246258E-2</v>
      </c>
      <c r="T1780">
        <v>4548.75</v>
      </c>
      <c r="U1780">
        <f t="shared" si="306"/>
        <v>4.584590743607686E-2</v>
      </c>
      <c r="W1780">
        <f t="shared" si="307"/>
        <v>-4.2517905080212602E-2</v>
      </c>
      <c r="X1780">
        <v>2.4479735656827241E-2</v>
      </c>
    </row>
    <row r="1781" spans="1:24" x14ac:dyDescent="0.35">
      <c r="A1781" s="1">
        <v>45448</v>
      </c>
      <c r="B1781">
        <v>2841.5</v>
      </c>
      <c r="C1781">
        <f t="shared" si="297"/>
        <v>1.6800540400699004E-2</v>
      </c>
      <c r="D1781">
        <v>3746.4499510000001</v>
      </c>
      <c r="E1781">
        <f t="shared" si="298"/>
        <v>8.4656664872140297E-3</v>
      </c>
      <c r="F1781">
        <v>1551.8000489999999</v>
      </c>
      <c r="G1781">
        <f t="shared" si="299"/>
        <v>4.6286635801584985E-2</v>
      </c>
      <c r="H1781">
        <v>1344.349976</v>
      </c>
      <c r="I1781">
        <f t="shared" si="300"/>
        <v>3.435410224155655E-2</v>
      </c>
      <c r="J1781">
        <v>1430.099976</v>
      </c>
      <c r="K1781">
        <f t="shared" si="301"/>
        <v>2.6154308020160499E-2</v>
      </c>
      <c r="L1781">
        <v>430.2999878</v>
      </c>
      <c r="M1781">
        <f t="shared" si="302"/>
        <v>3.6367955578783473E-2</v>
      </c>
      <c r="N1781">
        <v>1487.3000489999999</v>
      </c>
      <c r="O1781">
        <f t="shared" si="303"/>
        <v>4.0179091488126817E-2</v>
      </c>
      <c r="P1781">
        <v>247.5</v>
      </c>
      <c r="Q1781">
        <f t="shared" si="304"/>
        <v>4.7397362475954941E-2</v>
      </c>
      <c r="R1781">
        <v>929.95001219999995</v>
      </c>
      <c r="S1781">
        <f t="shared" si="305"/>
        <v>2.8819545410778913E-2</v>
      </c>
      <c r="T1781">
        <v>4862.25</v>
      </c>
      <c r="U1781">
        <f t="shared" si="306"/>
        <v>6.8920032976092394E-2</v>
      </c>
      <c r="W1781">
        <f t="shared" si="307"/>
        <v>3.5374524088095161E-2</v>
      </c>
      <c r="X1781">
        <v>2.4834442798465084E-2</v>
      </c>
    </row>
    <row r="1782" spans="1:24" x14ac:dyDescent="0.35">
      <c r="A1782" s="1">
        <v>45449</v>
      </c>
      <c r="B1782">
        <v>2863.1999510000001</v>
      </c>
      <c r="C1782">
        <f t="shared" si="297"/>
        <v>7.6367942987858317E-3</v>
      </c>
      <c r="D1782">
        <v>3830.3999020000001</v>
      </c>
      <c r="E1782">
        <f t="shared" si="298"/>
        <v>2.240786667324679E-2</v>
      </c>
      <c r="F1782">
        <v>1559.6999510000001</v>
      </c>
      <c r="G1782">
        <f t="shared" si="299"/>
        <v>5.0907989112971563E-3</v>
      </c>
      <c r="H1782">
        <v>1370.599976</v>
      </c>
      <c r="I1782">
        <f t="shared" si="300"/>
        <v>1.95261654097727E-2</v>
      </c>
      <c r="J1782">
        <v>1472.25</v>
      </c>
      <c r="K1782">
        <f t="shared" si="301"/>
        <v>2.9473480670836771E-2</v>
      </c>
      <c r="L1782">
        <v>435.39999390000003</v>
      </c>
      <c r="M1782">
        <f t="shared" si="302"/>
        <v>1.1852210654420103E-2</v>
      </c>
      <c r="N1782">
        <v>1472.6999510000001</v>
      </c>
      <c r="O1782">
        <f t="shared" si="303"/>
        <v>-9.8165114764948713E-3</v>
      </c>
      <c r="P1782">
        <v>252.3000031</v>
      </c>
      <c r="Q1782">
        <f t="shared" si="304"/>
        <v>1.939395191919191E-2</v>
      </c>
      <c r="R1782">
        <v>938.25</v>
      </c>
      <c r="S1782">
        <f t="shared" si="305"/>
        <v>8.925197796776807E-3</v>
      </c>
      <c r="T1782">
        <v>4687.0498049999997</v>
      </c>
      <c r="U1782">
        <f t="shared" si="306"/>
        <v>-3.6032741014962233E-2</v>
      </c>
      <c r="W1782">
        <f t="shared" si="307"/>
        <v>7.8457213842870986E-3</v>
      </c>
      <c r="X1782">
        <v>2.4962938391041047E-2</v>
      </c>
    </row>
    <row r="1783" spans="1:24" x14ac:dyDescent="0.35">
      <c r="A1783" s="1">
        <v>45450</v>
      </c>
      <c r="B1783">
        <v>2939.8999020000001</v>
      </c>
      <c r="C1783">
        <f t="shared" si="297"/>
        <v>2.6788192341653305E-2</v>
      </c>
      <c r="D1783">
        <v>3893.9499510000001</v>
      </c>
      <c r="E1783">
        <f t="shared" si="298"/>
        <v>1.6590969774936015E-2</v>
      </c>
      <c r="F1783">
        <v>1573.349976</v>
      </c>
      <c r="G1783">
        <f t="shared" si="299"/>
        <v>8.7516993196339321E-3</v>
      </c>
      <c r="H1783">
        <v>1425.25</v>
      </c>
      <c r="I1783">
        <f t="shared" si="300"/>
        <v>3.9873066508794519E-2</v>
      </c>
      <c r="J1783">
        <v>1533.599976</v>
      </c>
      <c r="K1783">
        <f t="shared" si="301"/>
        <v>4.1670895568008071E-2</v>
      </c>
      <c r="L1783">
        <v>439.14999390000003</v>
      </c>
      <c r="M1783">
        <f t="shared" si="302"/>
        <v>8.6127699874549712E-3</v>
      </c>
      <c r="N1783">
        <v>1506.849976</v>
      </c>
      <c r="O1783">
        <f t="shared" si="303"/>
        <v>2.3188718772490846E-2</v>
      </c>
      <c r="P1783">
        <v>260.39999390000003</v>
      </c>
      <c r="Q1783">
        <f t="shared" si="304"/>
        <v>3.210460047751007E-2</v>
      </c>
      <c r="R1783">
        <v>970.5</v>
      </c>
      <c r="S1783">
        <f t="shared" si="305"/>
        <v>3.4372501998401361E-2</v>
      </c>
      <c r="T1783">
        <v>4747.25</v>
      </c>
      <c r="U1783">
        <f t="shared" si="306"/>
        <v>1.2843941819389304E-2</v>
      </c>
      <c r="W1783">
        <f t="shared" si="307"/>
        <v>2.4479735656827241E-2</v>
      </c>
      <c r="X1783">
        <v>2.5004479729765629E-2</v>
      </c>
    </row>
    <row r="1784" spans="1:24" x14ac:dyDescent="0.35">
      <c r="A1784" s="1">
        <v>45453</v>
      </c>
      <c r="B1784">
        <v>2942.8000489999999</v>
      </c>
      <c r="C1784">
        <f t="shared" si="297"/>
        <v>9.864781443840176E-4</v>
      </c>
      <c r="D1784">
        <v>3858.6999510000001</v>
      </c>
      <c r="E1784">
        <f t="shared" si="298"/>
        <v>-9.052504640165604E-3</v>
      </c>
      <c r="F1784">
        <v>1561.3000489999999</v>
      </c>
      <c r="G1784">
        <f t="shared" si="299"/>
        <v>-7.65877089256084E-3</v>
      </c>
      <c r="H1784">
        <v>1426.0500489999999</v>
      </c>
      <c r="I1784">
        <f t="shared" si="300"/>
        <v>5.613394141379402E-4</v>
      </c>
      <c r="J1784">
        <v>1499.75</v>
      </c>
      <c r="K1784">
        <f t="shared" si="301"/>
        <v>-2.2072233000608787E-2</v>
      </c>
      <c r="L1784">
        <v>436.89999390000003</v>
      </c>
      <c r="M1784">
        <f t="shared" si="302"/>
        <v>-5.123534171134092E-3</v>
      </c>
      <c r="N1784">
        <v>1513.099976</v>
      </c>
      <c r="O1784">
        <f t="shared" si="303"/>
        <v>4.1477254534594277E-3</v>
      </c>
      <c r="P1784">
        <v>259.14999390000003</v>
      </c>
      <c r="Q1784">
        <f t="shared" si="304"/>
        <v>-4.8003073321116752E-3</v>
      </c>
      <c r="R1784">
        <v>975.15002440000001</v>
      </c>
      <c r="S1784">
        <f t="shared" si="305"/>
        <v>4.7913698093766666E-3</v>
      </c>
      <c r="T1784">
        <v>4778.3999020000001</v>
      </c>
      <c r="U1784">
        <f t="shared" si="306"/>
        <v>6.5616729685606945E-3</v>
      </c>
      <c r="W1784">
        <f t="shared" si="307"/>
        <v>-3.1658764246662256E-3</v>
      </c>
      <c r="X1784">
        <v>2.6131268535269824E-2</v>
      </c>
    </row>
    <row r="1785" spans="1:24" x14ac:dyDescent="0.35">
      <c r="A1785" s="1">
        <v>45454</v>
      </c>
      <c r="B1785">
        <v>2913.3500979999999</v>
      </c>
      <c r="C1785">
        <f t="shared" si="297"/>
        <v>-1.0007459055876855E-2</v>
      </c>
      <c r="D1785">
        <v>3852.1000979999999</v>
      </c>
      <c r="E1785">
        <f t="shared" si="298"/>
        <v>-1.710382533964494E-3</v>
      </c>
      <c r="F1785">
        <v>1564.8000489999999</v>
      </c>
      <c r="G1785">
        <f t="shared" si="299"/>
        <v>2.2417215718668615E-3</v>
      </c>
      <c r="H1785">
        <v>1427.25</v>
      </c>
      <c r="I1785">
        <f t="shared" si="300"/>
        <v>8.4145083185660496E-4</v>
      </c>
      <c r="J1785">
        <v>1495.75</v>
      </c>
      <c r="K1785">
        <f t="shared" si="301"/>
        <v>-2.6671111851975793E-3</v>
      </c>
      <c r="L1785">
        <v>433</v>
      </c>
      <c r="M1785">
        <f t="shared" si="302"/>
        <v>-8.9265139721944609E-3</v>
      </c>
      <c r="N1785">
        <v>1499.75</v>
      </c>
      <c r="O1785">
        <f t="shared" si="303"/>
        <v>-8.8229305477167674E-3</v>
      </c>
      <c r="P1785">
        <v>273.5499878</v>
      </c>
      <c r="Q1785">
        <f t="shared" si="304"/>
        <v>5.556625212793409E-2</v>
      </c>
      <c r="R1785">
        <v>987.09997559999999</v>
      </c>
      <c r="S1785">
        <f t="shared" si="305"/>
        <v>1.2254474594668219E-2</v>
      </c>
      <c r="T1785">
        <v>4701.4501950000003</v>
      </c>
      <c r="U1785">
        <f t="shared" si="306"/>
        <v>-1.6103655737936928E-2</v>
      </c>
      <c r="W1785">
        <f t="shared" si="307"/>
        <v>2.2665846093438695E-3</v>
      </c>
      <c r="X1785">
        <v>2.6371992456627448E-2</v>
      </c>
    </row>
    <row r="1786" spans="1:24" x14ac:dyDescent="0.35">
      <c r="A1786" s="1">
        <v>45455</v>
      </c>
      <c r="B1786">
        <v>2926.6499020000001</v>
      </c>
      <c r="C1786">
        <f t="shared" si="297"/>
        <v>4.5651238445838516E-3</v>
      </c>
      <c r="D1786">
        <v>3831.6499020000001</v>
      </c>
      <c r="E1786">
        <f t="shared" si="298"/>
        <v>-5.3088433529070445E-3</v>
      </c>
      <c r="F1786">
        <v>1574.150024</v>
      </c>
      <c r="G1786">
        <f t="shared" si="299"/>
        <v>5.9751883353884594E-3</v>
      </c>
      <c r="H1786">
        <v>1438.400024</v>
      </c>
      <c r="I1786">
        <f t="shared" si="300"/>
        <v>7.8122431248905944E-3</v>
      </c>
      <c r="J1786">
        <v>1485.1999510000001</v>
      </c>
      <c r="K1786">
        <f t="shared" si="301"/>
        <v>-7.0533504930636592E-3</v>
      </c>
      <c r="L1786">
        <v>432.2999878</v>
      </c>
      <c r="M1786">
        <f t="shared" si="302"/>
        <v>-1.6166563510392473E-3</v>
      </c>
      <c r="N1786">
        <v>1506.849976</v>
      </c>
      <c r="O1786">
        <f t="shared" si="303"/>
        <v>4.7341063510584203E-3</v>
      </c>
      <c r="P1786">
        <v>275.5</v>
      </c>
      <c r="Q1786">
        <f t="shared" si="304"/>
        <v>7.128540621342383E-3</v>
      </c>
      <c r="R1786">
        <v>988.70001219999995</v>
      </c>
      <c r="S1786">
        <f t="shared" si="305"/>
        <v>1.6209468539671867E-3</v>
      </c>
      <c r="T1786">
        <v>4666.75</v>
      </c>
      <c r="U1786">
        <f t="shared" si="306"/>
        <v>-7.3807428688501542E-3</v>
      </c>
      <c r="W1786">
        <f t="shared" si="307"/>
        <v>1.0476556065370794E-3</v>
      </c>
      <c r="X1786">
        <v>2.7687429932835642E-2</v>
      </c>
    </row>
    <row r="1787" spans="1:24" x14ac:dyDescent="0.35">
      <c r="A1787" s="1">
        <v>45456</v>
      </c>
      <c r="B1787">
        <v>2930.5</v>
      </c>
      <c r="C1787">
        <f t="shared" si="297"/>
        <v>1.3155307703081043E-3</v>
      </c>
      <c r="D1787">
        <v>3878.1499020000001</v>
      </c>
      <c r="E1787">
        <f t="shared" si="298"/>
        <v>1.2135764276305139E-2</v>
      </c>
      <c r="F1787">
        <v>1580.75</v>
      </c>
      <c r="G1787">
        <f t="shared" si="299"/>
        <v>4.1927236282277569E-3</v>
      </c>
      <c r="H1787">
        <v>1425.75</v>
      </c>
      <c r="I1787">
        <f t="shared" si="300"/>
        <v>-8.7945104205587876E-3</v>
      </c>
      <c r="J1787">
        <v>1493.9499510000001</v>
      </c>
      <c r="K1787">
        <f t="shared" si="301"/>
        <v>5.8914626236747925E-3</v>
      </c>
      <c r="L1787">
        <v>430.2999878</v>
      </c>
      <c r="M1787">
        <f t="shared" si="302"/>
        <v>-4.626416970720082E-3</v>
      </c>
      <c r="N1787">
        <v>1510.8000489999999</v>
      </c>
      <c r="O1787">
        <f t="shared" si="303"/>
        <v>2.6214109320197299E-3</v>
      </c>
      <c r="P1787">
        <v>276.5499878</v>
      </c>
      <c r="Q1787">
        <f t="shared" si="304"/>
        <v>3.8112079854808467E-3</v>
      </c>
      <c r="R1787">
        <v>985.84997559999999</v>
      </c>
      <c r="S1787">
        <f t="shared" si="305"/>
        <v>-2.8826100584931069E-3</v>
      </c>
      <c r="T1787">
        <v>4656.6499020000001</v>
      </c>
      <c r="U1787">
        <f t="shared" si="306"/>
        <v>-2.1642680666416059E-3</v>
      </c>
      <c r="W1787">
        <f t="shared" si="307"/>
        <v>1.1500294699602789E-3</v>
      </c>
      <c r="X1787">
        <v>2.8838814414399908E-2</v>
      </c>
    </row>
    <row r="1788" spans="1:24" x14ac:dyDescent="0.35">
      <c r="A1788" s="1">
        <v>45457</v>
      </c>
      <c r="B1788">
        <v>2955.1000979999999</v>
      </c>
      <c r="C1788">
        <f t="shared" si="297"/>
        <v>8.3945053745093645E-3</v>
      </c>
      <c r="D1788">
        <v>3832.0500489999999</v>
      </c>
      <c r="E1788">
        <f t="shared" si="298"/>
        <v>-1.1887073518284108E-2</v>
      </c>
      <c r="F1788">
        <v>1596.900024</v>
      </c>
      <c r="G1788">
        <f t="shared" si="299"/>
        <v>1.0216684485212735E-2</v>
      </c>
      <c r="H1788">
        <v>1427.400024</v>
      </c>
      <c r="I1788">
        <f t="shared" si="300"/>
        <v>1.1573024723829928E-3</v>
      </c>
      <c r="J1788">
        <v>1488.900024</v>
      </c>
      <c r="K1788">
        <f t="shared" si="301"/>
        <v>-3.3802517926518894E-3</v>
      </c>
      <c r="L1788">
        <v>431.14999390000003</v>
      </c>
      <c r="M1788">
        <f t="shared" si="302"/>
        <v>1.9753802558672984E-3</v>
      </c>
      <c r="N1788">
        <v>1516</v>
      </c>
      <c r="O1788">
        <f t="shared" si="303"/>
        <v>3.4418525492119212E-3</v>
      </c>
      <c r="P1788">
        <v>275.39999390000003</v>
      </c>
      <c r="Q1788">
        <f t="shared" si="304"/>
        <v>-4.1583581657275159E-3</v>
      </c>
      <c r="R1788">
        <v>993.40002440000001</v>
      </c>
      <c r="S1788">
        <f t="shared" si="305"/>
        <v>7.6584155671404197E-3</v>
      </c>
      <c r="T1788">
        <v>4739.9501950000003</v>
      </c>
      <c r="U1788">
        <f t="shared" si="306"/>
        <v>1.7888459461859796E-2</v>
      </c>
      <c r="W1788">
        <f t="shared" si="307"/>
        <v>3.1306916689521017E-3</v>
      </c>
      <c r="X1788">
        <v>2.954995212415552E-2</v>
      </c>
    </row>
    <row r="1789" spans="1:24" x14ac:dyDescent="0.35">
      <c r="A1789" s="1">
        <v>45461</v>
      </c>
      <c r="B1789">
        <v>2962.0500489999999</v>
      </c>
      <c r="C1789">
        <f t="shared" si="297"/>
        <v>2.3518496056034177E-3</v>
      </c>
      <c r="D1789">
        <v>3815.1000979999999</v>
      </c>
      <c r="E1789">
        <f t="shared" si="298"/>
        <v>-4.4232071040990473E-3</v>
      </c>
      <c r="F1789">
        <v>1607.8000489999999</v>
      </c>
      <c r="G1789">
        <f t="shared" si="299"/>
        <v>6.8257403946283546E-3</v>
      </c>
      <c r="H1789">
        <v>1428.349976</v>
      </c>
      <c r="I1789">
        <f t="shared" si="300"/>
        <v>6.6551210874843392E-4</v>
      </c>
      <c r="J1789">
        <v>1498.1999510000001</v>
      </c>
      <c r="K1789">
        <f t="shared" si="301"/>
        <v>6.2461729129503762E-3</v>
      </c>
      <c r="L1789">
        <v>428.75</v>
      </c>
      <c r="M1789">
        <f t="shared" si="302"/>
        <v>-5.5664941063565676E-3</v>
      </c>
      <c r="N1789">
        <v>1520.9499510000001</v>
      </c>
      <c r="O1789">
        <f t="shared" si="303"/>
        <v>3.2651391820581743E-3</v>
      </c>
      <c r="P1789">
        <v>275.7999878</v>
      </c>
      <c r="Q1789">
        <f t="shared" si="304"/>
        <v>1.4524107075515325E-3</v>
      </c>
      <c r="R1789">
        <v>985.90002440000001</v>
      </c>
      <c r="S1789">
        <f t="shared" si="305"/>
        <v>-7.5498286851058971E-3</v>
      </c>
      <c r="T1789">
        <v>5039.2998049999997</v>
      </c>
      <c r="U1789">
        <f t="shared" si="306"/>
        <v>6.3154589749861101E-2</v>
      </c>
      <c r="W1789">
        <f t="shared" si="307"/>
        <v>6.6421884765839878E-3</v>
      </c>
      <c r="X1789">
        <v>3.4706138064976834E-2</v>
      </c>
    </row>
    <row r="1790" spans="1:24" x14ac:dyDescent="0.35">
      <c r="A1790" s="1">
        <v>45462</v>
      </c>
      <c r="B1790">
        <v>2917.3000489999999</v>
      </c>
      <c r="C1790">
        <f t="shared" si="297"/>
        <v>-1.5107779834816704E-2</v>
      </c>
      <c r="D1790">
        <v>3801.6999510000001</v>
      </c>
      <c r="E1790">
        <f t="shared" si="298"/>
        <v>-3.5123972257044001E-3</v>
      </c>
      <c r="F1790">
        <v>1657.849976</v>
      </c>
      <c r="G1790">
        <f t="shared" si="299"/>
        <v>3.1129447365752627E-2</v>
      </c>
      <c r="H1790">
        <v>1392.349976</v>
      </c>
      <c r="I1790">
        <f t="shared" si="300"/>
        <v>-2.5203907029015093E-2</v>
      </c>
      <c r="J1790">
        <v>1511.349976</v>
      </c>
      <c r="K1790">
        <f t="shared" si="301"/>
        <v>8.7772162795911601E-3</v>
      </c>
      <c r="L1790">
        <v>423.64999390000003</v>
      </c>
      <c r="M1790">
        <f t="shared" si="302"/>
        <v>-1.1895057959183664E-2</v>
      </c>
      <c r="N1790">
        <v>1504</v>
      </c>
      <c r="O1790">
        <f t="shared" si="303"/>
        <v>-1.1144318712693835E-2</v>
      </c>
      <c r="P1790">
        <v>271.5499878</v>
      </c>
      <c r="Q1790">
        <f t="shared" si="304"/>
        <v>-1.5409717868015038E-2</v>
      </c>
      <c r="R1790">
        <v>977.34997559999999</v>
      </c>
      <c r="S1790">
        <f t="shared" si="305"/>
        <v>-8.6723284191045913E-3</v>
      </c>
      <c r="T1790">
        <v>4933.8999020000001</v>
      </c>
      <c r="U1790">
        <f t="shared" si="306"/>
        <v>-2.0915584918250296E-2</v>
      </c>
      <c r="W1790">
        <f t="shared" si="307"/>
        <v>-7.1954428321439846E-3</v>
      </c>
      <c r="X1790">
        <v>3.5374524088095161E-2</v>
      </c>
    </row>
    <row r="1791" spans="1:24" x14ac:dyDescent="0.35">
      <c r="A1791" s="1">
        <v>45463</v>
      </c>
      <c r="B1791">
        <v>2947.3999020000001</v>
      </c>
      <c r="C1791">
        <f t="shared" si="297"/>
        <v>1.0317709009848963E-2</v>
      </c>
      <c r="D1791">
        <v>3787.25</v>
      </c>
      <c r="E1791">
        <f t="shared" si="298"/>
        <v>-3.8009183223939313E-3</v>
      </c>
      <c r="F1791">
        <v>1669.349976</v>
      </c>
      <c r="G1791">
        <f t="shared" si="299"/>
        <v>6.9366952175895502E-3</v>
      </c>
      <c r="H1791">
        <v>1381.150024</v>
      </c>
      <c r="I1791">
        <f t="shared" si="300"/>
        <v>-8.043920130034854E-3</v>
      </c>
      <c r="J1791">
        <v>1515.400024</v>
      </c>
      <c r="K1791">
        <f t="shared" si="301"/>
        <v>2.6797552283150949E-3</v>
      </c>
      <c r="L1791">
        <v>423.2999878</v>
      </c>
      <c r="M1791">
        <f t="shared" si="302"/>
        <v>-8.2616807515556445E-4</v>
      </c>
      <c r="N1791">
        <v>1471</v>
      </c>
      <c r="O1791">
        <f t="shared" si="303"/>
        <v>-2.1941489361702149E-2</v>
      </c>
      <c r="P1791">
        <v>271.85000609999997</v>
      </c>
      <c r="Q1791">
        <f t="shared" si="304"/>
        <v>1.1048363597090383E-3</v>
      </c>
      <c r="R1791">
        <v>978.25</v>
      </c>
      <c r="S1791">
        <f t="shared" si="305"/>
        <v>9.2088240903409613E-4</v>
      </c>
      <c r="T1791">
        <v>4861.7001950000003</v>
      </c>
      <c r="U1791">
        <f t="shared" si="306"/>
        <v>-1.4633395170974839E-2</v>
      </c>
      <c r="W1791">
        <f t="shared" si="307"/>
        <v>-2.7286012835764598E-3</v>
      </c>
      <c r="X1791">
        <v>3.5660502851345928E-2</v>
      </c>
    </row>
    <row r="1792" spans="1:24" x14ac:dyDescent="0.35">
      <c r="A1792" s="1">
        <v>45464</v>
      </c>
      <c r="B1792">
        <v>2908.3999020000001</v>
      </c>
      <c r="C1792">
        <f t="shared" si="297"/>
        <v>-1.3232001525661952E-2</v>
      </c>
      <c r="D1792">
        <v>3810.75</v>
      </c>
      <c r="E1792">
        <f t="shared" si="298"/>
        <v>6.2050300349858478E-3</v>
      </c>
      <c r="F1792">
        <v>1665.75</v>
      </c>
      <c r="G1792">
        <f t="shared" si="299"/>
        <v>-2.1565136440867549E-3</v>
      </c>
      <c r="H1792">
        <v>1416.0500489999999</v>
      </c>
      <c r="I1792">
        <f t="shared" si="300"/>
        <v>2.5268815402779143E-2</v>
      </c>
      <c r="J1792">
        <v>1532.6999510000001</v>
      </c>
      <c r="K1792">
        <f t="shared" si="301"/>
        <v>1.1416079402147394E-2</v>
      </c>
      <c r="L1792">
        <v>419.60000609999997</v>
      </c>
      <c r="M1792">
        <f t="shared" si="302"/>
        <v>-8.7408027560543777E-3</v>
      </c>
      <c r="N1792">
        <v>1467.25</v>
      </c>
      <c r="O1792">
        <f t="shared" si="303"/>
        <v>-2.5492861998640537E-3</v>
      </c>
      <c r="P1792">
        <v>269.64999390000003</v>
      </c>
      <c r="Q1792">
        <f t="shared" si="304"/>
        <v>-8.0927428752408659E-3</v>
      </c>
      <c r="R1792">
        <v>961.79998780000005</v>
      </c>
      <c r="S1792">
        <f t="shared" si="305"/>
        <v>-1.6815754868387378E-2</v>
      </c>
      <c r="T1792">
        <v>4804.8500979999999</v>
      </c>
      <c r="U1792">
        <f t="shared" si="306"/>
        <v>-1.1693460048907922E-2</v>
      </c>
      <c r="W1792">
        <f t="shared" si="307"/>
        <v>-2.039063707829092E-3</v>
      </c>
      <c r="X1792">
        <v>3.6215315713390879E-2</v>
      </c>
    </row>
    <row r="1793" spans="1:24" x14ac:dyDescent="0.35">
      <c r="A1793" s="1">
        <v>45467</v>
      </c>
      <c r="B1793">
        <v>2882.9499510000001</v>
      </c>
      <c r="C1793">
        <f t="shared" si="297"/>
        <v>-8.7504991945911437E-3</v>
      </c>
      <c r="D1793">
        <v>3816.8000489999999</v>
      </c>
      <c r="E1793">
        <f t="shared" si="298"/>
        <v>1.587626845109158E-3</v>
      </c>
      <c r="F1793">
        <v>1672.400024</v>
      </c>
      <c r="G1793">
        <f t="shared" si="299"/>
        <v>3.9922101155636103E-3</v>
      </c>
      <c r="H1793">
        <v>1419.8000489999999</v>
      </c>
      <c r="I1793">
        <f t="shared" si="300"/>
        <v>2.6482114828132453E-3</v>
      </c>
      <c r="J1793">
        <v>1527.150024</v>
      </c>
      <c r="K1793">
        <f t="shared" si="301"/>
        <v>-3.6210133603638006E-3</v>
      </c>
      <c r="L1793">
        <v>423.2999878</v>
      </c>
      <c r="M1793">
        <f t="shared" si="302"/>
        <v>8.8178780891585706E-3</v>
      </c>
      <c r="N1793">
        <v>1494.5</v>
      </c>
      <c r="O1793">
        <f t="shared" si="303"/>
        <v>1.8572158800477023E-2</v>
      </c>
      <c r="P1793">
        <v>269.89999390000003</v>
      </c>
      <c r="Q1793">
        <f t="shared" si="304"/>
        <v>9.2712777917847156E-4</v>
      </c>
      <c r="R1793">
        <v>958.04998780000005</v>
      </c>
      <c r="S1793">
        <f t="shared" si="305"/>
        <v>-3.8989395379154246E-3</v>
      </c>
      <c r="T1793">
        <v>4833.7001950000003</v>
      </c>
      <c r="U1793">
        <f t="shared" si="306"/>
        <v>6.0043698370546572E-3</v>
      </c>
      <c r="W1793">
        <f t="shared" si="307"/>
        <v>2.6279130856484371E-3</v>
      </c>
      <c r="X1793">
        <v>3.7343190144498141E-2</v>
      </c>
    </row>
    <row r="1794" spans="1:24" x14ac:dyDescent="0.35">
      <c r="A1794" s="1">
        <v>45468</v>
      </c>
      <c r="B1794">
        <v>2908.3000489999999</v>
      </c>
      <c r="C1794">
        <f t="shared" si="297"/>
        <v>8.7931106785974489E-3</v>
      </c>
      <c r="D1794">
        <v>3838.4499510000001</v>
      </c>
      <c r="E1794">
        <f t="shared" si="298"/>
        <v>5.6722651755551912E-3</v>
      </c>
      <c r="F1794">
        <v>1711.349976</v>
      </c>
      <c r="G1794">
        <f t="shared" si="299"/>
        <v>2.3289853767665347E-2</v>
      </c>
      <c r="H1794">
        <v>1414.9499510000001</v>
      </c>
      <c r="I1794">
        <f t="shared" si="300"/>
        <v>-3.4160429867684527E-3</v>
      </c>
      <c r="J1794">
        <v>1541.9499510000001</v>
      </c>
      <c r="K1794">
        <f t="shared" si="301"/>
        <v>9.6912069982719729E-3</v>
      </c>
      <c r="L1794">
        <v>423.2999878</v>
      </c>
      <c r="M1794">
        <f t="shared" si="302"/>
        <v>0</v>
      </c>
      <c r="N1794">
        <v>1505.1999510000001</v>
      </c>
      <c r="O1794">
        <f t="shared" si="303"/>
        <v>7.1595523586485132E-3</v>
      </c>
      <c r="P1794">
        <v>267</v>
      </c>
      <c r="Q1794">
        <f t="shared" si="304"/>
        <v>-1.0744697908642742E-2</v>
      </c>
      <c r="R1794">
        <v>955</v>
      </c>
      <c r="S1794">
        <f t="shared" si="305"/>
        <v>-3.1835372254467309E-3</v>
      </c>
      <c r="T1794">
        <v>4783.3500979999999</v>
      </c>
      <c r="U1794">
        <f t="shared" si="306"/>
        <v>-1.0416470812998013E-2</v>
      </c>
      <c r="W1794">
        <f t="shared" si="307"/>
        <v>2.6845240044882542E-3</v>
      </c>
      <c r="X1794">
        <v>3.8674360197576044E-2</v>
      </c>
    </row>
    <row r="1795" spans="1:24" x14ac:dyDescent="0.35">
      <c r="A1795" s="1">
        <v>45469</v>
      </c>
      <c r="B1795">
        <v>3028.0500489999999</v>
      </c>
      <c r="C1795">
        <f t="shared" si="297"/>
        <v>4.1175256329268883E-2</v>
      </c>
      <c r="D1795">
        <v>3855.8500979999999</v>
      </c>
      <c r="E1795">
        <f t="shared" si="298"/>
        <v>4.5331181133327902E-3</v>
      </c>
      <c r="F1795">
        <v>1701.5</v>
      </c>
      <c r="G1795">
        <f t="shared" si="299"/>
        <v>-5.7556760090783365E-3</v>
      </c>
      <c r="H1795">
        <v>1459.5</v>
      </c>
      <c r="I1795">
        <f t="shared" si="300"/>
        <v>3.1485247212111434E-2</v>
      </c>
      <c r="J1795">
        <v>1540.6999510000001</v>
      </c>
      <c r="K1795">
        <f t="shared" si="301"/>
        <v>-8.1066185007450109E-4</v>
      </c>
      <c r="L1795">
        <v>423.9500122</v>
      </c>
      <c r="M1795">
        <f t="shared" si="302"/>
        <v>1.5356116672204934E-3</v>
      </c>
      <c r="N1795">
        <v>1521.150024</v>
      </c>
      <c r="O1795">
        <f t="shared" si="303"/>
        <v>1.0596647302176354E-2</v>
      </c>
      <c r="P1795">
        <v>267.75</v>
      </c>
      <c r="Q1795">
        <f t="shared" si="304"/>
        <v>2.8089887640450062E-3</v>
      </c>
      <c r="R1795">
        <v>951.84997559999999</v>
      </c>
      <c r="S1795">
        <f t="shared" si="305"/>
        <v>-3.2984548691099569E-3</v>
      </c>
      <c r="T1795">
        <v>4801</v>
      </c>
      <c r="U1795">
        <f t="shared" si="306"/>
        <v>3.6898620503189594E-3</v>
      </c>
      <c r="W1795">
        <f t="shared" si="307"/>
        <v>8.5959938710211126E-3</v>
      </c>
      <c r="X1795">
        <v>4.1975062559723705E-2</v>
      </c>
    </row>
    <row r="1796" spans="1:24" x14ac:dyDescent="0.35">
      <c r="A1796" s="1">
        <v>45470</v>
      </c>
      <c r="B1796">
        <v>3061.1000979999999</v>
      </c>
      <c r="C1796">
        <f t="shared" ref="C1796:C1802" si="308">B1796/B1795 - 1</f>
        <v>1.0914631021675003E-2</v>
      </c>
      <c r="D1796">
        <v>3934.1499020000001</v>
      </c>
      <c r="E1796">
        <f t="shared" ref="E1796:E1802" si="309">D1796/D1795 - 1</f>
        <v>2.0306755192742942E-2</v>
      </c>
      <c r="F1796">
        <v>1696.150024</v>
      </c>
      <c r="G1796">
        <f t="shared" ref="G1796:G1802" si="310">F1796/F1795 - 1</f>
        <v>-3.144270349691447E-3</v>
      </c>
      <c r="H1796">
        <v>1475.8000489999999</v>
      </c>
      <c r="I1796">
        <f t="shared" ref="I1796:I1802" si="311">H1796/H1795 - 1</f>
        <v>1.116824186365184E-2</v>
      </c>
      <c r="J1796">
        <v>1573.349976</v>
      </c>
      <c r="K1796">
        <f t="shared" ref="K1796:K1802" si="312">J1796/J1795 -1</f>
        <v>2.1191683026152042E-2</v>
      </c>
      <c r="L1796">
        <v>425.60000609999997</v>
      </c>
      <c r="M1796">
        <f t="shared" ref="M1796:M1802" si="313">L1796/L1795 -1</f>
        <v>3.8919538920112462E-3</v>
      </c>
      <c r="N1796">
        <v>1516.25</v>
      </c>
      <c r="O1796">
        <f t="shared" ref="O1796:O1802" si="314">N1796/N1795-1</f>
        <v>-3.2212628095124041E-3</v>
      </c>
      <c r="P1796">
        <v>267.5</v>
      </c>
      <c r="Q1796">
        <f t="shared" ref="Q1796:Q1802" si="315">P1796/P1795 -1</f>
        <v>-9.3370681605975392E-4</v>
      </c>
      <c r="R1796">
        <v>972.09997559999999</v>
      </c>
      <c r="S1796">
        <f t="shared" ref="S1796:S1802" si="316">R1796/R1795 - 1</f>
        <v>2.1274361001307307E-2</v>
      </c>
      <c r="T1796">
        <v>4900.1000979999999</v>
      </c>
      <c r="U1796">
        <f t="shared" ref="U1796:U1802" si="317">T1796/T1795 - 1</f>
        <v>2.064155342636953E-2</v>
      </c>
      <c r="W1796">
        <f t="shared" ref="W1796:W1802" si="318">0.1*C1796+0.1*E1796+0.1*G1796+0.1*I1796+0.1*K1796+0.1*M1796+0.1*O1796+0.1*Q1796+0.1*S1796+0.1*U1796</f>
        <v>1.0208993944864632E-2</v>
      </c>
      <c r="X1796">
        <v>4.3008793615660929E-2</v>
      </c>
    </row>
    <row r="1797" spans="1:24" x14ac:dyDescent="0.35">
      <c r="A1797" s="1">
        <v>45471</v>
      </c>
      <c r="B1797">
        <v>3130.8000489999999</v>
      </c>
      <c r="C1797">
        <f t="shared" si="308"/>
        <v>2.2769575893823113E-2</v>
      </c>
      <c r="D1797">
        <v>3904.1499020000001</v>
      </c>
      <c r="E1797">
        <f t="shared" si="309"/>
        <v>-7.6255355660822532E-3</v>
      </c>
      <c r="F1797">
        <v>1683.8000489999999</v>
      </c>
      <c r="G1797">
        <f t="shared" si="310"/>
        <v>-7.2811808066808315E-3</v>
      </c>
      <c r="H1797">
        <v>1444.0500489999999</v>
      </c>
      <c r="I1797">
        <f t="shared" si="311"/>
        <v>-2.1513754537082264E-2</v>
      </c>
      <c r="J1797">
        <v>1566.75</v>
      </c>
      <c r="K1797">
        <f t="shared" si="312"/>
        <v>-4.1948556269593151E-3</v>
      </c>
      <c r="L1797">
        <v>424.89999390000003</v>
      </c>
      <c r="M1797">
        <f t="shared" si="313"/>
        <v>-1.6447654839447656E-3</v>
      </c>
      <c r="N1797">
        <v>1520.849976</v>
      </c>
      <c r="O1797">
        <f t="shared" si="314"/>
        <v>3.0337846661170342E-3</v>
      </c>
      <c r="P1797">
        <v>274.2000122</v>
      </c>
      <c r="Q1797">
        <f t="shared" si="315"/>
        <v>2.5046774579439157E-2</v>
      </c>
      <c r="R1797">
        <v>989.75</v>
      </c>
      <c r="S1797">
        <f t="shared" si="316"/>
        <v>1.8156593810328969E-2</v>
      </c>
      <c r="T1797">
        <v>4716.75</v>
      </c>
      <c r="U1797">
        <f t="shared" si="317"/>
        <v>-3.7417622973627607E-2</v>
      </c>
      <c r="W1797">
        <f t="shared" si="318"/>
        <v>-1.0670986044668761E-3</v>
      </c>
      <c r="X1797">
        <v>4.3493988971373646E-2</v>
      </c>
    </row>
    <row r="1798" spans="1:24" x14ac:dyDescent="0.35">
      <c r="A1798" s="1">
        <v>45474</v>
      </c>
      <c r="B1798">
        <v>3120.3000489999999</v>
      </c>
      <c r="C1798">
        <f t="shared" si="308"/>
        <v>-3.35377534038106E-3</v>
      </c>
      <c r="D1798">
        <v>3978.1999510000001</v>
      </c>
      <c r="E1798">
        <f t="shared" si="309"/>
        <v>1.8967009684250469E-2</v>
      </c>
      <c r="F1798">
        <v>1705.1999510000001</v>
      </c>
      <c r="G1798">
        <f t="shared" si="310"/>
        <v>1.2709289332013762E-2</v>
      </c>
      <c r="H1798">
        <v>1454</v>
      </c>
      <c r="I1798">
        <f t="shared" si="311"/>
        <v>6.8903089660157235E-3</v>
      </c>
      <c r="J1798">
        <v>1590.8000489999999</v>
      </c>
      <c r="K1798">
        <f t="shared" si="312"/>
        <v>1.535027860220195E-2</v>
      </c>
      <c r="L1798">
        <v>429.0499878</v>
      </c>
      <c r="M1798">
        <f t="shared" si="313"/>
        <v>9.766989784840252E-3</v>
      </c>
      <c r="N1798">
        <v>1520.099976</v>
      </c>
      <c r="O1798">
        <f t="shared" si="314"/>
        <v>-4.9314528838184657E-4</v>
      </c>
      <c r="P1798">
        <v>272.9500122</v>
      </c>
      <c r="Q1798">
        <f t="shared" si="315"/>
        <v>-4.5587160626683332E-3</v>
      </c>
      <c r="R1798">
        <v>1002.049988</v>
      </c>
      <c r="S1798">
        <f t="shared" si="316"/>
        <v>1.2427368527405891E-2</v>
      </c>
      <c r="T1798">
        <v>4735.8999020000001</v>
      </c>
      <c r="U1798">
        <f t="shared" si="317"/>
        <v>4.0599781629300224E-3</v>
      </c>
      <c r="W1798">
        <f t="shared" si="318"/>
        <v>7.1765586368226827E-3</v>
      </c>
      <c r="X1798">
        <v>4.6184231244312438E-2</v>
      </c>
    </row>
    <row r="1799" spans="1:24" x14ac:dyDescent="0.35">
      <c r="A1799" s="1">
        <v>45475</v>
      </c>
      <c r="B1799">
        <v>3130.3500979999999</v>
      </c>
      <c r="C1799">
        <f t="shared" si="308"/>
        <v>3.2208598026399748E-3</v>
      </c>
      <c r="D1799">
        <v>4017.3999020000001</v>
      </c>
      <c r="E1799">
        <f t="shared" si="309"/>
        <v>9.8536904838446571E-3</v>
      </c>
      <c r="F1799">
        <v>1730.599976</v>
      </c>
      <c r="G1799">
        <f t="shared" si="310"/>
        <v>1.4895628506852887E-2</v>
      </c>
      <c r="H1799">
        <v>1418.9499510000001</v>
      </c>
      <c r="I1799">
        <f t="shared" si="311"/>
        <v>-2.410594841815672E-2</v>
      </c>
      <c r="J1799">
        <v>1621.0500489999999</v>
      </c>
      <c r="K1799">
        <f t="shared" si="312"/>
        <v>1.9015589054712123E-2</v>
      </c>
      <c r="L1799">
        <v>425.5</v>
      </c>
      <c r="M1799">
        <f t="shared" si="313"/>
        <v>-8.2740657288045139E-3</v>
      </c>
      <c r="N1799">
        <v>1524.0500489999999</v>
      </c>
      <c r="O1799">
        <f t="shared" si="314"/>
        <v>2.5985613198904467E-3</v>
      </c>
      <c r="P1799">
        <v>274.85000609999997</v>
      </c>
      <c r="Q1799">
        <f t="shared" si="315"/>
        <v>6.9609592052619629E-3</v>
      </c>
      <c r="R1799">
        <v>981.29998780000005</v>
      </c>
      <c r="S1799">
        <f t="shared" si="316"/>
        <v>-2.0707549971049843E-2</v>
      </c>
      <c r="T1799">
        <v>4773.8500979999999</v>
      </c>
      <c r="U1799">
        <f t="shared" si="317"/>
        <v>8.0133019669552663E-3</v>
      </c>
      <c r="W1799">
        <f t="shared" si="318"/>
        <v>1.1471026222146239E-3</v>
      </c>
      <c r="X1799">
        <v>4.8306214584664997E-2</v>
      </c>
    </row>
    <row r="1800" spans="1:24" x14ac:dyDescent="0.35">
      <c r="A1800" s="1">
        <v>45476</v>
      </c>
      <c r="B1800">
        <v>3104.8500979999999</v>
      </c>
      <c r="C1800">
        <f t="shared" si="308"/>
        <v>-8.1460537006042832E-3</v>
      </c>
      <c r="D1800">
        <v>3965.25</v>
      </c>
      <c r="E1800">
        <f t="shared" si="309"/>
        <v>-1.2981008431358299E-2</v>
      </c>
      <c r="F1800">
        <v>1768.650024</v>
      </c>
      <c r="G1800">
        <f t="shared" si="310"/>
        <v>2.1986622285727009E-2</v>
      </c>
      <c r="H1800">
        <v>1419.849976</v>
      </c>
      <c r="I1800">
        <f t="shared" si="311"/>
        <v>6.3428946127785935E-4</v>
      </c>
      <c r="J1800">
        <v>1627.400024</v>
      </c>
      <c r="K1800">
        <f t="shared" si="312"/>
        <v>3.9171986108124113E-3</v>
      </c>
      <c r="L1800">
        <v>428.2999878</v>
      </c>
      <c r="M1800">
        <f t="shared" si="313"/>
        <v>6.5804648648648545E-3</v>
      </c>
      <c r="N1800">
        <v>1533.9499510000001</v>
      </c>
      <c r="O1800">
        <f t="shared" si="314"/>
        <v>6.4957853624925121E-3</v>
      </c>
      <c r="P1800">
        <v>274.7000122</v>
      </c>
      <c r="Q1800">
        <f t="shared" si="315"/>
        <v>-5.457300224522843E-4</v>
      </c>
      <c r="R1800">
        <v>975.65002440000001</v>
      </c>
      <c r="S1800">
        <f t="shared" si="316"/>
        <v>-5.757631173181621E-3</v>
      </c>
      <c r="T1800">
        <v>4792.8999020000001</v>
      </c>
      <c r="U1800">
        <f t="shared" si="317"/>
        <v>3.9904487172692793E-3</v>
      </c>
      <c r="W1800">
        <f t="shared" si="318"/>
        <v>1.6174385974847439E-3</v>
      </c>
      <c r="X1800">
        <v>5.1933589493121657E-2</v>
      </c>
    </row>
    <row r="1801" spans="1:24" x14ac:dyDescent="0.35">
      <c r="A1801" s="1">
        <v>45477</v>
      </c>
      <c r="B1801">
        <v>3108.0500489999999</v>
      </c>
      <c r="C1801">
        <f t="shared" si="308"/>
        <v>1.0306297885560589E-3</v>
      </c>
      <c r="D1801">
        <v>4020.9499510000001</v>
      </c>
      <c r="E1801">
        <f t="shared" si="309"/>
        <v>1.4047021247084013E-2</v>
      </c>
      <c r="F1801">
        <v>1727.150024</v>
      </c>
      <c r="G1801">
        <f t="shared" si="310"/>
        <v>-2.3464223807343809E-2</v>
      </c>
      <c r="H1801">
        <v>1423.0500489999999</v>
      </c>
      <c r="I1801">
        <f t="shared" si="311"/>
        <v>2.253810651893895E-3</v>
      </c>
      <c r="J1801">
        <v>1650.650024</v>
      </c>
      <c r="K1801">
        <f t="shared" si="312"/>
        <v>1.4286591899423495E-2</v>
      </c>
      <c r="L1801">
        <v>429.0499878</v>
      </c>
      <c r="M1801">
        <f t="shared" si="313"/>
        <v>1.751109085602387E-3</v>
      </c>
      <c r="N1801">
        <v>1557.900024</v>
      </c>
      <c r="O1801">
        <f t="shared" si="314"/>
        <v>1.5613334049384475E-2</v>
      </c>
      <c r="P1801">
        <v>277.0499878</v>
      </c>
      <c r="Q1801">
        <f t="shared" si="315"/>
        <v>8.554697836303804E-3</v>
      </c>
      <c r="R1801">
        <v>998.20001219999995</v>
      </c>
      <c r="S1801">
        <f t="shared" si="316"/>
        <v>2.3112783514629198E-2</v>
      </c>
      <c r="T1801">
        <v>4768.1000979999999</v>
      </c>
      <c r="U1801">
        <f t="shared" si="317"/>
        <v>-5.174279560825279E-3</v>
      </c>
      <c r="W1801">
        <f t="shared" si="318"/>
        <v>5.2011474704708235E-3</v>
      </c>
      <c r="X1801">
        <v>6.9893039566947673E-2</v>
      </c>
    </row>
    <row r="1802" spans="1:24" x14ac:dyDescent="0.35">
      <c r="A1802" s="1">
        <v>45478</v>
      </c>
      <c r="B1802">
        <v>3177.25</v>
      </c>
      <c r="C1802">
        <f t="shared" si="308"/>
        <v>2.22647479638447E-2</v>
      </c>
      <c r="D1802">
        <v>4011.8000489999999</v>
      </c>
      <c r="E1802">
        <f t="shared" si="309"/>
        <v>-2.2755572965350579E-3</v>
      </c>
      <c r="F1802">
        <v>1648.099976</v>
      </c>
      <c r="G1802">
        <f t="shared" si="310"/>
        <v>-4.5769068639980537E-2</v>
      </c>
      <c r="H1802">
        <v>1429.6999510000001</v>
      </c>
      <c r="I1802">
        <f t="shared" si="311"/>
        <v>4.6729923551691588E-3</v>
      </c>
      <c r="J1802">
        <v>1647.4499510000001</v>
      </c>
      <c r="K1802">
        <f t="shared" si="312"/>
        <v>-1.9386744333879102E-3</v>
      </c>
      <c r="L1802">
        <v>433.64999390000003</v>
      </c>
      <c r="M1802">
        <f t="shared" si="313"/>
        <v>1.072137566903808E-2</v>
      </c>
      <c r="N1802">
        <v>1568.400024</v>
      </c>
      <c r="O1802">
        <f t="shared" si="314"/>
        <v>6.7398419912985119E-3</v>
      </c>
      <c r="P1802">
        <v>288.2000122</v>
      </c>
      <c r="Q1802">
        <f t="shared" si="315"/>
        <v>4.0245532903791847E-2</v>
      </c>
      <c r="R1802">
        <v>993.65002440000001</v>
      </c>
      <c r="S1802">
        <f t="shared" si="316"/>
        <v>-4.558192490873525E-3</v>
      </c>
      <c r="T1802">
        <v>4853.1000979999999</v>
      </c>
      <c r="U1802">
        <f t="shared" si="317"/>
        <v>1.78268069572729E-2</v>
      </c>
      <c r="W1802">
        <f t="shared" si="318"/>
        <v>4.7929804979638174E-3</v>
      </c>
      <c r="X1802">
        <v>7.4785005829598933E-2</v>
      </c>
    </row>
    <row r="1803" spans="1:24" x14ac:dyDescent="0.35">
      <c r="A1803" s="1"/>
    </row>
    <row r="1804" spans="1:24" x14ac:dyDescent="0.35">
      <c r="A1804" s="1"/>
    </row>
    <row r="1805" spans="1:24" x14ac:dyDescent="0.35">
      <c r="A1805" s="1"/>
    </row>
    <row r="1806" spans="1:24" x14ac:dyDescent="0.35">
      <c r="A1806" s="1"/>
    </row>
    <row r="1807" spans="1:24" x14ac:dyDescent="0.35">
      <c r="A1807" s="1"/>
    </row>
    <row r="1808" spans="1:24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hidden="1" x14ac:dyDescent="0.35">
      <c r="A1823" s="1"/>
    </row>
    <row r="1824" spans="1:1" hidden="1" x14ac:dyDescent="0.35">
      <c r="A1824" s="1"/>
    </row>
    <row r="1825" spans="1:1" hidden="1" x14ac:dyDescent="0.35">
      <c r="A1825" s="1"/>
    </row>
    <row r="1826" spans="1:1" hidden="1" x14ac:dyDescent="0.35">
      <c r="A1826" s="1"/>
    </row>
    <row r="1827" spans="1:1" hidden="1" x14ac:dyDescent="0.35">
      <c r="A1827" s="1"/>
    </row>
    <row r="1828" spans="1:1" hidden="1" x14ac:dyDescent="0.35">
      <c r="A1828" s="1"/>
    </row>
    <row r="1829" spans="1:1" hidden="1" x14ac:dyDescent="0.35">
      <c r="A1829" s="1"/>
    </row>
    <row r="1830" spans="1:1" hidden="1" x14ac:dyDescent="0.35">
      <c r="A1830" s="1"/>
    </row>
    <row r="1831" spans="1:1" hidden="1" x14ac:dyDescent="0.35">
      <c r="A1831" s="1"/>
    </row>
    <row r="1832" spans="1:1" hidden="1" x14ac:dyDescent="0.35">
      <c r="A1832" s="1"/>
    </row>
    <row r="1833" spans="1:1" hidden="1" x14ac:dyDescent="0.35">
      <c r="A1833" s="1"/>
    </row>
    <row r="1834" spans="1:1" hidden="1" x14ac:dyDescent="0.35">
      <c r="A1834" s="1"/>
    </row>
    <row r="1835" spans="1:1" hidden="1" x14ac:dyDescent="0.35">
      <c r="A1835" s="1"/>
    </row>
    <row r="1836" spans="1:1" hidden="1" x14ac:dyDescent="0.35">
      <c r="A1836" s="1"/>
    </row>
    <row r="1837" spans="1:1" hidden="1" x14ac:dyDescent="0.35">
      <c r="A1837" s="1"/>
    </row>
    <row r="1838" spans="1:1" hidden="1" x14ac:dyDescent="0.35">
      <c r="A1838" s="1"/>
    </row>
    <row r="1839" spans="1:1" hidden="1" x14ac:dyDescent="0.35">
      <c r="A1839" s="1"/>
    </row>
    <row r="1840" spans="1:1" hidden="1" x14ac:dyDescent="0.35">
      <c r="A1840" s="1"/>
    </row>
    <row r="1841" spans="1:1" hidden="1" x14ac:dyDescent="0.35">
      <c r="A1841" s="1"/>
    </row>
    <row r="1842" spans="1:1" hidden="1" x14ac:dyDescent="0.35">
      <c r="A1842" s="1"/>
    </row>
    <row r="1843" spans="1:1" hidden="1" x14ac:dyDescent="0.35">
      <c r="A1843" s="1"/>
    </row>
    <row r="1844" spans="1:1" hidden="1" x14ac:dyDescent="0.35">
      <c r="A1844" s="1"/>
    </row>
    <row r="1845" spans="1:1" hidden="1" x14ac:dyDescent="0.35">
      <c r="A1845" s="1"/>
    </row>
    <row r="1846" spans="1:1" hidden="1" x14ac:dyDescent="0.35">
      <c r="A1846" s="1"/>
    </row>
    <row r="1847" spans="1:1" hidden="1" x14ac:dyDescent="0.35">
      <c r="A1847" s="1"/>
    </row>
    <row r="1848" spans="1:1" hidden="1" x14ac:dyDescent="0.35">
      <c r="A1848" s="1"/>
    </row>
    <row r="1849" spans="1:1" hidden="1" x14ac:dyDescent="0.35">
      <c r="A1849" s="1"/>
    </row>
    <row r="1850" spans="1:1" hidden="1" x14ac:dyDescent="0.35">
      <c r="A1850" s="1"/>
    </row>
    <row r="1851" spans="1:1" hidden="1" x14ac:dyDescent="0.35">
      <c r="A1851" s="1"/>
    </row>
    <row r="1852" spans="1:1" hidden="1" x14ac:dyDescent="0.35">
      <c r="A1852" s="1"/>
    </row>
    <row r="1853" spans="1:1" hidden="1" x14ac:dyDescent="0.35">
      <c r="A1853" s="1"/>
    </row>
    <row r="1854" spans="1:1" hidden="1" x14ac:dyDescent="0.35">
      <c r="A1854" s="1"/>
    </row>
    <row r="1855" spans="1:1" hidden="1" x14ac:dyDescent="0.35">
      <c r="A1855" s="1"/>
    </row>
    <row r="1856" spans="1:1" hidden="1" x14ac:dyDescent="0.35">
      <c r="A1856" s="1"/>
    </row>
    <row r="1857" spans="1:1" hidden="1" x14ac:dyDescent="0.35">
      <c r="A1857" s="1"/>
    </row>
    <row r="1858" spans="1:1" hidden="1" x14ac:dyDescent="0.35">
      <c r="A1858" s="1"/>
    </row>
    <row r="1859" spans="1:1" hidden="1" x14ac:dyDescent="0.35">
      <c r="A1859" s="1"/>
    </row>
    <row r="1860" spans="1:1" hidden="1" x14ac:dyDescent="0.35">
      <c r="A1860" s="1"/>
    </row>
    <row r="1861" spans="1:1" hidden="1" x14ac:dyDescent="0.35">
      <c r="A1861" s="1"/>
    </row>
    <row r="1862" spans="1:1" hidden="1" x14ac:dyDescent="0.35">
      <c r="A1862" s="1"/>
    </row>
    <row r="1863" spans="1:1" hidden="1" x14ac:dyDescent="0.35">
      <c r="A1863" s="1"/>
    </row>
    <row r="1864" spans="1:1" hidden="1" x14ac:dyDescent="0.35">
      <c r="A1864" s="1"/>
    </row>
    <row r="1865" spans="1:1" hidden="1" x14ac:dyDescent="0.35">
      <c r="A1865" s="1"/>
    </row>
    <row r="1866" spans="1:1" hidden="1" x14ac:dyDescent="0.35">
      <c r="A1866" s="1"/>
    </row>
    <row r="1867" spans="1:1" hidden="1" x14ac:dyDescent="0.35">
      <c r="A1867" s="1"/>
    </row>
    <row r="1868" spans="1:1" hidden="1" x14ac:dyDescent="0.35">
      <c r="A1868" s="1"/>
    </row>
    <row r="1869" spans="1:1" hidden="1" x14ac:dyDescent="0.35">
      <c r="A1869" s="1"/>
    </row>
    <row r="1870" spans="1:1" hidden="1" x14ac:dyDescent="0.35">
      <c r="A1870" s="1"/>
    </row>
    <row r="1871" spans="1:1" hidden="1" x14ac:dyDescent="0.35">
      <c r="A1871" s="1"/>
    </row>
    <row r="1872" spans="1:1" hidden="1" x14ac:dyDescent="0.35">
      <c r="A1872" s="1"/>
    </row>
    <row r="1873" spans="1:1" hidden="1" x14ac:dyDescent="0.35">
      <c r="A1873" s="1"/>
    </row>
    <row r="1874" spans="1:1" hidden="1" x14ac:dyDescent="0.35">
      <c r="A1874" s="1"/>
    </row>
    <row r="1875" spans="1:1" hidden="1" x14ac:dyDescent="0.35">
      <c r="A1875" s="1"/>
    </row>
    <row r="1876" spans="1:1" hidden="1" x14ac:dyDescent="0.35">
      <c r="A1876" s="1"/>
    </row>
    <row r="1877" spans="1:1" hidden="1" x14ac:dyDescent="0.35">
      <c r="A1877" s="1"/>
    </row>
    <row r="1878" spans="1:1" hidden="1" x14ac:dyDescent="0.35">
      <c r="A1878" s="1"/>
    </row>
    <row r="1879" spans="1:1" hidden="1" x14ac:dyDescent="0.35">
      <c r="A1879" s="1"/>
    </row>
    <row r="1880" spans="1:1" hidden="1" x14ac:dyDescent="0.35">
      <c r="A1880" s="1"/>
    </row>
    <row r="1881" spans="1:1" hidden="1" x14ac:dyDescent="0.35">
      <c r="A1881" s="1"/>
    </row>
    <row r="1882" spans="1:1" hidden="1" x14ac:dyDescent="0.35">
      <c r="A1882" s="1"/>
    </row>
    <row r="1883" spans="1:1" hidden="1" x14ac:dyDescent="0.35">
      <c r="A1883" s="1"/>
    </row>
    <row r="1884" spans="1:1" hidden="1" x14ac:dyDescent="0.35">
      <c r="A1884" s="1"/>
    </row>
    <row r="1885" spans="1:1" hidden="1" x14ac:dyDescent="0.35">
      <c r="A1885" s="1"/>
    </row>
    <row r="1886" spans="1:1" hidden="1" x14ac:dyDescent="0.35">
      <c r="A1886" s="1"/>
    </row>
    <row r="1887" spans="1:1" hidden="1" x14ac:dyDescent="0.35">
      <c r="A1887" s="1"/>
    </row>
    <row r="1888" spans="1:1" hidden="1" x14ac:dyDescent="0.35">
      <c r="A1888" s="1"/>
    </row>
    <row r="1889" spans="1:1" hidden="1" x14ac:dyDescent="0.35">
      <c r="A1889" s="1"/>
    </row>
    <row r="1890" spans="1:1" hidden="1" x14ac:dyDescent="0.35">
      <c r="A1890" s="1"/>
    </row>
    <row r="1891" spans="1:1" hidden="1" x14ac:dyDescent="0.35">
      <c r="A1891" s="1"/>
    </row>
    <row r="1892" spans="1:1" hidden="1" x14ac:dyDescent="0.35">
      <c r="A1892" s="1"/>
    </row>
    <row r="1893" spans="1:1" hidden="1" x14ac:dyDescent="0.35">
      <c r="A1893" s="1"/>
    </row>
    <row r="1894" spans="1:1" hidden="1" x14ac:dyDescent="0.35">
      <c r="A1894" s="1"/>
    </row>
    <row r="1895" spans="1:1" hidden="1" x14ac:dyDescent="0.35">
      <c r="A1895" s="1"/>
    </row>
    <row r="1896" spans="1:1" hidden="1" x14ac:dyDescent="0.35">
      <c r="A1896" s="1"/>
    </row>
    <row r="1897" spans="1:1" hidden="1" x14ac:dyDescent="0.35">
      <c r="A1897" s="1"/>
    </row>
    <row r="1898" spans="1:1" hidden="1" x14ac:dyDescent="0.35">
      <c r="A1898" s="1"/>
    </row>
    <row r="1899" spans="1:1" hidden="1" x14ac:dyDescent="0.35">
      <c r="A1899" s="1"/>
    </row>
    <row r="1900" spans="1:1" hidden="1" x14ac:dyDescent="0.35">
      <c r="A1900" s="1"/>
    </row>
    <row r="1901" spans="1:1" hidden="1" x14ac:dyDescent="0.35">
      <c r="A1901" s="1"/>
    </row>
    <row r="1902" spans="1:1" hidden="1" x14ac:dyDescent="0.35">
      <c r="A1902" s="1"/>
    </row>
    <row r="1903" spans="1:1" hidden="1" x14ac:dyDescent="0.35">
      <c r="A1903" s="1"/>
    </row>
    <row r="1904" spans="1:1" hidden="1" x14ac:dyDescent="0.35">
      <c r="A1904" s="1"/>
    </row>
    <row r="1905" spans="1:1" hidden="1" x14ac:dyDescent="0.35">
      <c r="A1905" s="1"/>
    </row>
    <row r="1906" spans="1:1" hidden="1" x14ac:dyDescent="0.35">
      <c r="A1906" s="1"/>
    </row>
    <row r="1907" spans="1:1" hidden="1" x14ac:dyDescent="0.35">
      <c r="A1907" s="1"/>
    </row>
    <row r="1908" spans="1:1" hidden="1" x14ac:dyDescent="0.35">
      <c r="A1908" s="1"/>
    </row>
    <row r="1909" spans="1:1" hidden="1" x14ac:dyDescent="0.35">
      <c r="A1909" s="1"/>
    </row>
    <row r="1910" spans="1:1" hidden="1" x14ac:dyDescent="0.35">
      <c r="A1910" s="1"/>
    </row>
    <row r="1911" spans="1:1" hidden="1" x14ac:dyDescent="0.35">
      <c r="A1911" s="1"/>
    </row>
    <row r="1912" spans="1:1" hidden="1" x14ac:dyDescent="0.35">
      <c r="A1912" s="1"/>
    </row>
    <row r="1913" spans="1:1" hidden="1" x14ac:dyDescent="0.35">
      <c r="A1913" s="1"/>
    </row>
    <row r="1914" spans="1:1" hidden="1" x14ac:dyDescent="0.35">
      <c r="A1914" s="1"/>
    </row>
    <row r="1915" spans="1:1" hidden="1" x14ac:dyDescent="0.35">
      <c r="A1915" s="1"/>
    </row>
    <row r="1916" spans="1:1" hidden="1" x14ac:dyDescent="0.35">
      <c r="A1916" s="1"/>
    </row>
    <row r="1917" spans="1:1" hidden="1" x14ac:dyDescent="0.35">
      <c r="A1917" s="1"/>
    </row>
    <row r="1918" spans="1:1" hidden="1" x14ac:dyDescent="0.35">
      <c r="A1918" s="1"/>
    </row>
    <row r="1919" spans="1:1" hidden="1" x14ac:dyDescent="0.35">
      <c r="A1919" s="1"/>
    </row>
    <row r="1920" spans="1:1" hidden="1" x14ac:dyDescent="0.35">
      <c r="A1920" s="1"/>
    </row>
    <row r="1921" spans="1:1" hidden="1" x14ac:dyDescent="0.35">
      <c r="A1921" s="1"/>
    </row>
    <row r="1922" spans="1:1" hidden="1" x14ac:dyDescent="0.35">
      <c r="A1922" s="1"/>
    </row>
    <row r="1923" spans="1:1" hidden="1" x14ac:dyDescent="0.35">
      <c r="A1923" s="1"/>
    </row>
    <row r="1924" spans="1:1" hidden="1" x14ac:dyDescent="0.35">
      <c r="A1924" s="1"/>
    </row>
    <row r="1925" spans="1:1" hidden="1" x14ac:dyDescent="0.35">
      <c r="A1925" s="1"/>
    </row>
    <row r="1926" spans="1:1" hidden="1" x14ac:dyDescent="0.35">
      <c r="A1926" s="1"/>
    </row>
    <row r="1927" spans="1:1" hidden="1" x14ac:dyDescent="0.35">
      <c r="A1927" s="1"/>
    </row>
    <row r="1928" spans="1:1" hidden="1" x14ac:dyDescent="0.35">
      <c r="A1928" s="1"/>
    </row>
    <row r="1929" spans="1:1" hidden="1" x14ac:dyDescent="0.35">
      <c r="A1929" s="1"/>
    </row>
    <row r="1930" spans="1:1" hidden="1" x14ac:dyDescent="0.35">
      <c r="A1930" s="1"/>
    </row>
    <row r="1931" spans="1:1" hidden="1" x14ac:dyDescent="0.35">
      <c r="A1931" s="1"/>
    </row>
    <row r="1932" spans="1:1" hidden="1" x14ac:dyDescent="0.35">
      <c r="A1932" s="1"/>
    </row>
    <row r="1933" spans="1:1" hidden="1" x14ac:dyDescent="0.35">
      <c r="A1933" s="1"/>
    </row>
    <row r="1934" spans="1:1" hidden="1" x14ac:dyDescent="0.35">
      <c r="A1934" s="1"/>
    </row>
    <row r="1935" spans="1:1" hidden="1" x14ac:dyDescent="0.35">
      <c r="A1935" s="1"/>
    </row>
    <row r="1936" spans="1:1" hidden="1" x14ac:dyDescent="0.35">
      <c r="A1936" s="1"/>
    </row>
    <row r="1937" spans="1:1" hidden="1" x14ac:dyDescent="0.35">
      <c r="A1937" s="1"/>
    </row>
    <row r="1938" spans="1:1" hidden="1" x14ac:dyDescent="0.35">
      <c r="A1938" s="1"/>
    </row>
    <row r="1939" spans="1:1" hidden="1" x14ac:dyDescent="0.35">
      <c r="A1939" s="1"/>
    </row>
    <row r="1940" spans="1:1" hidden="1" x14ac:dyDescent="0.35">
      <c r="A1940" s="1"/>
    </row>
    <row r="1941" spans="1:1" hidden="1" x14ac:dyDescent="0.35">
      <c r="A1941" s="1"/>
    </row>
    <row r="1942" spans="1:1" hidden="1" x14ac:dyDescent="0.35">
      <c r="A1942" s="1"/>
    </row>
    <row r="1943" spans="1:1" hidden="1" x14ac:dyDescent="0.35">
      <c r="A1943" s="1"/>
    </row>
    <row r="1944" spans="1:1" hidden="1" x14ac:dyDescent="0.35">
      <c r="A1944" s="1"/>
    </row>
    <row r="1945" spans="1:1" hidden="1" x14ac:dyDescent="0.35">
      <c r="A1945" s="1"/>
    </row>
    <row r="1946" spans="1:1" hidden="1" x14ac:dyDescent="0.35">
      <c r="A1946" s="1"/>
    </row>
    <row r="1947" spans="1:1" hidden="1" x14ac:dyDescent="0.35">
      <c r="A1947" s="1"/>
    </row>
    <row r="1948" spans="1:1" hidden="1" x14ac:dyDescent="0.35">
      <c r="A1948" s="1"/>
    </row>
    <row r="1949" spans="1:1" hidden="1" x14ac:dyDescent="0.35">
      <c r="A1949" s="1"/>
    </row>
    <row r="1950" spans="1:1" hidden="1" x14ac:dyDescent="0.35">
      <c r="A1950" s="1"/>
    </row>
    <row r="1951" spans="1:1" hidden="1" x14ac:dyDescent="0.35">
      <c r="A1951" s="1"/>
    </row>
    <row r="1952" spans="1:1" hidden="1" x14ac:dyDescent="0.35">
      <c r="A1952" s="1"/>
    </row>
    <row r="1953" spans="1:1" hidden="1" x14ac:dyDescent="0.35">
      <c r="A1953" s="1"/>
    </row>
    <row r="1954" spans="1:1" hidden="1" x14ac:dyDescent="0.35">
      <c r="A1954" s="1"/>
    </row>
    <row r="1955" spans="1:1" hidden="1" x14ac:dyDescent="0.35">
      <c r="A1955" s="1"/>
    </row>
    <row r="1956" spans="1:1" hidden="1" x14ac:dyDescent="0.35">
      <c r="A1956" s="1"/>
    </row>
    <row r="1957" spans="1:1" hidden="1" x14ac:dyDescent="0.35">
      <c r="A1957" s="1"/>
    </row>
    <row r="1958" spans="1:1" hidden="1" x14ac:dyDescent="0.35">
      <c r="A1958" s="1"/>
    </row>
    <row r="1959" spans="1:1" hidden="1" x14ac:dyDescent="0.35">
      <c r="A1959" s="1"/>
    </row>
    <row r="1960" spans="1:1" hidden="1" x14ac:dyDescent="0.35">
      <c r="A1960" s="1"/>
    </row>
    <row r="1961" spans="1:1" hidden="1" x14ac:dyDescent="0.35">
      <c r="A1961" s="1"/>
    </row>
    <row r="1962" spans="1:1" hidden="1" x14ac:dyDescent="0.35">
      <c r="A1962" s="1"/>
    </row>
    <row r="1963" spans="1:1" hidden="1" x14ac:dyDescent="0.35">
      <c r="A1963" s="1"/>
    </row>
    <row r="1964" spans="1:1" hidden="1" x14ac:dyDescent="0.35">
      <c r="A1964" s="1"/>
    </row>
    <row r="1965" spans="1:1" hidden="1" x14ac:dyDescent="0.35">
      <c r="A1965" s="1"/>
    </row>
    <row r="1966" spans="1:1" hidden="1" x14ac:dyDescent="0.35">
      <c r="A1966" s="1"/>
    </row>
    <row r="1967" spans="1:1" hidden="1" x14ac:dyDescent="0.35">
      <c r="A1967" s="1"/>
    </row>
    <row r="1968" spans="1:1" hidden="1" x14ac:dyDescent="0.35">
      <c r="A1968" s="1"/>
    </row>
    <row r="1969" spans="1:1" hidden="1" x14ac:dyDescent="0.35">
      <c r="A1969" s="1"/>
    </row>
    <row r="1970" spans="1:1" hidden="1" x14ac:dyDescent="0.35">
      <c r="A1970" s="1"/>
    </row>
    <row r="1971" spans="1:1" hidden="1" x14ac:dyDescent="0.35">
      <c r="A1971" s="1"/>
    </row>
    <row r="1972" spans="1:1" hidden="1" x14ac:dyDescent="0.35">
      <c r="A1972" s="1"/>
    </row>
    <row r="1973" spans="1:1" hidden="1" x14ac:dyDescent="0.35">
      <c r="A1973" s="1"/>
    </row>
    <row r="1974" spans="1:1" hidden="1" x14ac:dyDescent="0.35">
      <c r="A1974" s="1"/>
    </row>
    <row r="1975" spans="1:1" hidden="1" x14ac:dyDescent="0.35">
      <c r="A1975" s="1"/>
    </row>
    <row r="1976" spans="1:1" hidden="1" x14ac:dyDescent="0.35">
      <c r="A1976" s="1"/>
    </row>
    <row r="1977" spans="1:1" hidden="1" x14ac:dyDescent="0.35">
      <c r="A1977" s="1"/>
    </row>
    <row r="1978" spans="1:1" hidden="1" x14ac:dyDescent="0.35">
      <c r="A1978" s="1"/>
    </row>
    <row r="1979" spans="1:1" hidden="1" x14ac:dyDescent="0.35">
      <c r="A1979" s="1"/>
    </row>
    <row r="1980" spans="1:1" hidden="1" x14ac:dyDescent="0.35">
      <c r="A1980" s="1"/>
    </row>
    <row r="1981" spans="1:1" hidden="1" x14ac:dyDescent="0.35">
      <c r="A1981" s="1"/>
    </row>
    <row r="1982" spans="1:1" hidden="1" x14ac:dyDescent="0.35">
      <c r="A1982" s="1"/>
    </row>
    <row r="1983" spans="1:1" hidden="1" x14ac:dyDescent="0.35">
      <c r="A1983" s="1"/>
    </row>
    <row r="1984" spans="1:1" hidden="1" x14ac:dyDescent="0.35">
      <c r="A1984" s="1"/>
    </row>
    <row r="1985" spans="1:1" hidden="1" x14ac:dyDescent="0.35">
      <c r="A1985" s="1"/>
    </row>
    <row r="1986" spans="1:1" hidden="1" x14ac:dyDescent="0.35">
      <c r="A1986" s="1"/>
    </row>
    <row r="1987" spans="1:1" hidden="1" x14ac:dyDescent="0.35">
      <c r="A1987" s="1"/>
    </row>
    <row r="1988" spans="1:1" hidden="1" x14ac:dyDescent="0.35">
      <c r="A1988" s="1"/>
    </row>
    <row r="1989" spans="1:1" hidden="1" x14ac:dyDescent="0.35">
      <c r="A1989" s="1"/>
    </row>
    <row r="1990" spans="1:1" hidden="1" x14ac:dyDescent="0.35">
      <c r="A1990" s="1"/>
    </row>
    <row r="1991" spans="1:1" hidden="1" x14ac:dyDescent="0.35">
      <c r="A1991" s="1"/>
    </row>
    <row r="1992" spans="1:1" hidden="1" x14ac:dyDescent="0.35">
      <c r="A1992" s="1"/>
    </row>
    <row r="1993" spans="1:1" hidden="1" x14ac:dyDescent="0.35">
      <c r="A1993" s="1"/>
    </row>
    <row r="1994" spans="1:1" hidden="1" x14ac:dyDescent="0.35">
      <c r="A1994" s="1"/>
    </row>
    <row r="1995" spans="1:1" hidden="1" x14ac:dyDescent="0.35">
      <c r="A1995" s="1"/>
    </row>
    <row r="1996" spans="1:1" hidden="1" x14ac:dyDescent="0.35">
      <c r="A1996" s="1"/>
    </row>
    <row r="1997" spans="1:1" hidden="1" x14ac:dyDescent="0.35">
      <c r="A1997" s="1"/>
    </row>
    <row r="1998" spans="1:1" hidden="1" x14ac:dyDescent="0.35">
      <c r="A1998" s="1"/>
    </row>
    <row r="1999" spans="1:1" hidden="1" x14ac:dyDescent="0.35">
      <c r="A1999" s="1"/>
    </row>
    <row r="2000" spans="1:1" hidden="1" x14ac:dyDescent="0.35">
      <c r="A2000" s="1"/>
    </row>
    <row r="2001" spans="1:1" hidden="1" x14ac:dyDescent="0.35">
      <c r="A2001" s="1"/>
    </row>
    <row r="2002" spans="1:1" hidden="1" x14ac:dyDescent="0.35">
      <c r="A2002" s="1"/>
    </row>
    <row r="2003" spans="1:1" hidden="1" x14ac:dyDescent="0.35">
      <c r="A2003" s="1"/>
    </row>
    <row r="2004" spans="1:1" hidden="1" x14ac:dyDescent="0.35">
      <c r="A2004" s="1"/>
    </row>
    <row r="2005" spans="1:1" hidden="1" x14ac:dyDescent="0.35">
      <c r="A2005" s="1"/>
    </row>
    <row r="2006" spans="1:1" hidden="1" x14ac:dyDescent="0.35">
      <c r="A2006" s="1"/>
    </row>
    <row r="2007" spans="1:1" hidden="1" x14ac:dyDescent="0.35">
      <c r="A2007" s="1"/>
    </row>
    <row r="2008" spans="1:1" hidden="1" x14ac:dyDescent="0.35">
      <c r="A2008" s="1"/>
    </row>
    <row r="2009" spans="1:1" hidden="1" x14ac:dyDescent="0.35">
      <c r="A2009" s="1"/>
    </row>
    <row r="2010" spans="1:1" hidden="1" x14ac:dyDescent="0.35">
      <c r="A2010" s="1"/>
    </row>
    <row r="2011" spans="1:1" hidden="1" x14ac:dyDescent="0.35">
      <c r="A2011" s="1"/>
    </row>
    <row r="2012" spans="1:1" hidden="1" x14ac:dyDescent="0.35">
      <c r="A2012" s="1"/>
    </row>
    <row r="2013" spans="1:1" hidden="1" x14ac:dyDescent="0.35">
      <c r="A2013" s="1"/>
    </row>
    <row r="2014" spans="1:1" hidden="1" x14ac:dyDescent="0.35">
      <c r="A2014" s="1"/>
    </row>
    <row r="2015" spans="1:1" hidden="1" x14ac:dyDescent="0.35">
      <c r="A2015" s="1"/>
    </row>
    <row r="2016" spans="1:1" hidden="1" x14ac:dyDescent="0.35">
      <c r="A2016" s="1"/>
    </row>
    <row r="2017" spans="1:1" hidden="1" x14ac:dyDescent="0.35">
      <c r="A2017" s="1"/>
    </row>
    <row r="2018" spans="1:1" hidden="1" x14ac:dyDescent="0.35">
      <c r="A2018" s="1"/>
    </row>
    <row r="2019" spans="1:1" hidden="1" x14ac:dyDescent="0.35">
      <c r="A2019" s="1"/>
    </row>
    <row r="2020" spans="1:1" hidden="1" x14ac:dyDescent="0.35">
      <c r="A2020" s="1"/>
    </row>
    <row r="2021" spans="1:1" hidden="1" x14ac:dyDescent="0.35">
      <c r="A2021" s="1"/>
    </row>
    <row r="2022" spans="1:1" hidden="1" x14ac:dyDescent="0.35">
      <c r="A2022" s="1"/>
    </row>
    <row r="2023" spans="1:1" hidden="1" x14ac:dyDescent="0.35">
      <c r="A2023" s="1"/>
    </row>
    <row r="2024" spans="1:1" hidden="1" x14ac:dyDescent="0.35">
      <c r="A2024" s="1"/>
    </row>
    <row r="2025" spans="1:1" hidden="1" x14ac:dyDescent="0.35">
      <c r="A2025" s="1"/>
    </row>
    <row r="2026" spans="1:1" hidden="1" x14ac:dyDescent="0.35">
      <c r="A2026" s="1"/>
    </row>
    <row r="2027" spans="1:1" hidden="1" x14ac:dyDescent="0.35">
      <c r="A2027" s="1"/>
    </row>
    <row r="2028" spans="1:1" hidden="1" x14ac:dyDescent="0.35">
      <c r="A2028" s="1"/>
    </row>
    <row r="2029" spans="1:1" hidden="1" x14ac:dyDescent="0.35">
      <c r="A2029" s="1"/>
    </row>
    <row r="2030" spans="1:1" hidden="1" x14ac:dyDescent="0.35">
      <c r="A2030" s="1"/>
    </row>
    <row r="2031" spans="1:1" hidden="1" x14ac:dyDescent="0.35">
      <c r="A2031" s="1"/>
    </row>
    <row r="2032" spans="1:1" hidden="1" x14ac:dyDescent="0.35">
      <c r="A2032" s="1"/>
    </row>
    <row r="2033" spans="1:1" hidden="1" x14ac:dyDescent="0.35">
      <c r="A2033" s="1"/>
    </row>
    <row r="2034" spans="1:1" hidden="1" x14ac:dyDescent="0.35">
      <c r="A2034" s="1"/>
    </row>
    <row r="2035" spans="1:1" hidden="1" x14ac:dyDescent="0.35">
      <c r="A2035" s="1"/>
    </row>
    <row r="2036" spans="1:1" hidden="1" x14ac:dyDescent="0.35">
      <c r="A2036" s="1"/>
    </row>
    <row r="2037" spans="1:1" hidden="1" x14ac:dyDescent="0.35">
      <c r="A2037" s="1"/>
    </row>
    <row r="2038" spans="1:1" hidden="1" x14ac:dyDescent="0.35">
      <c r="A2038" s="1"/>
    </row>
    <row r="2039" spans="1:1" hidden="1" x14ac:dyDescent="0.35">
      <c r="A2039" s="1"/>
    </row>
    <row r="2040" spans="1:1" hidden="1" x14ac:dyDescent="0.35">
      <c r="A2040" s="1"/>
    </row>
    <row r="2041" spans="1:1" hidden="1" x14ac:dyDescent="0.35">
      <c r="A2041" s="1"/>
    </row>
    <row r="2042" spans="1:1" hidden="1" x14ac:dyDescent="0.35">
      <c r="A2042" s="1"/>
    </row>
    <row r="2043" spans="1:1" hidden="1" x14ac:dyDescent="0.35">
      <c r="A2043" s="1"/>
    </row>
    <row r="2044" spans="1:1" hidden="1" x14ac:dyDescent="0.35">
      <c r="A2044" s="1"/>
    </row>
    <row r="2045" spans="1:1" hidden="1" x14ac:dyDescent="0.35">
      <c r="A2045" s="1"/>
    </row>
    <row r="2046" spans="1:1" hidden="1" x14ac:dyDescent="0.35">
      <c r="A2046" s="1"/>
    </row>
    <row r="2047" spans="1:1" hidden="1" x14ac:dyDescent="0.35">
      <c r="A2047" s="1"/>
    </row>
    <row r="2048" spans="1:1" hidden="1" x14ac:dyDescent="0.35">
      <c r="A2048" s="1"/>
    </row>
    <row r="2049" spans="1:1" hidden="1" x14ac:dyDescent="0.35">
      <c r="A2049" s="1"/>
    </row>
    <row r="2050" spans="1:1" hidden="1" x14ac:dyDescent="0.35">
      <c r="A2050" s="1"/>
    </row>
    <row r="2051" spans="1:1" hidden="1" x14ac:dyDescent="0.35">
      <c r="A2051" s="1"/>
    </row>
    <row r="2052" spans="1:1" hidden="1" x14ac:dyDescent="0.35">
      <c r="A2052" s="1"/>
    </row>
    <row r="2053" spans="1:1" hidden="1" x14ac:dyDescent="0.35">
      <c r="A2053" s="1"/>
    </row>
    <row r="2054" spans="1:1" hidden="1" x14ac:dyDescent="0.35">
      <c r="A2054" s="1"/>
    </row>
    <row r="2055" spans="1:1" hidden="1" x14ac:dyDescent="0.35">
      <c r="A2055" s="1"/>
    </row>
    <row r="2056" spans="1:1" hidden="1" x14ac:dyDescent="0.35">
      <c r="A2056" s="1"/>
    </row>
    <row r="2057" spans="1:1" hidden="1" x14ac:dyDescent="0.35">
      <c r="A2057" s="1"/>
    </row>
    <row r="2058" spans="1:1" hidden="1" x14ac:dyDescent="0.35">
      <c r="A2058" s="1"/>
    </row>
    <row r="2059" spans="1:1" hidden="1" x14ac:dyDescent="0.35">
      <c r="A2059" s="1"/>
    </row>
    <row r="2060" spans="1:1" hidden="1" x14ac:dyDescent="0.35">
      <c r="A2060" s="1"/>
    </row>
    <row r="2061" spans="1:1" hidden="1" x14ac:dyDescent="0.35">
      <c r="A2061" s="1"/>
    </row>
    <row r="2062" spans="1:1" hidden="1" x14ac:dyDescent="0.35">
      <c r="A2062" s="1"/>
    </row>
    <row r="2063" spans="1:1" hidden="1" x14ac:dyDescent="0.35">
      <c r="A2063" s="1"/>
    </row>
    <row r="2064" spans="1:1" hidden="1" x14ac:dyDescent="0.35">
      <c r="A2064" s="1"/>
    </row>
    <row r="2065" spans="1:1" hidden="1" x14ac:dyDescent="0.35">
      <c r="A2065" s="1"/>
    </row>
    <row r="2066" spans="1:1" hidden="1" x14ac:dyDescent="0.35">
      <c r="A2066" s="1"/>
    </row>
    <row r="2067" spans="1:1" hidden="1" x14ac:dyDescent="0.35">
      <c r="A2067" s="1"/>
    </row>
    <row r="2068" spans="1:1" hidden="1" x14ac:dyDescent="0.35">
      <c r="A2068" s="1"/>
    </row>
    <row r="2069" spans="1:1" hidden="1" x14ac:dyDescent="0.35">
      <c r="A2069" s="1"/>
    </row>
    <row r="2070" spans="1:1" hidden="1" x14ac:dyDescent="0.35">
      <c r="A2070" s="1"/>
    </row>
    <row r="2071" spans="1:1" hidden="1" x14ac:dyDescent="0.35">
      <c r="A2071" s="1"/>
    </row>
    <row r="2072" spans="1:1" hidden="1" x14ac:dyDescent="0.35">
      <c r="A2072" s="1"/>
    </row>
    <row r="2073" spans="1:1" hidden="1" x14ac:dyDescent="0.35">
      <c r="A2073" s="1"/>
    </row>
    <row r="2074" spans="1:1" hidden="1" x14ac:dyDescent="0.35">
      <c r="A2074" s="1"/>
    </row>
    <row r="2075" spans="1:1" hidden="1" x14ac:dyDescent="0.35">
      <c r="A2075" s="1"/>
    </row>
    <row r="2076" spans="1:1" hidden="1" x14ac:dyDescent="0.35">
      <c r="A2076" s="1"/>
    </row>
    <row r="2077" spans="1:1" hidden="1" x14ac:dyDescent="0.35">
      <c r="A2077" s="1"/>
    </row>
    <row r="2078" spans="1:1" hidden="1" x14ac:dyDescent="0.35">
      <c r="A2078" s="1"/>
    </row>
    <row r="2079" spans="1:1" hidden="1" x14ac:dyDescent="0.35">
      <c r="A2079" s="1"/>
    </row>
    <row r="2080" spans="1:1" hidden="1" x14ac:dyDescent="0.35">
      <c r="A2080" s="1"/>
    </row>
    <row r="2081" spans="1:1" hidden="1" x14ac:dyDescent="0.35">
      <c r="A2081" s="1"/>
    </row>
    <row r="2082" spans="1:1" hidden="1" x14ac:dyDescent="0.35">
      <c r="A2082" s="1"/>
    </row>
    <row r="2083" spans="1:1" hidden="1" x14ac:dyDescent="0.35">
      <c r="A2083" s="1"/>
    </row>
    <row r="2084" spans="1:1" hidden="1" x14ac:dyDescent="0.35">
      <c r="A2084" s="1"/>
    </row>
    <row r="2085" spans="1:1" hidden="1" x14ac:dyDescent="0.35">
      <c r="A2085" s="1"/>
    </row>
    <row r="2086" spans="1:1" hidden="1" x14ac:dyDescent="0.35">
      <c r="A2086" s="1"/>
    </row>
    <row r="2087" spans="1:1" hidden="1" x14ac:dyDescent="0.35">
      <c r="A2087" s="1"/>
    </row>
    <row r="2088" spans="1:1" hidden="1" x14ac:dyDescent="0.35">
      <c r="A2088" s="1"/>
    </row>
    <row r="2089" spans="1:1" hidden="1" x14ac:dyDescent="0.35">
      <c r="A2089" s="1"/>
    </row>
    <row r="2090" spans="1:1" hidden="1" x14ac:dyDescent="0.35">
      <c r="A2090" s="1"/>
    </row>
    <row r="2091" spans="1:1" hidden="1" x14ac:dyDescent="0.35">
      <c r="A2091" s="1"/>
    </row>
    <row r="2092" spans="1:1" hidden="1" x14ac:dyDescent="0.35">
      <c r="A2092" s="1"/>
    </row>
    <row r="2093" spans="1:1" hidden="1" x14ac:dyDescent="0.35">
      <c r="A2093" s="1"/>
    </row>
    <row r="2094" spans="1:1" hidden="1" x14ac:dyDescent="0.35">
      <c r="A2094" s="1"/>
    </row>
    <row r="2095" spans="1:1" hidden="1" x14ac:dyDescent="0.35">
      <c r="A2095" s="1"/>
    </row>
    <row r="2096" spans="1:1" hidden="1" x14ac:dyDescent="0.35">
      <c r="A2096" s="1"/>
    </row>
    <row r="2097" spans="1:1" hidden="1" x14ac:dyDescent="0.35">
      <c r="A2097" s="1"/>
    </row>
    <row r="2098" spans="1:1" hidden="1" x14ac:dyDescent="0.35">
      <c r="A2098" s="1"/>
    </row>
    <row r="2099" spans="1:1" hidden="1" x14ac:dyDescent="0.35">
      <c r="A2099" s="1"/>
    </row>
    <row r="2100" spans="1:1" hidden="1" x14ac:dyDescent="0.35">
      <c r="A2100" s="1"/>
    </row>
    <row r="2101" spans="1:1" hidden="1" x14ac:dyDescent="0.35">
      <c r="A2101" s="1"/>
    </row>
    <row r="2102" spans="1:1" hidden="1" x14ac:dyDescent="0.35">
      <c r="A2102" s="1"/>
    </row>
    <row r="2103" spans="1:1" hidden="1" x14ac:dyDescent="0.35">
      <c r="A2103" s="1"/>
    </row>
    <row r="2104" spans="1:1" hidden="1" x14ac:dyDescent="0.35">
      <c r="A2104" s="1"/>
    </row>
    <row r="2105" spans="1:1" hidden="1" x14ac:dyDescent="0.35">
      <c r="A2105" s="1"/>
    </row>
    <row r="2106" spans="1:1" hidden="1" x14ac:dyDescent="0.35">
      <c r="A2106" s="1"/>
    </row>
    <row r="2107" spans="1:1" hidden="1" x14ac:dyDescent="0.35">
      <c r="A2107" s="1"/>
    </row>
    <row r="2108" spans="1:1" hidden="1" x14ac:dyDescent="0.35">
      <c r="A2108" s="1"/>
    </row>
    <row r="2109" spans="1:1" hidden="1" x14ac:dyDescent="0.35">
      <c r="A2109" s="1"/>
    </row>
    <row r="2110" spans="1:1" hidden="1" x14ac:dyDescent="0.35">
      <c r="A2110" s="1"/>
    </row>
    <row r="2111" spans="1:1" hidden="1" x14ac:dyDescent="0.35">
      <c r="A2111" s="1"/>
    </row>
    <row r="2112" spans="1:1" hidden="1" x14ac:dyDescent="0.35">
      <c r="A2112" s="1"/>
    </row>
    <row r="2113" spans="1:1" hidden="1" x14ac:dyDescent="0.35">
      <c r="A2113" s="1"/>
    </row>
    <row r="2114" spans="1:1" hidden="1" x14ac:dyDescent="0.35">
      <c r="A2114" s="1"/>
    </row>
    <row r="2115" spans="1:1" hidden="1" x14ac:dyDescent="0.35">
      <c r="A2115" s="1"/>
    </row>
    <row r="2116" spans="1:1" hidden="1" x14ac:dyDescent="0.35">
      <c r="A2116" s="1"/>
    </row>
    <row r="2117" spans="1:1" hidden="1" x14ac:dyDescent="0.35">
      <c r="A2117" s="1"/>
    </row>
    <row r="2118" spans="1:1" hidden="1" x14ac:dyDescent="0.35">
      <c r="A2118" s="1"/>
    </row>
    <row r="2119" spans="1:1" hidden="1" x14ac:dyDescent="0.35">
      <c r="A2119" s="1"/>
    </row>
    <row r="2120" spans="1:1" hidden="1" x14ac:dyDescent="0.35">
      <c r="A2120" s="1"/>
    </row>
    <row r="2121" spans="1:1" hidden="1" x14ac:dyDescent="0.35">
      <c r="A2121" s="1"/>
    </row>
    <row r="2122" spans="1:1" hidden="1" x14ac:dyDescent="0.35">
      <c r="A2122" s="1"/>
    </row>
    <row r="2123" spans="1:1" hidden="1" x14ac:dyDescent="0.35">
      <c r="A2123" s="1"/>
    </row>
    <row r="2124" spans="1:1" hidden="1" x14ac:dyDescent="0.35">
      <c r="A2124" s="1"/>
    </row>
    <row r="2125" spans="1:1" hidden="1" x14ac:dyDescent="0.35">
      <c r="A2125" s="1"/>
    </row>
    <row r="2126" spans="1:1" hidden="1" x14ac:dyDescent="0.35">
      <c r="A2126" s="1"/>
    </row>
    <row r="2127" spans="1:1" hidden="1" x14ac:dyDescent="0.35">
      <c r="A2127" s="1"/>
    </row>
    <row r="2128" spans="1:1" hidden="1" x14ac:dyDescent="0.35">
      <c r="A2128" s="1"/>
    </row>
    <row r="2129" spans="1:1" hidden="1" x14ac:dyDescent="0.35">
      <c r="A2129" s="1"/>
    </row>
    <row r="2130" spans="1:1" hidden="1" x14ac:dyDescent="0.35">
      <c r="A2130" s="1"/>
    </row>
    <row r="2131" spans="1:1" hidden="1" x14ac:dyDescent="0.35">
      <c r="A2131" s="1"/>
    </row>
    <row r="2132" spans="1:1" hidden="1" x14ac:dyDescent="0.35">
      <c r="A2132" s="1"/>
    </row>
    <row r="2133" spans="1:1" hidden="1" x14ac:dyDescent="0.35">
      <c r="A2133" s="1"/>
    </row>
    <row r="2134" spans="1:1" hidden="1" x14ac:dyDescent="0.35">
      <c r="A2134" s="1"/>
    </row>
    <row r="2135" spans="1:1" hidden="1" x14ac:dyDescent="0.35">
      <c r="A2135" s="1"/>
    </row>
    <row r="2136" spans="1:1" hidden="1" x14ac:dyDescent="0.35">
      <c r="A2136" s="1"/>
    </row>
    <row r="2137" spans="1:1" hidden="1" x14ac:dyDescent="0.35">
      <c r="A2137" s="1"/>
    </row>
    <row r="2138" spans="1:1" hidden="1" x14ac:dyDescent="0.35">
      <c r="A2138" s="1"/>
    </row>
    <row r="2139" spans="1:1" hidden="1" x14ac:dyDescent="0.35">
      <c r="A2139" s="1"/>
    </row>
    <row r="2140" spans="1:1" hidden="1" x14ac:dyDescent="0.35">
      <c r="A2140" s="1"/>
    </row>
    <row r="2141" spans="1:1" hidden="1" x14ac:dyDescent="0.35">
      <c r="A2141" s="1"/>
    </row>
    <row r="2142" spans="1:1" hidden="1" x14ac:dyDescent="0.35">
      <c r="A2142" s="1"/>
    </row>
    <row r="2143" spans="1:1" hidden="1" x14ac:dyDescent="0.35">
      <c r="A2143" s="1"/>
    </row>
    <row r="2144" spans="1:1" hidden="1" x14ac:dyDescent="0.35">
      <c r="A2144" s="1"/>
    </row>
    <row r="2145" spans="1:1" hidden="1" x14ac:dyDescent="0.35">
      <c r="A2145" s="1"/>
    </row>
    <row r="2146" spans="1:1" hidden="1" x14ac:dyDescent="0.35">
      <c r="A2146" s="1"/>
    </row>
    <row r="2147" spans="1:1" hidden="1" x14ac:dyDescent="0.35">
      <c r="A2147" s="1"/>
    </row>
    <row r="2148" spans="1:1" hidden="1" x14ac:dyDescent="0.35">
      <c r="A2148" s="1"/>
    </row>
    <row r="2149" spans="1:1" hidden="1" x14ac:dyDescent="0.35">
      <c r="A2149" s="1"/>
    </row>
    <row r="2150" spans="1:1" hidden="1" x14ac:dyDescent="0.35">
      <c r="A2150" s="1"/>
    </row>
    <row r="2151" spans="1:1" hidden="1" x14ac:dyDescent="0.35">
      <c r="A2151" s="1"/>
    </row>
    <row r="2152" spans="1:1" hidden="1" x14ac:dyDescent="0.35">
      <c r="A2152" s="1"/>
    </row>
    <row r="2153" spans="1:1" hidden="1" x14ac:dyDescent="0.35">
      <c r="A2153" s="1"/>
    </row>
    <row r="2154" spans="1:1" hidden="1" x14ac:dyDescent="0.35">
      <c r="A2154" s="1"/>
    </row>
    <row r="2155" spans="1:1" hidden="1" x14ac:dyDescent="0.35">
      <c r="A2155" s="1"/>
    </row>
    <row r="2156" spans="1:1" hidden="1" x14ac:dyDescent="0.35">
      <c r="A2156" s="1"/>
    </row>
    <row r="2157" spans="1:1" hidden="1" x14ac:dyDescent="0.35">
      <c r="A2157" s="1"/>
    </row>
    <row r="2158" spans="1:1" hidden="1" x14ac:dyDescent="0.35">
      <c r="A2158" s="1"/>
    </row>
    <row r="2159" spans="1:1" hidden="1" x14ac:dyDescent="0.35">
      <c r="A2159" s="1"/>
    </row>
    <row r="2160" spans="1:1" hidden="1" x14ac:dyDescent="0.35">
      <c r="A2160" s="1"/>
    </row>
    <row r="2161" spans="1:1" hidden="1" x14ac:dyDescent="0.35">
      <c r="A2161" s="1"/>
    </row>
    <row r="2162" spans="1:1" hidden="1" x14ac:dyDescent="0.35">
      <c r="A2162" s="1"/>
    </row>
    <row r="2163" spans="1:1" hidden="1" x14ac:dyDescent="0.35">
      <c r="A2163" s="1"/>
    </row>
    <row r="2164" spans="1:1" hidden="1" x14ac:dyDescent="0.35">
      <c r="A2164" s="1"/>
    </row>
    <row r="2165" spans="1:1" hidden="1" x14ac:dyDescent="0.35">
      <c r="A2165" s="1"/>
    </row>
    <row r="2166" spans="1:1" hidden="1" x14ac:dyDescent="0.35">
      <c r="A2166" s="1"/>
    </row>
    <row r="2167" spans="1:1" hidden="1" x14ac:dyDescent="0.35">
      <c r="A2167" s="1"/>
    </row>
    <row r="2168" spans="1:1" hidden="1" x14ac:dyDescent="0.35">
      <c r="A2168" s="1"/>
    </row>
    <row r="2169" spans="1:1" hidden="1" x14ac:dyDescent="0.35">
      <c r="A2169" s="1"/>
    </row>
    <row r="2170" spans="1:1" hidden="1" x14ac:dyDescent="0.35">
      <c r="A2170" s="1"/>
    </row>
    <row r="2171" spans="1:1" hidden="1" x14ac:dyDescent="0.35">
      <c r="A2171" s="1"/>
    </row>
    <row r="2172" spans="1:1" hidden="1" x14ac:dyDescent="0.35">
      <c r="A2172" s="1"/>
    </row>
    <row r="2173" spans="1:1" hidden="1" x14ac:dyDescent="0.35">
      <c r="A2173" s="1"/>
    </row>
    <row r="2174" spans="1:1" hidden="1" x14ac:dyDescent="0.35">
      <c r="A2174" s="1"/>
    </row>
    <row r="2175" spans="1:1" hidden="1" x14ac:dyDescent="0.35">
      <c r="A2175" s="1"/>
    </row>
    <row r="2176" spans="1:1" hidden="1" x14ac:dyDescent="0.35">
      <c r="A2176" s="1"/>
    </row>
    <row r="2177" spans="1:1" hidden="1" x14ac:dyDescent="0.35">
      <c r="A2177" s="1"/>
    </row>
    <row r="2178" spans="1:1" hidden="1" x14ac:dyDescent="0.35">
      <c r="A2178" s="1"/>
    </row>
    <row r="2179" spans="1:1" hidden="1" x14ac:dyDescent="0.35">
      <c r="A2179" s="1"/>
    </row>
    <row r="2180" spans="1:1" hidden="1" x14ac:dyDescent="0.35">
      <c r="A2180" s="1"/>
    </row>
    <row r="2181" spans="1:1" hidden="1" x14ac:dyDescent="0.35">
      <c r="A2181" s="1"/>
    </row>
    <row r="2182" spans="1:1" hidden="1" x14ac:dyDescent="0.35">
      <c r="A2182" s="1"/>
    </row>
    <row r="2183" spans="1:1" hidden="1" x14ac:dyDescent="0.35">
      <c r="A2183" s="1"/>
    </row>
    <row r="2184" spans="1:1" hidden="1" x14ac:dyDescent="0.35">
      <c r="A2184" s="1"/>
    </row>
    <row r="2185" spans="1:1" hidden="1" x14ac:dyDescent="0.35">
      <c r="A2185" s="1"/>
    </row>
    <row r="2186" spans="1:1" hidden="1" x14ac:dyDescent="0.35">
      <c r="A2186" s="1"/>
    </row>
    <row r="2187" spans="1:1" hidden="1" x14ac:dyDescent="0.35">
      <c r="A2187" s="1"/>
    </row>
    <row r="2188" spans="1:1" hidden="1" x14ac:dyDescent="0.35">
      <c r="A2188" s="1"/>
    </row>
    <row r="2189" spans="1:1" hidden="1" x14ac:dyDescent="0.35">
      <c r="A2189" s="1"/>
    </row>
    <row r="2190" spans="1:1" hidden="1" x14ac:dyDescent="0.35">
      <c r="A2190" s="1"/>
    </row>
    <row r="2191" spans="1:1" hidden="1" x14ac:dyDescent="0.35">
      <c r="A2191" s="1"/>
    </row>
    <row r="2192" spans="1:1" hidden="1" x14ac:dyDescent="0.35">
      <c r="A2192" s="1"/>
    </row>
    <row r="2193" spans="1:1" hidden="1" x14ac:dyDescent="0.35">
      <c r="A2193" s="1"/>
    </row>
    <row r="2194" spans="1:1" hidden="1" x14ac:dyDescent="0.35">
      <c r="A2194" s="1"/>
    </row>
    <row r="2195" spans="1:1" hidden="1" x14ac:dyDescent="0.35">
      <c r="A2195" s="1"/>
    </row>
    <row r="2196" spans="1:1" hidden="1" x14ac:dyDescent="0.35">
      <c r="A2196" s="1"/>
    </row>
    <row r="2197" spans="1:1" hidden="1" x14ac:dyDescent="0.35">
      <c r="A2197" s="1"/>
    </row>
    <row r="2198" spans="1:1" hidden="1" x14ac:dyDescent="0.35">
      <c r="A2198" s="1"/>
    </row>
    <row r="2199" spans="1:1" hidden="1" x14ac:dyDescent="0.35">
      <c r="A2199" s="1"/>
    </row>
    <row r="2200" spans="1:1" hidden="1" x14ac:dyDescent="0.35">
      <c r="A2200" s="1"/>
    </row>
    <row r="2201" spans="1:1" hidden="1" x14ac:dyDescent="0.35">
      <c r="A2201" s="1"/>
    </row>
    <row r="2202" spans="1:1" hidden="1" x14ac:dyDescent="0.35">
      <c r="A2202" s="1"/>
    </row>
    <row r="2203" spans="1:1" hidden="1" x14ac:dyDescent="0.35">
      <c r="A2203" s="1"/>
    </row>
    <row r="2204" spans="1:1" hidden="1" x14ac:dyDescent="0.35">
      <c r="A2204" s="1"/>
    </row>
    <row r="2205" spans="1:1" hidden="1" x14ac:dyDescent="0.35">
      <c r="A2205" s="1"/>
    </row>
    <row r="2206" spans="1:1" hidden="1" x14ac:dyDescent="0.35">
      <c r="A2206" s="1"/>
    </row>
    <row r="2207" spans="1:1" hidden="1" x14ac:dyDescent="0.35">
      <c r="A2207" s="1"/>
    </row>
    <row r="2208" spans="1:1" hidden="1" x14ac:dyDescent="0.35">
      <c r="A2208" s="1"/>
    </row>
    <row r="2209" spans="1:1" hidden="1" x14ac:dyDescent="0.35">
      <c r="A2209" s="1"/>
    </row>
    <row r="2210" spans="1:1" hidden="1" x14ac:dyDescent="0.35">
      <c r="A2210" s="1"/>
    </row>
    <row r="2211" spans="1:1" hidden="1" x14ac:dyDescent="0.35">
      <c r="A2211" s="1"/>
    </row>
    <row r="2212" spans="1:1" hidden="1" x14ac:dyDescent="0.35">
      <c r="A2212" s="1"/>
    </row>
    <row r="2213" spans="1:1" hidden="1" x14ac:dyDescent="0.35">
      <c r="A2213" s="1"/>
    </row>
    <row r="2214" spans="1:1" hidden="1" x14ac:dyDescent="0.35">
      <c r="A2214" s="1"/>
    </row>
    <row r="2215" spans="1:1" hidden="1" x14ac:dyDescent="0.35">
      <c r="A2215" s="1"/>
    </row>
    <row r="2216" spans="1:1" hidden="1" x14ac:dyDescent="0.35">
      <c r="A2216" s="1"/>
    </row>
    <row r="2217" spans="1:1" hidden="1" x14ac:dyDescent="0.35">
      <c r="A2217" s="1"/>
    </row>
    <row r="2218" spans="1:1" hidden="1" x14ac:dyDescent="0.35">
      <c r="A2218" s="1"/>
    </row>
    <row r="2219" spans="1:1" hidden="1" x14ac:dyDescent="0.35">
      <c r="A2219" s="1"/>
    </row>
    <row r="2220" spans="1:1" hidden="1" x14ac:dyDescent="0.35">
      <c r="A2220" s="1"/>
    </row>
    <row r="2221" spans="1:1" hidden="1" x14ac:dyDescent="0.35">
      <c r="A2221" s="1"/>
    </row>
    <row r="2222" spans="1:1" hidden="1" x14ac:dyDescent="0.35">
      <c r="A2222" s="1"/>
    </row>
    <row r="2223" spans="1:1" hidden="1" x14ac:dyDescent="0.35">
      <c r="A2223" s="1"/>
    </row>
    <row r="2224" spans="1:1" hidden="1" x14ac:dyDescent="0.35">
      <c r="A2224" s="1"/>
    </row>
    <row r="2225" spans="1:1" hidden="1" x14ac:dyDescent="0.35">
      <c r="A2225" s="1"/>
    </row>
    <row r="2226" spans="1:1" hidden="1" x14ac:dyDescent="0.35">
      <c r="A2226" s="1"/>
    </row>
    <row r="2227" spans="1:1" hidden="1" x14ac:dyDescent="0.35">
      <c r="A2227" s="1"/>
    </row>
    <row r="2228" spans="1:1" hidden="1" x14ac:dyDescent="0.35">
      <c r="A2228" s="1"/>
    </row>
    <row r="2229" spans="1:1" hidden="1" x14ac:dyDescent="0.35">
      <c r="A2229" s="1"/>
    </row>
    <row r="2230" spans="1:1" hidden="1" x14ac:dyDescent="0.35">
      <c r="A2230" s="1"/>
    </row>
    <row r="2231" spans="1:1" hidden="1" x14ac:dyDescent="0.35">
      <c r="A2231" s="1"/>
    </row>
    <row r="2232" spans="1:1" hidden="1" x14ac:dyDescent="0.35">
      <c r="A2232" s="1"/>
    </row>
    <row r="2233" spans="1:1" hidden="1" x14ac:dyDescent="0.35">
      <c r="A2233" s="1"/>
    </row>
    <row r="2234" spans="1:1" hidden="1" x14ac:dyDescent="0.35">
      <c r="A2234" s="1"/>
    </row>
    <row r="2235" spans="1:1" hidden="1" x14ac:dyDescent="0.35">
      <c r="A2235" s="1"/>
    </row>
    <row r="2236" spans="1:1" hidden="1" x14ac:dyDescent="0.35">
      <c r="A2236" s="1"/>
    </row>
    <row r="2237" spans="1:1" hidden="1" x14ac:dyDescent="0.35">
      <c r="A2237" s="1"/>
    </row>
    <row r="2238" spans="1:1" hidden="1" x14ac:dyDescent="0.35">
      <c r="A2238" s="1"/>
    </row>
    <row r="2239" spans="1:1" hidden="1" x14ac:dyDescent="0.35">
      <c r="A2239" s="1"/>
    </row>
    <row r="2240" spans="1:1" hidden="1" x14ac:dyDescent="0.35">
      <c r="A2240" s="1"/>
    </row>
    <row r="2241" spans="1:1" hidden="1" x14ac:dyDescent="0.35">
      <c r="A2241" s="1"/>
    </row>
    <row r="2242" spans="1:1" hidden="1" x14ac:dyDescent="0.35">
      <c r="A2242" s="1"/>
    </row>
    <row r="2243" spans="1:1" hidden="1" x14ac:dyDescent="0.35">
      <c r="A2243" s="1"/>
    </row>
    <row r="2244" spans="1:1" hidden="1" x14ac:dyDescent="0.35">
      <c r="A2244" s="1"/>
    </row>
    <row r="2245" spans="1:1" hidden="1" x14ac:dyDescent="0.35">
      <c r="A2245" s="1"/>
    </row>
    <row r="2246" spans="1:1" hidden="1" x14ac:dyDescent="0.35">
      <c r="A2246" s="1"/>
    </row>
    <row r="2247" spans="1:1" hidden="1" x14ac:dyDescent="0.35">
      <c r="A2247" s="1"/>
    </row>
    <row r="2248" spans="1:1" hidden="1" x14ac:dyDescent="0.35">
      <c r="A2248" s="1"/>
    </row>
    <row r="2249" spans="1:1" hidden="1" x14ac:dyDescent="0.35">
      <c r="A2249" s="1"/>
    </row>
    <row r="2250" spans="1:1" hidden="1" x14ac:dyDescent="0.35">
      <c r="A2250" s="1"/>
    </row>
    <row r="2251" spans="1:1" hidden="1" x14ac:dyDescent="0.35">
      <c r="A2251" s="1"/>
    </row>
    <row r="2252" spans="1:1" hidden="1" x14ac:dyDescent="0.35">
      <c r="A2252" s="1"/>
    </row>
    <row r="2253" spans="1:1" hidden="1" x14ac:dyDescent="0.35">
      <c r="A2253" s="1"/>
    </row>
    <row r="2254" spans="1:1" hidden="1" x14ac:dyDescent="0.35">
      <c r="A2254" s="1"/>
    </row>
    <row r="2255" spans="1:1" hidden="1" x14ac:dyDescent="0.35">
      <c r="A2255" s="1"/>
    </row>
    <row r="2256" spans="1:1" hidden="1" x14ac:dyDescent="0.35">
      <c r="A2256" s="1"/>
    </row>
    <row r="2257" spans="1:1" hidden="1" x14ac:dyDescent="0.35">
      <c r="A2257" s="1"/>
    </row>
    <row r="2258" spans="1:1" hidden="1" x14ac:dyDescent="0.35">
      <c r="A2258" s="1"/>
    </row>
    <row r="2259" spans="1:1" hidden="1" x14ac:dyDescent="0.35">
      <c r="A2259" s="1"/>
    </row>
    <row r="2260" spans="1:1" hidden="1" x14ac:dyDescent="0.35">
      <c r="A2260" s="1"/>
    </row>
    <row r="2261" spans="1:1" hidden="1" x14ac:dyDescent="0.35">
      <c r="A2261" s="1"/>
    </row>
    <row r="2262" spans="1:1" hidden="1" x14ac:dyDescent="0.35">
      <c r="A2262" s="1"/>
    </row>
    <row r="2263" spans="1:1" hidden="1" x14ac:dyDescent="0.35">
      <c r="A2263" s="1"/>
    </row>
    <row r="2264" spans="1:1" hidden="1" x14ac:dyDescent="0.35">
      <c r="A2264" s="1"/>
    </row>
    <row r="2265" spans="1:1" hidden="1" x14ac:dyDescent="0.35">
      <c r="A2265" s="1"/>
    </row>
    <row r="2266" spans="1:1" hidden="1" x14ac:dyDescent="0.35">
      <c r="A2266" s="1"/>
    </row>
    <row r="2267" spans="1:1" hidden="1" x14ac:dyDescent="0.35">
      <c r="A2267" s="1"/>
    </row>
    <row r="2268" spans="1:1" hidden="1" x14ac:dyDescent="0.35">
      <c r="A2268" s="1"/>
    </row>
    <row r="2269" spans="1:1" hidden="1" x14ac:dyDescent="0.35">
      <c r="A2269" s="1"/>
    </row>
    <row r="2270" spans="1:1" hidden="1" x14ac:dyDescent="0.35">
      <c r="A2270" s="1"/>
    </row>
    <row r="2271" spans="1:1" hidden="1" x14ac:dyDescent="0.35">
      <c r="A2271" s="1"/>
    </row>
    <row r="2272" spans="1:1" hidden="1" x14ac:dyDescent="0.35">
      <c r="A2272" s="1"/>
    </row>
    <row r="2273" spans="1:1" hidden="1" x14ac:dyDescent="0.35">
      <c r="A2273" s="1"/>
    </row>
    <row r="2274" spans="1:1" hidden="1" x14ac:dyDescent="0.35">
      <c r="A2274" s="1"/>
    </row>
    <row r="2275" spans="1:1" hidden="1" x14ac:dyDescent="0.35">
      <c r="A2275" s="1"/>
    </row>
    <row r="2276" spans="1:1" hidden="1" x14ac:dyDescent="0.35">
      <c r="A2276" s="1"/>
    </row>
    <row r="2277" spans="1:1" hidden="1" x14ac:dyDescent="0.35">
      <c r="A2277" s="1"/>
    </row>
    <row r="2278" spans="1:1" hidden="1" x14ac:dyDescent="0.35">
      <c r="A2278" s="1"/>
    </row>
    <row r="2279" spans="1:1" hidden="1" x14ac:dyDescent="0.35">
      <c r="A2279" s="1"/>
    </row>
    <row r="2280" spans="1:1" hidden="1" x14ac:dyDescent="0.35">
      <c r="A2280" s="1"/>
    </row>
    <row r="2281" spans="1:1" hidden="1" x14ac:dyDescent="0.35">
      <c r="A2281" s="1"/>
    </row>
    <row r="2282" spans="1:1" hidden="1" x14ac:dyDescent="0.35">
      <c r="A2282" s="1"/>
    </row>
    <row r="2283" spans="1:1" hidden="1" x14ac:dyDescent="0.35">
      <c r="A2283" s="1"/>
    </row>
    <row r="2284" spans="1:1" hidden="1" x14ac:dyDescent="0.35">
      <c r="A2284" s="1"/>
    </row>
    <row r="2285" spans="1:1" hidden="1" x14ac:dyDescent="0.35">
      <c r="A2285" s="1"/>
    </row>
    <row r="2286" spans="1:1" hidden="1" x14ac:dyDescent="0.35">
      <c r="A2286" s="1"/>
    </row>
    <row r="2287" spans="1:1" hidden="1" x14ac:dyDescent="0.35">
      <c r="A2287" s="1"/>
    </row>
    <row r="2288" spans="1:1" hidden="1" x14ac:dyDescent="0.35">
      <c r="A2288" s="1"/>
    </row>
    <row r="2289" spans="1:1" hidden="1" x14ac:dyDescent="0.35">
      <c r="A2289" s="1"/>
    </row>
    <row r="2290" spans="1:1" hidden="1" x14ac:dyDescent="0.35">
      <c r="A2290" s="1"/>
    </row>
    <row r="2291" spans="1:1" hidden="1" x14ac:dyDescent="0.35">
      <c r="A2291" s="1"/>
    </row>
    <row r="2292" spans="1:1" hidden="1" x14ac:dyDescent="0.35">
      <c r="A2292" s="1"/>
    </row>
    <row r="2293" spans="1:1" hidden="1" x14ac:dyDescent="0.35">
      <c r="A2293" s="1"/>
    </row>
    <row r="2294" spans="1:1" hidden="1" x14ac:dyDescent="0.35">
      <c r="A2294" s="1"/>
    </row>
    <row r="2295" spans="1:1" hidden="1" x14ac:dyDescent="0.35">
      <c r="A2295" s="1"/>
    </row>
    <row r="2296" spans="1:1" hidden="1" x14ac:dyDescent="0.35">
      <c r="A2296" s="1"/>
    </row>
    <row r="2297" spans="1:1" hidden="1" x14ac:dyDescent="0.35">
      <c r="A2297" s="1"/>
    </row>
    <row r="2298" spans="1:1" hidden="1" x14ac:dyDescent="0.35">
      <c r="A2298" s="1"/>
    </row>
    <row r="2299" spans="1:1" hidden="1" x14ac:dyDescent="0.35">
      <c r="A2299" s="1"/>
    </row>
    <row r="2300" spans="1:1" hidden="1" x14ac:dyDescent="0.35">
      <c r="A2300" s="1"/>
    </row>
    <row r="2301" spans="1:1" hidden="1" x14ac:dyDescent="0.35">
      <c r="A2301" s="1"/>
    </row>
    <row r="2302" spans="1:1" hidden="1" x14ac:dyDescent="0.35">
      <c r="A2302" s="1"/>
    </row>
    <row r="2303" spans="1:1" hidden="1" x14ac:dyDescent="0.35">
      <c r="A2303" s="1"/>
    </row>
    <row r="2304" spans="1:1" hidden="1" x14ac:dyDescent="0.35">
      <c r="A2304" s="1"/>
    </row>
    <row r="2305" spans="1:1" hidden="1" x14ac:dyDescent="0.35">
      <c r="A2305" s="1"/>
    </row>
    <row r="2306" spans="1:1" hidden="1" x14ac:dyDescent="0.35">
      <c r="A2306" s="1"/>
    </row>
    <row r="2307" spans="1:1" hidden="1" x14ac:dyDescent="0.35">
      <c r="A2307" s="1"/>
    </row>
    <row r="2308" spans="1:1" hidden="1" x14ac:dyDescent="0.35">
      <c r="A2308" s="1"/>
    </row>
    <row r="2309" spans="1:1" hidden="1" x14ac:dyDescent="0.35">
      <c r="A2309" s="1"/>
    </row>
    <row r="2310" spans="1:1" hidden="1" x14ac:dyDescent="0.35">
      <c r="A2310" s="1"/>
    </row>
    <row r="2311" spans="1:1" hidden="1" x14ac:dyDescent="0.35">
      <c r="A2311" s="1"/>
    </row>
    <row r="2312" spans="1:1" hidden="1" x14ac:dyDescent="0.35">
      <c r="A2312" s="1"/>
    </row>
    <row r="2313" spans="1:1" hidden="1" x14ac:dyDescent="0.35">
      <c r="A2313" s="1"/>
    </row>
    <row r="2314" spans="1:1" hidden="1" x14ac:dyDescent="0.35">
      <c r="A2314" s="1"/>
    </row>
    <row r="2315" spans="1:1" hidden="1" x14ac:dyDescent="0.35">
      <c r="A2315" s="1"/>
    </row>
    <row r="2316" spans="1:1" hidden="1" x14ac:dyDescent="0.35">
      <c r="A2316" s="1"/>
    </row>
    <row r="2317" spans="1:1" hidden="1" x14ac:dyDescent="0.35">
      <c r="A2317" s="1"/>
    </row>
    <row r="2318" spans="1:1" hidden="1" x14ac:dyDescent="0.35">
      <c r="A2318" s="1"/>
    </row>
    <row r="2319" spans="1:1" hidden="1" x14ac:dyDescent="0.35">
      <c r="A2319" s="1"/>
    </row>
    <row r="2320" spans="1:1" hidden="1" x14ac:dyDescent="0.35">
      <c r="A2320" s="1"/>
    </row>
    <row r="2321" spans="1:1" hidden="1" x14ac:dyDescent="0.35">
      <c r="A2321" s="1"/>
    </row>
    <row r="2322" spans="1:1" hidden="1" x14ac:dyDescent="0.35">
      <c r="A2322" s="1"/>
    </row>
    <row r="2323" spans="1:1" hidden="1" x14ac:dyDescent="0.35">
      <c r="A2323" s="1"/>
    </row>
    <row r="2324" spans="1:1" hidden="1" x14ac:dyDescent="0.35">
      <c r="A2324" s="1"/>
    </row>
    <row r="2325" spans="1:1" hidden="1" x14ac:dyDescent="0.35">
      <c r="A2325" s="1"/>
    </row>
    <row r="2326" spans="1:1" hidden="1" x14ac:dyDescent="0.35">
      <c r="A2326" s="1"/>
    </row>
    <row r="2327" spans="1:1" hidden="1" x14ac:dyDescent="0.35">
      <c r="A2327" s="1"/>
    </row>
    <row r="2328" spans="1:1" hidden="1" x14ac:dyDescent="0.35">
      <c r="A2328" s="1"/>
    </row>
    <row r="2329" spans="1:1" hidden="1" x14ac:dyDescent="0.35">
      <c r="A2329" s="1"/>
    </row>
    <row r="2330" spans="1:1" hidden="1" x14ac:dyDescent="0.35">
      <c r="A2330" s="1"/>
    </row>
    <row r="2331" spans="1:1" hidden="1" x14ac:dyDescent="0.35">
      <c r="A2331" s="1"/>
    </row>
    <row r="2332" spans="1:1" hidden="1" x14ac:dyDescent="0.35">
      <c r="A2332" s="1"/>
    </row>
    <row r="2333" spans="1:1" hidden="1" x14ac:dyDescent="0.35">
      <c r="A2333" s="1"/>
    </row>
    <row r="2334" spans="1:1" hidden="1" x14ac:dyDescent="0.35">
      <c r="A2334" s="1"/>
    </row>
    <row r="2335" spans="1:1" hidden="1" x14ac:dyDescent="0.35">
      <c r="A2335" s="1"/>
    </row>
    <row r="2336" spans="1:1" hidden="1" x14ac:dyDescent="0.35">
      <c r="A2336" s="1"/>
    </row>
    <row r="2337" spans="1:1" hidden="1" x14ac:dyDescent="0.35">
      <c r="A2337" s="1"/>
    </row>
    <row r="2338" spans="1:1" hidden="1" x14ac:dyDescent="0.35">
      <c r="A2338" s="1"/>
    </row>
    <row r="2339" spans="1:1" hidden="1" x14ac:dyDescent="0.35">
      <c r="A2339" s="1"/>
    </row>
    <row r="2340" spans="1:1" hidden="1" x14ac:dyDescent="0.35">
      <c r="A2340" s="1"/>
    </row>
    <row r="2341" spans="1:1" hidden="1" x14ac:dyDescent="0.35">
      <c r="A2341" s="1"/>
    </row>
    <row r="2342" spans="1:1" hidden="1" x14ac:dyDescent="0.35">
      <c r="A2342" s="1"/>
    </row>
    <row r="2343" spans="1:1" hidden="1" x14ac:dyDescent="0.35">
      <c r="A2343" s="1"/>
    </row>
    <row r="2344" spans="1:1" hidden="1" x14ac:dyDescent="0.35">
      <c r="A2344" s="1"/>
    </row>
    <row r="2345" spans="1:1" hidden="1" x14ac:dyDescent="0.35">
      <c r="A2345" s="1"/>
    </row>
    <row r="2346" spans="1:1" hidden="1" x14ac:dyDescent="0.35">
      <c r="A2346" s="1"/>
    </row>
    <row r="2347" spans="1:1" hidden="1" x14ac:dyDescent="0.35">
      <c r="A2347" s="1"/>
    </row>
    <row r="2348" spans="1:1" hidden="1" x14ac:dyDescent="0.35">
      <c r="A2348" s="1"/>
    </row>
    <row r="2349" spans="1:1" hidden="1" x14ac:dyDescent="0.35">
      <c r="A2349" s="1"/>
    </row>
    <row r="2350" spans="1:1" hidden="1" x14ac:dyDescent="0.35">
      <c r="A2350" s="1"/>
    </row>
    <row r="2351" spans="1:1" hidden="1" x14ac:dyDescent="0.35">
      <c r="A2351" s="1"/>
    </row>
    <row r="2352" spans="1:1" hidden="1" x14ac:dyDescent="0.35">
      <c r="A2352" s="1"/>
    </row>
    <row r="2353" spans="1:1" hidden="1" x14ac:dyDescent="0.35">
      <c r="A2353" s="1"/>
    </row>
    <row r="2354" spans="1:1" hidden="1" x14ac:dyDescent="0.35">
      <c r="A2354" s="1"/>
    </row>
    <row r="2355" spans="1:1" hidden="1" x14ac:dyDescent="0.35">
      <c r="A2355" s="1"/>
    </row>
    <row r="2356" spans="1:1" hidden="1" x14ac:dyDescent="0.35">
      <c r="A2356" s="1"/>
    </row>
    <row r="2357" spans="1:1" hidden="1" x14ac:dyDescent="0.35">
      <c r="A2357" s="1"/>
    </row>
    <row r="2358" spans="1:1" hidden="1" x14ac:dyDescent="0.35">
      <c r="A2358" s="1"/>
    </row>
    <row r="2359" spans="1:1" hidden="1" x14ac:dyDescent="0.35">
      <c r="A2359" s="1"/>
    </row>
    <row r="2360" spans="1:1" hidden="1" x14ac:dyDescent="0.35">
      <c r="A2360" s="1"/>
    </row>
    <row r="2361" spans="1:1" hidden="1" x14ac:dyDescent="0.35">
      <c r="A2361" s="1"/>
    </row>
    <row r="2362" spans="1:1" hidden="1" x14ac:dyDescent="0.35">
      <c r="A2362" s="1"/>
    </row>
    <row r="2363" spans="1:1" hidden="1" x14ac:dyDescent="0.35">
      <c r="A2363" s="1"/>
    </row>
    <row r="2364" spans="1:1" hidden="1" x14ac:dyDescent="0.35">
      <c r="A2364" s="1"/>
    </row>
    <row r="2365" spans="1:1" hidden="1" x14ac:dyDescent="0.35">
      <c r="A2365" s="1"/>
    </row>
    <row r="2366" spans="1:1" hidden="1" x14ac:dyDescent="0.35">
      <c r="A2366" s="1"/>
    </row>
    <row r="2367" spans="1:1" hidden="1" x14ac:dyDescent="0.35">
      <c r="A2367" s="1"/>
    </row>
    <row r="2368" spans="1:1" hidden="1" x14ac:dyDescent="0.35">
      <c r="A2368" s="1"/>
    </row>
    <row r="2369" spans="1:1" hidden="1" x14ac:dyDescent="0.35">
      <c r="A2369" s="1"/>
    </row>
    <row r="2370" spans="1:1" hidden="1" x14ac:dyDescent="0.35">
      <c r="A2370" s="1"/>
    </row>
    <row r="2371" spans="1:1" hidden="1" x14ac:dyDescent="0.35">
      <c r="A2371" s="1"/>
    </row>
    <row r="2372" spans="1:1" hidden="1" x14ac:dyDescent="0.35">
      <c r="A2372" s="1"/>
    </row>
    <row r="2373" spans="1:1" hidden="1" x14ac:dyDescent="0.35">
      <c r="A2373" s="1"/>
    </row>
    <row r="2374" spans="1:1" hidden="1" x14ac:dyDescent="0.35">
      <c r="A2374" s="1"/>
    </row>
    <row r="2375" spans="1:1" hidden="1" x14ac:dyDescent="0.35">
      <c r="A2375" s="1"/>
    </row>
    <row r="2376" spans="1:1" hidden="1" x14ac:dyDescent="0.35">
      <c r="A2376" s="1"/>
    </row>
    <row r="2377" spans="1:1" hidden="1" x14ac:dyDescent="0.35">
      <c r="A2377" s="1"/>
    </row>
    <row r="2378" spans="1:1" hidden="1" x14ac:dyDescent="0.35">
      <c r="A2378" s="1"/>
    </row>
    <row r="2379" spans="1:1" hidden="1" x14ac:dyDescent="0.35">
      <c r="A2379" s="1"/>
    </row>
    <row r="2380" spans="1:1" hidden="1" x14ac:dyDescent="0.35">
      <c r="A2380" s="1"/>
    </row>
    <row r="2381" spans="1:1" hidden="1" x14ac:dyDescent="0.35">
      <c r="A2381" s="1"/>
    </row>
    <row r="2382" spans="1:1" hidden="1" x14ac:dyDescent="0.35">
      <c r="A2382" s="1"/>
    </row>
    <row r="2383" spans="1:1" hidden="1" x14ac:dyDescent="0.35">
      <c r="A2383" s="1"/>
    </row>
    <row r="2384" spans="1:1" hidden="1" x14ac:dyDescent="0.35">
      <c r="A2384" s="1"/>
    </row>
    <row r="2385" spans="1:1" hidden="1" x14ac:dyDescent="0.35">
      <c r="A2385" s="1"/>
    </row>
    <row r="2386" spans="1:1" hidden="1" x14ac:dyDescent="0.35">
      <c r="A2386" s="1"/>
    </row>
    <row r="2387" spans="1:1" hidden="1" x14ac:dyDescent="0.35">
      <c r="A2387" s="1"/>
    </row>
    <row r="2388" spans="1:1" hidden="1" x14ac:dyDescent="0.35">
      <c r="A2388" s="1"/>
    </row>
    <row r="2389" spans="1:1" hidden="1" x14ac:dyDescent="0.35">
      <c r="A2389" s="1"/>
    </row>
    <row r="2390" spans="1:1" hidden="1" x14ac:dyDescent="0.35">
      <c r="A2390" s="1"/>
    </row>
    <row r="2391" spans="1:1" hidden="1" x14ac:dyDescent="0.35">
      <c r="A2391" s="1"/>
    </row>
    <row r="2392" spans="1:1" hidden="1" x14ac:dyDescent="0.35">
      <c r="A2392" s="1"/>
    </row>
    <row r="2393" spans="1:1" hidden="1" x14ac:dyDescent="0.35">
      <c r="A2393" s="1"/>
    </row>
    <row r="2394" spans="1:1" hidden="1" x14ac:dyDescent="0.35">
      <c r="A2394" s="1"/>
    </row>
    <row r="2395" spans="1:1" hidden="1" x14ac:dyDescent="0.35">
      <c r="A2395" s="1"/>
    </row>
    <row r="2396" spans="1:1" hidden="1" x14ac:dyDescent="0.35">
      <c r="A2396" s="1"/>
    </row>
    <row r="2397" spans="1:1" hidden="1" x14ac:dyDescent="0.35">
      <c r="A2397" s="1"/>
    </row>
    <row r="2398" spans="1:1" hidden="1" x14ac:dyDescent="0.35">
      <c r="A2398" s="1"/>
    </row>
    <row r="2399" spans="1:1" hidden="1" x14ac:dyDescent="0.35">
      <c r="A2399" s="1"/>
    </row>
    <row r="2400" spans="1:1" hidden="1" x14ac:dyDescent="0.35">
      <c r="A2400" s="1"/>
    </row>
    <row r="2401" spans="1:1" hidden="1" x14ac:dyDescent="0.35">
      <c r="A2401" s="1"/>
    </row>
    <row r="2402" spans="1:1" hidden="1" x14ac:dyDescent="0.35">
      <c r="A2402" s="1"/>
    </row>
    <row r="2403" spans="1:1" hidden="1" x14ac:dyDescent="0.35">
      <c r="A2403" s="1"/>
    </row>
    <row r="2404" spans="1:1" hidden="1" x14ac:dyDescent="0.35">
      <c r="A2404" s="1"/>
    </row>
    <row r="2405" spans="1:1" hidden="1" x14ac:dyDescent="0.35">
      <c r="A2405" s="1"/>
    </row>
    <row r="2406" spans="1:1" hidden="1" x14ac:dyDescent="0.35">
      <c r="A2406" s="1"/>
    </row>
    <row r="2407" spans="1:1" hidden="1" x14ac:dyDescent="0.35">
      <c r="A2407" s="1"/>
    </row>
    <row r="2408" spans="1:1" hidden="1" x14ac:dyDescent="0.35">
      <c r="A2408" s="1"/>
    </row>
    <row r="2409" spans="1:1" hidden="1" x14ac:dyDescent="0.35">
      <c r="A2409" s="1"/>
    </row>
    <row r="2410" spans="1:1" hidden="1" x14ac:dyDescent="0.35">
      <c r="A2410" s="1"/>
    </row>
    <row r="2411" spans="1:1" hidden="1" x14ac:dyDescent="0.35">
      <c r="A2411" s="1"/>
    </row>
    <row r="2412" spans="1:1" hidden="1" x14ac:dyDescent="0.35">
      <c r="A2412" s="1"/>
    </row>
    <row r="2413" spans="1:1" hidden="1" x14ac:dyDescent="0.35">
      <c r="A2413" s="1"/>
    </row>
    <row r="2414" spans="1:1" hidden="1" x14ac:dyDescent="0.35">
      <c r="A2414" s="1"/>
    </row>
    <row r="2415" spans="1:1" hidden="1" x14ac:dyDescent="0.35">
      <c r="A2415" s="1"/>
    </row>
    <row r="2416" spans="1:1" hidden="1" x14ac:dyDescent="0.35">
      <c r="A2416" s="1"/>
    </row>
    <row r="2417" spans="1:1" hidden="1" x14ac:dyDescent="0.35">
      <c r="A2417" s="1"/>
    </row>
    <row r="2418" spans="1:1" hidden="1" x14ac:dyDescent="0.35">
      <c r="A2418" s="1"/>
    </row>
    <row r="2419" spans="1:1" hidden="1" x14ac:dyDescent="0.35">
      <c r="A2419" s="1"/>
    </row>
    <row r="2420" spans="1:1" hidden="1" x14ac:dyDescent="0.35">
      <c r="A2420" s="1"/>
    </row>
    <row r="2421" spans="1:1" hidden="1" x14ac:dyDescent="0.35">
      <c r="A2421" s="1"/>
    </row>
    <row r="2422" spans="1:1" hidden="1" x14ac:dyDescent="0.35">
      <c r="A2422" s="1"/>
    </row>
    <row r="2423" spans="1:1" hidden="1" x14ac:dyDescent="0.35">
      <c r="A2423" s="1"/>
    </row>
    <row r="2424" spans="1:1" hidden="1" x14ac:dyDescent="0.35">
      <c r="A2424" s="1"/>
    </row>
    <row r="2425" spans="1:1" hidden="1" x14ac:dyDescent="0.35">
      <c r="A2425" s="1"/>
    </row>
    <row r="2426" spans="1:1" hidden="1" x14ac:dyDescent="0.35">
      <c r="A2426" s="1"/>
    </row>
    <row r="2427" spans="1:1" hidden="1" x14ac:dyDescent="0.35">
      <c r="A2427" s="1"/>
    </row>
    <row r="2428" spans="1:1" hidden="1" x14ac:dyDescent="0.35">
      <c r="A2428" s="1"/>
    </row>
    <row r="2429" spans="1:1" hidden="1" x14ac:dyDescent="0.35">
      <c r="A2429" s="1"/>
    </row>
    <row r="2430" spans="1:1" hidden="1" x14ac:dyDescent="0.35">
      <c r="A2430" s="1"/>
    </row>
    <row r="2431" spans="1:1" hidden="1" x14ac:dyDescent="0.35">
      <c r="A2431" s="1"/>
    </row>
    <row r="2432" spans="1:1" hidden="1" x14ac:dyDescent="0.35">
      <c r="A2432" s="1"/>
    </row>
    <row r="2433" spans="1:1" hidden="1" x14ac:dyDescent="0.35">
      <c r="A2433" s="1"/>
    </row>
    <row r="2434" spans="1:1" hidden="1" x14ac:dyDescent="0.35">
      <c r="A2434" s="1"/>
    </row>
    <row r="2435" spans="1:1" hidden="1" x14ac:dyDescent="0.35">
      <c r="A2435" s="1"/>
    </row>
    <row r="2436" spans="1:1" hidden="1" x14ac:dyDescent="0.35">
      <c r="A2436" s="1"/>
    </row>
    <row r="2437" spans="1:1" hidden="1" x14ac:dyDescent="0.35">
      <c r="A2437" s="1"/>
    </row>
    <row r="2438" spans="1:1" hidden="1" x14ac:dyDescent="0.35">
      <c r="A2438" s="1"/>
    </row>
    <row r="2439" spans="1:1" hidden="1" x14ac:dyDescent="0.35">
      <c r="A2439" s="1"/>
    </row>
    <row r="2440" spans="1:1" hidden="1" x14ac:dyDescent="0.35">
      <c r="A2440" s="1"/>
    </row>
    <row r="2441" spans="1:1" hidden="1" x14ac:dyDescent="0.35">
      <c r="A2441" s="1"/>
    </row>
    <row r="2442" spans="1:1" hidden="1" x14ac:dyDescent="0.35">
      <c r="A2442" s="1"/>
    </row>
    <row r="2443" spans="1:1" hidden="1" x14ac:dyDescent="0.35">
      <c r="A2443" s="1"/>
    </row>
    <row r="2444" spans="1:1" hidden="1" x14ac:dyDescent="0.35">
      <c r="A2444" s="1"/>
    </row>
    <row r="2445" spans="1:1" hidden="1" x14ac:dyDescent="0.35">
      <c r="A2445" s="1"/>
    </row>
    <row r="2446" spans="1:1" hidden="1" x14ac:dyDescent="0.35">
      <c r="A2446" s="1"/>
    </row>
    <row r="2447" spans="1:1" hidden="1" x14ac:dyDescent="0.35">
      <c r="A2447" s="1"/>
    </row>
    <row r="2448" spans="1:1" hidden="1" x14ac:dyDescent="0.35">
      <c r="A2448" s="1"/>
    </row>
    <row r="2449" spans="1:1" hidden="1" x14ac:dyDescent="0.35">
      <c r="A2449" s="1"/>
    </row>
    <row r="2450" spans="1:1" hidden="1" x14ac:dyDescent="0.35">
      <c r="A2450" s="1"/>
    </row>
    <row r="2451" spans="1:1" hidden="1" x14ac:dyDescent="0.35">
      <c r="A2451" s="1"/>
    </row>
    <row r="2452" spans="1:1" hidden="1" x14ac:dyDescent="0.35">
      <c r="A2452" s="1"/>
    </row>
    <row r="2453" spans="1:1" hidden="1" x14ac:dyDescent="0.35">
      <c r="A2453" s="1"/>
    </row>
    <row r="2454" spans="1:1" hidden="1" x14ac:dyDescent="0.35">
      <c r="A2454" s="1"/>
    </row>
    <row r="2455" spans="1:1" hidden="1" x14ac:dyDescent="0.35">
      <c r="A2455" s="1"/>
    </row>
    <row r="2456" spans="1:1" hidden="1" x14ac:dyDescent="0.35">
      <c r="A2456" s="1"/>
    </row>
    <row r="2457" spans="1:1" hidden="1" x14ac:dyDescent="0.35">
      <c r="A2457" s="1"/>
    </row>
    <row r="2458" spans="1:1" hidden="1" x14ac:dyDescent="0.35">
      <c r="A2458" s="1"/>
    </row>
    <row r="2459" spans="1:1" hidden="1" x14ac:dyDescent="0.35">
      <c r="A2459" s="1"/>
    </row>
    <row r="2460" spans="1:1" hidden="1" x14ac:dyDescent="0.35">
      <c r="A2460" s="1"/>
    </row>
    <row r="2461" spans="1:1" hidden="1" x14ac:dyDescent="0.35">
      <c r="A2461" s="1"/>
    </row>
    <row r="2462" spans="1:1" hidden="1" x14ac:dyDescent="0.35">
      <c r="A2462" s="1"/>
    </row>
    <row r="2463" spans="1:1" hidden="1" x14ac:dyDescent="0.35">
      <c r="A2463" s="1"/>
    </row>
    <row r="2464" spans="1:1" hidden="1" x14ac:dyDescent="0.35">
      <c r="A2464" s="1"/>
    </row>
    <row r="2465" spans="1:1" hidden="1" x14ac:dyDescent="0.35">
      <c r="A2465" s="1"/>
    </row>
    <row r="2466" spans="1:1" hidden="1" x14ac:dyDescent="0.35">
      <c r="A2466" s="1"/>
    </row>
    <row r="2467" spans="1:1" hidden="1" x14ac:dyDescent="0.35">
      <c r="A2467" s="1"/>
    </row>
    <row r="2468" spans="1:1" hidden="1" x14ac:dyDescent="0.35">
      <c r="A2468" s="1"/>
    </row>
    <row r="2469" spans="1:1" hidden="1" x14ac:dyDescent="0.35">
      <c r="A2469" s="1"/>
    </row>
    <row r="2470" spans="1:1" hidden="1" x14ac:dyDescent="0.35">
      <c r="A2470" s="1"/>
    </row>
    <row r="2471" spans="1:1" hidden="1" x14ac:dyDescent="0.35">
      <c r="A2471" s="1"/>
    </row>
    <row r="2472" spans="1:1" hidden="1" x14ac:dyDescent="0.35">
      <c r="A2472" s="1"/>
    </row>
    <row r="2473" spans="1:1" hidden="1" x14ac:dyDescent="0.35">
      <c r="A2473" s="1"/>
    </row>
    <row r="2474" spans="1:1" hidden="1" x14ac:dyDescent="0.35">
      <c r="A2474" s="1"/>
    </row>
    <row r="2475" spans="1:1" hidden="1" x14ac:dyDescent="0.35">
      <c r="A2475" s="1"/>
    </row>
    <row r="2476" spans="1:1" hidden="1" x14ac:dyDescent="0.35">
      <c r="A2476" s="1"/>
    </row>
    <row r="2477" spans="1:1" hidden="1" x14ac:dyDescent="0.35">
      <c r="A2477" s="1"/>
    </row>
    <row r="2478" spans="1:1" hidden="1" x14ac:dyDescent="0.35">
      <c r="A2478" s="1"/>
    </row>
    <row r="2479" spans="1:1" hidden="1" x14ac:dyDescent="0.35">
      <c r="A2479" s="1"/>
    </row>
    <row r="2480" spans="1:1" hidden="1" x14ac:dyDescent="0.35">
      <c r="A2480" s="1"/>
    </row>
    <row r="2481" spans="1:1" hidden="1" x14ac:dyDescent="0.35">
      <c r="A2481" s="1"/>
    </row>
    <row r="2482" spans="1:1" hidden="1" x14ac:dyDescent="0.35">
      <c r="A2482" s="1"/>
    </row>
    <row r="2483" spans="1:1" hidden="1" x14ac:dyDescent="0.35">
      <c r="A2483" s="1"/>
    </row>
    <row r="2484" spans="1:1" hidden="1" x14ac:dyDescent="0.35">
      <c r="A2484" s="1"/>
    </row>
    <row r="2485" spans="1:1" hidden="1" x14ac:dyDescent="0.35">
      <c r="A2485" s="1"/>
    </row>
    <row r="2486" spans="1:1" hidden="1" x14ac:dyDescent="0.35">
      <c r="A2486" s="1"/>
    </row>
    <row r="2487" spans="1:1" hidden="1" x14ac:dyDescent="0.35">
      <c r="A2487" s="1"/>
    </row>
    <row r="2488" spans="1:1" hidden="1" x14ac:dyDescent="0.35">
      <c r="A2488" s="1"/>
    </row>
    <row r="2489" spans="1:1" hidden="1" x14ac:dyDescent="0.35">
      <c r="A2489" s="1"/>
    </row>
    <row r="2490" spans="1:1" hidden="1" x14ac:dyDescent="0.35">
      <c r="A2490" s="1"/>
    </row>
    <row r="2491" spans="1:1" hidden="1" x14ac:dyDescent="0.35">
      <c r="A2491" s="1"/>
    </row>
    <row r="2492" spans="1:1" hidden="1" x14ac:dyDescent="0.35">
      <c r="A2492" s="1"/>
    </row>
    <row r="2493" spans="1:1" hidden="1" x14ac:dyDescent="0.35">
      <c r="A2493" s="1"/>
    </row>
    <row r="2494" spans="1:1" hidden="1" x14ac:dyDescent="0.35">
      <c r="A2494" s="1"/>
    </row>
    <row r="2495" spans="1:1" hidden="1" x14ac:dyDescent="0.35">
      <c r="A2495" s="1"/>
    </row>
    <row r="2496" spans="1:1" hidden="1" x14ac:dyDescent="0.35">
      <c r="A2496" s="1"/>
    </row>
    <row r="2497" spans="1:1" hidden="1" x14ac:dyDescent="0.35">
      <c r="A2497" s="1"/>
    </row>
    <row r="2498" spans="1:1" hidden="1" x14ac:dyDescent="0.35">
      <c r="A2498" s="1"/>
    </row>
    <row r="2499" spans="1:1" hidden="1" x14ac:dyDescent="0.35">
      <c r="A2499" s="1"/>
    </row>
    <row r="2500" spans="1:1" hidden="1" x14ac:dyDescent="0.35">
      <c r="A2500" s="1"/>
    </row>
    <row r="2501" spans="1:1" hidden="1" x14ac:dyDescent="0.35">
      <c r="A2501" s="1"/>
    </row>
    <row r="2502" spans="1:1" hidden="1" x14ac:dyDescent="0.35">
      <c r="A2502" s="1"/>
    </row>
    <row r="2503" spans="1:1" hidden="1" x14ac:dyDescent="0.35">
      <c r="A2503" s="1"/>
    </row>
    <row r="2504" spans="1:1" hidden="1" x14ac:dyDescent="0.35">
      <c r="A2504" s="1"/>
    </row>
    <row r="2505" spans="1:1" hidden="1" x14ac:dyDescent="0.35">
      <c r="A2505" s="1"/>
    </row>
    <row r="2506" spans="1:1" hidden="1" x14ac:dyDescent="0.35">
      <c r="A2506" s="1"/>
    </row>
    <row r="2507" spans="1:1" hidden="1" x14ac:dyDescent="0.35">
      <c r="A2507" s="1"/>
    </row>
    <row r="2508" spans="1:1" hidden="1" x14ac:dyDescent="0.35">
      <c r="A2508" s="1"/>
    </row>
    <row r="2509" spans="1:1" hidden="1" x14ac:dyDescent="0.35">
      <c r="A2509" s="1"/>
    </row>
    <row r="2510" spans="1:1" hidden="1" x14ac:dyDescent="0.35">
      <c r="A2510" s="1"/>
    </row>
    <row r="2511" spans="1:1" hidden="1" x14ac:dyDescent="0.35">
      <c r="A2511" s="1"/>
    </row>
    <row r="2512" spans="1:1" hidden="1" x14ac:dyDescent="0.35">
      <c r="A2512" s="1"/>
    </row>
    <row r="2513" spans="1:1" hidden="1" x14ac:dyDescent="0.35">
      <c r="A2513" s="1"/>
    </row>
    <row r="2514" spans="1:1" hidden="1" x14ac:dyDescent="0.35">
      <c r="A2514" s="1"/>
    </row>
    <row r="2515" spans="1:1" hidden="1" x14ac:dyDescent="0.35">
      <c r="A2515" s="1"/>
    </row>
    <row r="2516" spans="1:1" hidden="1" x14ac:dyDescent="0.35">
      <c r="A2516" s="1"/>
    </row>
    <row r="2517" spans="1:1" hidden="1" x14ac:dyDescent="0.35">
      <c r="A2517" s="1"/>
    </row>
    <row r="2518" spans="1:1" hidden="1" x14ac:dyDescent="0.35">
      <c r="A2518" s="1"/>
    </row>
    <row r="2519" spans="1:1" hidden="1" x14ac:dyDescent="0.35">
      <c r="A2519" s="1"/>
    </row>
    <row r="2520" spans="1:1" hidden="1" x14ac:dyDescent="0.35">
      <c r="A2520" s="1"/>
    </row>
    <row r="2521" spans="1:1" hidden="1" x14ac:dyDescent="0.35">
      <c r="A2521" s="1"/>
    </row>
    <row r="2522" spans="1:1" hidden="1" x14ac:dyDescent="0.35">
      <c r="A2522" s="1"/>
    </row>
    <row r="2523" spans="1:1" hidden="1" x14ac:dyDescent="0.35">
      <c r="A2523" s="1"/>
    </row>
    <row r="2524" spans="1:1" hidden="1" x14ac:dyDescent="0.35">
      <c r="A2524" s="1"/>
    </row>
    <row r="2525" spans="1:1" hidden="1" x14ac:dyDescent="0.35">
      <c r="A2525" s="1"/>
    </row>
    <row r="2526" spans="1:1" hidden="1" x14ac:dyDescent="0.35">
      <c r="A2526" s="1"/>
    </row>
    <row r="2527" spans="1:1" hidden="1" x14ac:dyDescent="0.35">
      <c r="A2527" s="1"/>
    </row>
    <row r="2528" spans="1:1" hidden="1" x14ac:dyDescent="0.35">
      <c r="A2528" s="1"/>
    </row>
    <row r="2529" spans="1:1" hidden="1" x14ac:dyDescent="0.35">
      <c r="A2529" s="1"/>
    </row>
    <row r="2530" spans="1:1" hidden="1" x14ac:dyDescent="0.35">
      <c r="A2530" s="1"/>
    </row>
    <row r="2531" spans="1:1" hidden="1" x14ac:dyDescent="0.35">
      <c r="A2531" s="1"/>
    </row>
    <row r="2532" spans="1:1" hidden="1" x14ac:dyDescent="0.35">
      <c r="A2532" s="1"/>
    </row>
    <row r="2533" spans="1:1" hidden="1" x14ac:dyDescent="0.35">
      <c r="A2533" s="1"/>
    </row>
    <row r="2534" spans="1:1" hidden="1" x14ac:dyDescent="0.35">
      <c r="A2534" s="1"/>
    </row>
    <row r="2535" spans="1:1" hidden="1" x14ac:dyDescent="0.35">
      <c r="A2535" s="1"/>
    </row>
    <row r="2536" spans="1:1" hidden="1" x14ac:dyDescent="0.35">
      <c r="A2536" s="1"/>
    </row>
    <row r="2537" spans="1:1" hidden="1" x14ac:dyDescent="0.35">
      <c r="A2537" s="1"/>
    </row>
    <row r="2538" spans="1:1" hidden="1" x14ac:dyDescent="0.35">
      <c r="A2538" s="1"/>
    </row>
    <row r="2539" spans="1:1" hidden="1" x14ac:dyDescent="0.35">
      <c r="A2539" s="1"/>
    </row>
    <row r="2540" spans="1:1" hidden="1" x14ac:dyDescent="0.35">
      <c r="A2540" s="1"/>
    </row>
    <row r="2541" spans="1:1" hidden="1" x14ac:dyDescent="0.35">
      <c r="A2541" s="1"/>
    </row>
    <row r="2542" spans="1:1" hidden="1" x14ac:dyDescent="0.35">
      <c r="A2542" s="1"/>
    </row>
    <row r="2543" spans="1:1" hidden="1" x14ac:dyDescent="0.35">
      <c r="A2543" s="1"/>
    </row>
    <row r="2544" spans="1:1" hidden="1" x14ac:dyDescent="0.35">
      <c r="A2544" s="1"/>
    </row>
    <row r="2545" spans="1:1" hidden="1" x14ac:dyDescent="0.35">
      <c r="A2545" s="1"/>
    </row>
    <row r="2546" spans="1:1" hidden="1" x14ac:dyDescent="0.35">
      <c r="A2546" s="1"/>
    </row>
    <row r="2547" spans="1:1" hidden="1" x14ac:dyDescent="0.35">
      <c r="A2547" s="1"/>
    </row>
    <row r="2548" spans="1:1" hidden="1" x14ac:dyDescent="0.35">
      <c r="A2548" s="1"/>
    </row>
    <row r="2549" spans="1:1" hidden="1" x14ac:dyDescent="0.35">
      <c r="A2549" s="1"/>
    </row>
    <row r="2550" spans="1:1" hidden="1" x14ac:dyDescent="0.35">
      <c r="A2550" s="1"/>
    </row>
    <row r="2551" spans="1:1" hidden="1" x14ac:dyDescent="0.35">
      <c r="A2551" s="1"/>
    </row>
    <row r="2552" spans="1:1" hidden="1" x14ac:dyDescent="0.35">
      <c r="A2552" s="1"/>
    </row>
    <row r="2553" spans="1:1" hidden="1" x14ac:dyDescent="0.35">
      <c r="A2553" s="1"/>
    </row>
    <row r="2554" spans="1:1" hidden="1" x14ac:dyDescent="0.35">
      <c r="A2554" s="1"/>
    </row>
    <row r="2555" spans="1:1" hidden="1" x14ac:dyDescent="0.35">
      <c r="A2555" s="1"/>
    </row>
    <row r="2556" spans="1:1" hidden="1" x14ac:dyDescent="0.35">
      <c r="A2556" s="1"/>
    </row>
    <row r="2557" spans="1:1" hidden="1" x14ac:dyDescent="0.35">
      <c r="A2557" s="1"/>
    </row>
    <row r="2558" spans="1:1" hidden="1" x14ac:dyDescent="0.35">
      <c r="A2558" s="1"/>
    </row>
    <row r="2559" spans="1:1" hidden="1" x14ac:dyDescent="0.35">
      <c r="A2559" s="1"/>
    </row>
    <row r="2560" spans="1:1" hidden="1" x14ac:dyDescent="0.35">
      <c r="A2560" s="1"/>
    </row>
    <row r="2561" spans="1:1" hidden="1" x14ac:dyDescent="0.35">
      <c r="A2561" s="1"/>
    </row>
    <row r="2562" spans="1:1" hidden="1" x14ac:dyDescent="0.35">
      <c r="A2562" s="1"/>
    </row>
    <row r="2563" spans="1:1" hidden="1" x14ac:dyDescent="0.35">
      <c r="A2563" s="1"/>
    </row>
    <row r="2564" spans="1:1" hidden="1" x14ac:dyDescent="0.35">
      <c r="A2564" s="1"/>
    </row>
    <row r="2565" spans="1:1" hidden="1" x14ac:dyDescent="0.35">
      <c r="A2565" s="1"/>
    </row>
    <row r="2566" spans="1:1" hidden="1" x14ac:dyDescent="0.35">
      <c r="A2566" s="1"/>
    </row>
    <row r="2567" spans="1:1" hidden="1" x14ac:dyDescent="0.35">
      <c r="A2567" s="1"/>
    </row>
    <row r="2568" spans="1:1" hidden="1" x14ac:dyDescent="0.35">
      <c r="A2568" s="1"/>
    </row>
    <row r="2569" spans="1:1" hidden="1" x14ac:dyDescent="0.35">
      <c r="A2569" s="1"/>
    </row>
    <row r="2570" spans="1:1" hidden="1" x14ac:dyDescent="0.35">
      <c r="A2570" s="1"/>
    </row>
    <row r="2571" spans="1:1" hidden="1" x14ac:dyDescent="0.35">
      <c r="A2571" s="1"/>
    </row>
    <row r="2572" spans="1:1" hidden="1" x14ac:dyDescent="0.35">
      <c r="A2572" s="1"/>
    </row>
    <row r="2573" spans="1:1" hidden="1" x14ac:dyDescent="0.35">
      <c r="A2573" s="1"/>
    </row>
    <row r="2574" spans="1:1" hidden="1" x14ac:dyDescent="0.35">
      <c r="A2574" s="1"/>
    </row>
    <row r="2575" spans="1:1" hidden="1" x14ac:dyDescent="0.35">
      <c r="A2575" s="1"/>
    </row>
    <row r="2576" spans="1:1" hidden="1" x14ac:dyDescent="0.35">
      <c r="A2576" s="1"/>
    </row>
    <row r="2577" spans="1:1" hidden="1" x14ac:dyDescent="0.35">
      <c r="A2577" s="1"/>
    </row>
    <row r="2578" spans="1:1" hidden="1" x14ac:dyDescent="0.35">
      <c r="A2578" s="1"/>
    </row>
    <row r="2579" spans="1:1" hidden="1" x14ac:dyDescent="0.35">
      <c r="A2579" s="1"/>
    </row>
    <row r="2580" spans="1:1" hidden="1" x14ac:dyDescent="0.35">
      <c r="A2580" s="1"/>
    </row>
    <row r="2581" spans="1:1" hidden="1" x14ac:dyDescent="0.35">
      <c r="A2581" s="1"/>
    </row>
    <row r="2582" spans="1:1" hidden="1" x14ac:dyDescent="0.35">
      <c r="A2582" s="1"/>
    </row>
    <row r="2583" spans="1:1" hidden="1" x14ac:dyDescent="0.35">
      <c r="A2583" s="1"/>
    </row>
    <row r="2584" spans="1:1" hidden="1" x14ac:dyDescent="0.35">
      <c r="A2584" s="1"/>
    </row>
    <row r="2585" spans="1:1" hidden="1" x14ac:dyDescent="0.35">
      <c r="A2585" s="1"/>
    </row>
    <row r="2586" spans="1:1" hidden="1" x14ac:dyDescent="0.35">
      <c r="A2586" s="1"/>
    </row>
    <row r="2587" spans="1:1" hidden="1" x14ac:dyDescent="0.35">
      <c r="A2587" s="1"/>
    </row>
    <row r="2588" spans="1:1" hidden="1" x14ac:dyDescent="0.35">
      <c r="A2588" s="1"/>
    </row>
    <row r="2589" spans="1:1" hidden="1" x14ac:dyDescent="0.35">
      <c r="A2589" s="1"/>
    </row>
    <row r="2590" spans="1:1" hidden="1" x14ac:dyDescent="0.35">
      <c r="A2590" s="1"/>
    </row>
    <row r="2591" spans="1:1" hidden="1" x14ac:dyDescent="0.35">
      <c r="A2591" s="1"/>
    </row>
    <row r="2592" spans="1:1" hidden="1" x14ac:dyDescent="0.35">
      <c r="A2592" s="1"/>
    </row>
    <row r="2593" spans="1:1" hidden="1" x14ac:dyDescent="0.35">
      <c r="A2593" s="1"/>
    </row>
    <row r="2594" spans="1:1" hidden="1" x14ac:dyDescent="0.35">
      <c r="A2594" s="1"/>
    </row>
    <row r="2595" spans="1:1" hidden="1" x14ac:dyDescent="0.35">
      <c r="A2595" s="1"/>
    </row>
    <row r="2596" spans="1:1" hidden="1" x14ac:dyDescent="0.35">
      <c r="A2596" s="1"/>
    </row>
    <row r="2597" spans="1:1" hidden="1" x14ac:dyDescent="0.35">
      <c r="A2597" s="1"/>
    </row>
    <row r="2598" spans="1:1" hidden="1" x14ac:dyDescent="0.35">
      <c r="A2598" s="1"/>
    </row>
    <row r="2599" spans="1:1" hidden="1" x14ac:dyDescent="0.35">
      <c r="A2599" s="1"/>
    </row>
    <row r="2600" spans="1:1" hidden="1" x14ac:dyDescent="0.35">
      <c r="A2600" s="1"/>
    </row>
    <row r="2601" spans="1:1" hidden="1" x14ac:dyDescent="0.35">
      <c r="A2601" s="1"/>
    </row>
    <row r="2602" spans="1:1" hidden="1" x14ac:dyDescent="0.35">
      <c r="A2602" s="1"/>
    </row>
    <row r="2603" spans="1:1" hidden="1" x14ac:dyDescent="0.35">
      <c r="A2603" s="1"/>
    </row>
    <row r="2604" spans="1:1" hidden="1" x14ac:dyDescent="0.35">
      <c r="A2604" s="1"/>
    </row>
    <row r="2605" spans="1:1" hidden="1" x14ac:dyDescent="0.35">
      <c r="A2605" s="1"/>
    </row>
    <row r="2606" spans="1:1" hidden="1" x14ac:dyDescent="0.35">
      <c r="A2606" s="1"/>
    </row>
    <row r="2607" spans="1:1" hidden="1" x14ac:dyDescent="0.35">
      <c r="A2607" s="1"/>
    </row>
    <row r="2608" spans="1:1" hidden="1" x14ac:dyDescent="0.35">
      <c r="A2608" s="1"/>
    </row>
    <row r="2609" spans="1:1" hidden="1" x14ac:dyDescent="0.35">
      <c r="A2609" s="1"/>
    </row>
    <row r="2610" spans="1:1" hidden="1" x14ac:dyDescent="0.35">
      <c r="A2610" s="1"/>
    </row>
    <row r="2611" spans="1:1" hidden="1" x14ac:dyDescent="0.35">
      <c r="A2611" s="1"/>
    </row>
    <row r="2612" spans="1:1" hidden="1" x14ac:dyDescent="0.35">
      <c r="A2612" s="1"/>
    </row>
    <row r="2613" spans="1:1" hidden="1" x14ac:dyDescent="0.35">
      <c r="A2613" s="1"/>
    </row>
    <row r="2614" spans="1:1" hidden="1" x14ac:dyDescent="0.35">
      <c r="A2614" s="1"/>
    </row>
    <row r="2615" spans="1:1" hidden="1" x14ac:dyDescent="0.35">
      <c r="A2615" s="1"/>
    </row>
    <row r="2616" spans="1:1" hidden="1" x14ac:dyDescent="0.35">
      <c r="A2616" s="1"/>
    </row>
    <row r="2617" spans="1:1" hidden="1" x14ac:dyDescent="0.35">
      <c r="A2617" s="1"/>
    </row>
    <row r="2618" spans="1:1" hidden="1" x14ac:dyDescent="0.35">
      <c r="A2618" s="1"/>
    </row>
    <row r="2619" spans="1:1" hidden="1" x14ac:dyDescent="0.35">
      <c r="A2619" s="1"/>
    </row>
    <row r="2620" spans="1:1" hidden="1" x14ac:dyDescent="0.35">
      <c r="A2620" s="1"/>
    </row>
    <row r="2621" spans="1:1" hidden="1" x14ac:dyDescent="0.35">
      <c r="A2621" s="1"/>
    </row>
    <row r="2622" spans="1:1" hidden="1" x14ac:dyDescent="0.35">
      <c r="A2622" s="1"/>
    </row>
    <row r="2623" spans="1:1" hidden="1" x14ac:dyDescent="0.35">
      <c r="A2623" s="1"/>
    </row>
    <row r="2624" spans="1:1" hidden="1" x14ac:dyDescent="0.35">
      <c r="A2624" s="1"/>
    </row>
    <row r="2625" spans="1:1" hidden="1" x14ac:dyDescent="0.35">
      <c r="A2625" s="1"/>
    </row>
    <row r="2626" spans="1:1" hidden="1" x14ac:dyDescent="0.35">
      <c r="A2626" s="1"/>
    </row>
    <row r="2627" spans="1:1" hidden="1" x14ac:dyDescent="0.35">
      <c r="A2627" s="1"/>
    </row>
    <row r="2628" spans="1:1" hidden="1" x14ac:dyDescent="0.35">
      <c r="A2628" s="1"/>
    </row>
    <row r="2629" spans="1:1" hidden="1" x14ac:dyDescent="0.35">
      <c r="A2629" s="1"/>
    </row>
    <row r="2630" spans="1:1" hidden="1" x14ac:dyDescent="0.35">
      <c r="A2630" s="1"/>
    </row>
    <row r="2631" spans="1:1" hidden="1" x14ac:dyDescent="0.35">
      <c r="A2631" s="1"/>
    </row>
    <row r="2632" spans="1:1" hidden="1" x14ac:dyDescent="0.35">
      <c r="A2632" s="1"/>
    </row>
    <row r="2633" spans="1:1" hidden="1" x14ac:dyDescent="0.35">
      <c r="A2633" s="1"/>
    </row>
    <row r="2634" spans="1:1" hidden="1" x14ac:dyDescent="0.35">
      <c r="A2634" s="1"/>
    </row>
    <row r="2635" spans="1:1" hidden="1" x14ac:dyDescent="0.35">
      <c r="A2635" s="1"/>
    </row>
    <row r="2636" spans="1:1" hidden="1" x14ac:dyDescent="0.35">
      <c r="A2636" s="1"/>
    </row>
    <row r="2637" spans="1:1" hidden="1" x14ac:dyDescent="0.35">
      <c r="A2637" s="1"/>
    </row>
    <row r="2638" spans="1:1" hidden="1" x14ac:dyDescent="0.35">
      <c r="A2638" s="1"/>
    </row>
    <row r="2639" spans="1:1" hidden="1" x14ac:dyDescent="0.35">
      <c r="A2639" s="1"/>
    </row>
    <row r="2640" spans="1:1" hidden="1" x14ac:dyDescent="0.35">
      <c r="A2640" s="1"/>
    </row>
    <row r="2641" spans="1:1" hidden="1" x14ac:dyDescent="0.35">
      <c r="A2641" s="1"/>
    </row>
    <row r="2642" spans="1:1" hidden="1" x14ac:dyDescent="0.35">
      <c r="A2642" s="1"/>
    </row>
    <row r="2643" spans="1:1" hidden="1" x14ac:dyDescent="0.35">
      <c r="A2643" s="1"/>
    </row>
    <row r="2644" spans="1:1" hidden="1" x14ac:dyDescent="0.35">
      <c r="A2644" s="1"/>
    </row>
    <row r="2645" spans="1:1" hidden="1" x14ac:dyDescent="0.35">
      <c r="A2645" s="1"/>
    </row>
    <row r="2646" spans="1:1" hidden="1" x14ac:dyDescent="0.35">
      <c r="A2646" s="1"/>
    </row>
    <row r="2647" spans="1:1" hidden="1" x14ac:dyDescent="0.35">
      <c r="A2647" s="1"/>
    </row>
    <row r="2648" spans="1:1" hidden="1" x14ac:dyDescent="0.35">
      <c r="A2648" s="1"/>
    </row>
    <row r="2649" spans="1:1" hidden="1" x14ac:dyDescent="0.35">
      <c r="A2649" s="1"/>
    </row>
    <row r="2650" spans="1:1" hidden="1" x14ac:dyDescent="0.35">
      <c r="A2650" s="1"/>
    </row>
    <row r="2651" spans="1:1" hidden="1" x14ac:dyDescent="0.35">
      <c r="A2651" s="1"/>
    </row>
    <row r="2652" spans="1:1" hidden="1" x14ac:dyDescent="0.35">
      <c r="A2652" s="1"/>
    </row>
    <row r="2653" spans="1:1" hidden="1" x14ac:dyDescent="0.35">
      <c r="A2653" s="1"/>
    </row>
    <row r="2654" spans="1:1" hidden="1" x14ac:dyDescent="0.35">
      <c r="A2654" s="1"/>
    </row>
    <row r="2655" spans="1:1" hidden="1" x14ac:dyDescent="0.35">
      <c r="A2655" s="1"/>
    </row>
    <row r="2656" spans="1:1" hidden="1" x14ac:dyDescent="0.35">
      <c r="A2656" s="1"/>
    </row>
    <row r="2657" spans="1:1" hidden="1" x14ac:dyDescent="0.35">
      <c r="A2657" s="1"/>
    </row>
    <row r="2658" spans="1:1" hidden="1" x14ac:dyDescent="0.35">
      <c r="A2658" s="1"/>
    </row>
    <row r="2659" spans="1:1" hidden="1" x14ac:dyDescent="0.35">
      <c r="A2659" s="1"/>
    </row>
    <row r="2660" spans="1:1" hidden="1" x14ac:dyDescent="0.35">
      <c r="A2660" s="1"/>
    </row>
    <row r="2661" spans="1:1" hidden="1" x14ac:dyDescent="0.35">
      <c r="A2661" s="1"/>
    </row>
    <row r="2662" spans="1:1" hidden="1" x14ac:dyDescent="0.35">
      <c r="A2662" s="1"/>
    </row>
    <row r="2663" spans="1:1" hidden="1" x14ac:dyDescent="0.35">
      <c r="A2663" s="1"/>
    </row>
    <row r="2664" spans="1:1" hidden="1" x14ac:dyDescent="0.35">
      <c r="A2664" s="1"/>
    </row>
    <row r="2665" spans="1:1" hidden="1" x14ac:dyDescent="0.35">
      <c r="A2665" s="1"/>
    </row>
    <row r="2666" spans="1:1" hidden="1" x14ac:dyDescent="0.35">
      <c r="A2666" s="1"/>
    </row>
    <row r="2667" spans="1:1" hidden="1" x14ac:dyDescent="0.35">
      <c r="A2667" s="1"/>
    </row>
    <row r="2668" spans="1:1" hidden="1" x14ac:dyDescent="0.35">
      <c r="A2668" s="1"/>
    </row>
    <row r="2669" spans="1:1" hidden="1" x14ac:dyDescent="0.35">
      <c r="A2669" s="1"/>
    </row>
    <row r="2670" spans="1:1" hidden="1" x14ac:dyDescent="0.35">
      <c r="A2670" s="1"/>
    </row>
    <row r="2671" spans="1:1" hidden="1" x14ac:dyDescent="0.35">
      <c r="A2671" s="1"/>
    </row>
    <row r="2672" spans="1:1" hidden="1" x14ac:dyDescent="0.35">
      <c r="A2672" s="1"/>
    </row>
    <row r="2673" spans="1:1" hidden="1" x14ac:dyDescent="0.35">
      <c r="A2673" s="1"/>
    </row>
    <row r="2674" spans="1:1" hidden="1" x14ac:dyDescent="0.35">
      <c r="A2674" s="1"/>
    </row>
    <row r="2675" spans="1:1" hidden="1" x14ac:dyDescent="0.35">
      <c r="A2675" s="1"/>
    </row>
    <row r="2676" spans="1:1" hidden="1" x14ac:dyDescent="0.35">
      <c r="A2676" s="1"/>
    </row>
    <row r="2677" spans="1:1" hidden="1" x14ac:dyDescent="0.35">
      <c r="A2677" s="1"/>
    </row>
    <row r="2678" spans="1:1" hidden="1" x14ac:dyDescent="0.35">
      <c r="A2678" s="1"/>
    </row>
    <row r="2679" spans="1:1" hidden="1" x14ac:dyDescent="0.35">
      <c r="A2679" s="1"/>
    </row>
    <row r="2680" spans="1:1" hidden="1" x14ac:dyDescent="0.35">
      <c r="A2680" s="1"/>
    </row>
    <row r="2681" spans="1:1" hidden="1" x14ac:dyDescent="0.35">
      <c r="A2681" s="1"/>
    </row>
    <row r="2682" spans="1:1" hidden="1" x14ac:dyDescent="0.35">
      <c r="A2682" s="1"/>
    </row>
    <row r="2683" spans="1:1" hidden="1" x14ac:dyDescent="0.35">
      <c r="A2683" s="1"/>
    </row>
    <row r="2684" spans="1:1" hidden="1" x14ac:dyDescent="0.35">
      <c r="A2684" s="1"/>
    </row>
    <row r="2685" spans="1:1" hidden="1" x14ac:dyDescent="0.35">
      <c r="A2685" s="1"/>
    </row>
    <row r="2686" spans="1:1" hidden="1" x14ac:dyDescent="0.35">
      <c r="A2686" s="1"/>
    </row>
    <row r="2687" spans="1:1" hidden="1" x14ac:dyDescent="0.35">
      <c r="A2687" s="1"/>
    </row>
    <row r="2688" spans="1:1" hidden="1" x14ac:dyDescent="0.35">
      <c r="A2688" s="1"/>
    </row>
    <row r="2689" spans="1:1" hidden="1" x14ac:dyDescent="0.35">
      <c r="A2689" s="1"/>
    </row>
    <row r="2690" spans="1:1" hidden="1" x14ac:dyDescent="0.35">
      <c r="A2690" s="1"/>
    </row>
    <row r="2691" spans="1:1" hidden="1" x14ac:dyDescent="0.35">
      <c r="A2691" s="1"/>
    </row>
    <row r="2692" spans="1:1" hidden="1" x14ac:dyDescent="0.35">
      <c r="A2692" s="1"/>
    </row>
    <row r="2693" spans="1:1" hidden="1" x14ac:dyDescent="0.35">
      <c r="A2693" s="1"/>
    </row>
    <row r="2694" spans="1:1" hidden="1" x14ac:dyDescent="0.35">
      <c r="A2694" s="1"/>
    </row>
    <row r="2695" spans="1:1" hidden="1" x14ac:dyDescent="0.35">
      <c r="A2695" s="1"/>
    </row>
    <row r="2696" spans="1:1" hidden="1" x14ac:dyDescent="0.35">
      <c r="A2696" s="1"/>
    </row>
    <row r="2697" spans="1:1" hidden="1" x14ac:dyDescent="0.35">
      <c r="A2697" s="1"/>
    </row>
    <row r="2698" spans="1:1" hidden="1" x14ac:dyDescent="0.35">
      <c r="A2698" s="1"/>
    </row>
    <row r="2699" spans="1:1" hidden="1" x14ac:dyDescent="0.35">
      <c r="A2699" s="1"/>
    </row>
    <row r="2700" spans="1:1" hidden="1" x14ac:dyDescent="0.35">
      <c r="A2700" s="1"/>
    </row>
    <row r="2701" spans="1:1" hidden="1" x14ac:dyDescent="0.35">
      <c r="A2701" s="1"/>
    </row>
    <row r="2702" spans="1:1" hidden="1" x14ac:dyDescent="0.35">
      <c r="A2702" s="1"/>
    </row>
    <row r="2703" spans="1:1" hidden="1" x14ac:dyDescent="0.35">
      <c r="A2703" s="1"/>
    </row>
    <row r="2704" spans="1:1" hidden="1" x14ac:dyDescent="0.35">
      <c r="A2704" s="1"/>
    </row>
    <row r="2705" spans="1:1" hidden="1" x14ac:dyDescent="0.35">
      <c r="A2705" s="1"/>
    </row>
    <row r="2706" spans="1:1" hidden="1" x14ac:dyDescent="0.35">
      <c r="A2706" s="1"/>
    </row>
    <row r="2707" spans="1:1" hidden="1" x14ac:dyDescent="0.35">
      <c r="A2707" s="1"/>
    </row>
    <row r="2708" spans="1:1" hidden="1" x14ac:dyDescent="0.35">
      <c r="A2708" s="1"/>
    </row>
    <row r="2709" spans="1:1" hidden="1" x14ac:dyDescent="0.35">
      <c r="A2709" s="1"/>
    </row>
    <row r="2710" spans="1:1" hidden="1" x14ac:dyDescent="0.35">
      <c r="A2710" s="1"/>
    </row>
    <row r="2711" spans="1:1" hidden="1" x14ac:dyDescent="0.35">
      <c r="A2711" s="1"/>
    </row>
    <row r="2712" spans="1:1" hidden="1" x14ac:dyDescent="0.35">
      <c r="A2712" s="1"/>
    </row>
    <row r="2713" spans="1:1" hidden="1" x14ac:dyDescent="0.35">
      <c r="A2713" s="1"/>
    </row>
    <row r="2714" spans="1:1" hidden="1" x14ac:dyDescent="0.35">
      <c r="A2714" s="1"/>
    </row>
    <row r="2715" spans="1:1" hidden="1" x14ac:dyDescent="0.35">
      <c r="A2715" s="1"/>
    </row>
    <row r="2716" spans="1:1" hidden="1" x14ac:dyDescent="0.35">
      <c r="A2716" s="1"/>
    </row>
    <row r="2717" spans="1:1" hidden="1" x14ac:dyDescent="0.35">
      <c r="A2717" s="1"/>
    </row>
    <row r="2718" spans="1:1" hidden="1" x14ac:dyDescent="0.35">
      <c r="A2718" s="1"/>
    </row>
    <row r="2719" spans="1:1" hidden="1" x14ac:dyDescent="0.35">
      <c r="A2719" s="1"/>
    </row>
    <row r="2720" spans="1:1" hidden="1" x14ac:dyDescent="0.35">
      <c r="A2720" s="1"/>
    </row>
    <row r="2721" spans="1:1" hidden="1" x14ac:dyDescent="0.35">
      <c r="A2721" s="1"/>
    </row>
    <row r="2722" spans="1:1" hidden="1" x14ac:dyDescent="0.35">
      <c r="A2722" s="1"/>
    </row>
    <row r="2723" spans="1:1" hidden="1" x14ac:dyDescent="0.35">
      <c r="A2723" s="1"/>
    </row>
    <row r="2724" spans="1:1" hidden="1" x14ac:dyDescent="0.35">
      <c r="A2724" s="1"/>
    </row>
    <row r="2725" spans="1:1" hidden="1" x14ac:dyDescent="0.35">
      <c r="A2725" s="1"/>
    </row>
    <row r="2726" spans="1:1" hidden="1" x14ac:dyDescent="0.35">
      <c r="A2726" s="1"/>
    </row>
    <row r="2727" spans="1:1" hidden="1" x14ac:dyDescent="0.35">
      <c r="A2727" s="1"/>
    </row>
    <row r="2728" spans="1:1" hidden="1" x14ac:dyDescent="0.35">
      <c r="A2728" s="1"/>
    </row>
    <row r="2729" spans="1:1" hidden="1" x14ac:dyDescent="0.35">
      <c r="A2729" s="1"/>
    </row>
    <row r="2730" spans="1:1" hidden="1" x14ac:dyDescent="0.35">
      <c r="A2730" s="1"/>
    </row>
    <row r="2731" spans="1:1" hidden="1" x14ac:dyDescent="0.35">
      <c r="A2731" s="1"/>
    </row>
    <row r="2732" spans="1:1" hidden="1" x14ac:dyDescent="0.35">
      <c r="A2732" s="1"/>
    </row>
    <row r="2733" spans="1:1" hidden="1" x14ac:dyDescent="0.35">
      <c r="A2733" s="1"/>
    </row>
    <row r="2734" spans="1:1" hidden="1" x14ac:dyDescent="0.35">
      <c r="A2734" s="1"/>
    </row>
    <row r="2735" spans="1:1" hidden="1" x14ac:dyDescent="0.35">
      <c r="A2735" s="1"/>
    </row>
    <row r="2736" spans="1:1" hidden="1" x14ac:dyDescent="0.35">
      <c r="A2736" s="1"/>
    </row>
    <row r="2737" spans="1:1" hidden="1" x14ac:dyDescent="0.35">
      <c r="A2737" s="1"/>
    </row>
    <row r="2738" spans="1:1" hidden="1" x14ac:dyDescent="0.35">
      <c r="A2738" s="1"/>
    </row>
    <row r="2739" spans="1:1" hidden="1" x14ac:dyDescent="0.35">
      <c r="A2739" s="1"/>
    </row>
    <row r="2740" spans="1:1" hidden="1" x14ac:dyDescent="0.35">
      <c r="A2740" s="1"/>
    </row>
    <row r="2741" spans="1:1" hidden="1" x14ac:dyDescent="0.35">
      <c r="A2741" s="1"/>
    </row>
    <row r="2742" spans="1:1" hidden="1" x14ac:dyDescent="0.35">
      <c r="A2742" s="1"/>
    </row>
    <row r="2743" spans="1:1" hidden="1" x14ac:dyDescent="0.35">
      <c r="A2743" s="1"/>
    </row>
    <row r="2744" spans="1:1" hidden="1" x14ac:dyDescent="0.35">
      <c r="A2744" s="1"/>
    </row>
    <row r="2745" spans="1:1" hidden="1" x14ac:dyDescent="0.35">
      <c r="A2745" s="1"/>
    </row>
    <row r="2746" spans="1:1" hidden="1" x14ac:dyDescent="0.35">
      <c r="A2746" s="1"/>
    </row>
    <row r="2747" spans="1:1" hidden="1" x14ac:dyDescent="0.35">
      <c r="A2747" s="1"/>
    </row>
    <row r="2748" spans="1:1" hidden="1" x14ac:dyDescent="0.35">
      <c r="A2748" s="1"/>
    </row>
    <row r="2749" spans="1:1" hidden="1" x14ac:dyDescent="0.35">
      <c r="A2749" s="1"/>
    </row>
    <row r="2750" spans="1:1" hidden="1" x14ac:dyDescent="0.35">
      <c r="A2750" s="1"/>
    </row>
    <row r="2751" spans="1:1" hidden="1" x14ac:dyDescent="0.35">
      <c r="A2751" s="1"/>
    </row>
    <row r="2752" spans="1:1" hidden="1" x14ac:dyDescent="0.35">
      <c r="A2752" s="1"/>
    </row>
    <row r="2753" spans="1:1" hidden="1" x14ac:dyDescent="0.35">
      <c r="A2753" s="1"/>
    </row>
    <row r="2754" spans="1:1" hidden="1" x14ac:dyDescent="0.35">
      <c r="A2754" s="1"/>
    </row>
    <row r="2755" spans="1:1" hidden="1" x14ac:dyDescent="0.35">
      <c r="A2755" s="1"/>
    </row>
    <row r="2756" spans="1:1" hidden="1" x14ac:dyDescent="0.35">
      <c r="A2756" s="1"/>
    </row>
    <row r="2757" spans="1:1" hidden="1" x14ac:dyDescent="0.35">
      <c r="A2757" s="1"/>
    </row>
    <row r="2758" spans="1:1" hidden="1" x14ac:dyDescent="0.35">
      <c r="A2758" s="1"/>
    </row>
    <row r="2759" spans="1:1" hidden="1" x14ac:dyDescent="0.35">
      <c r="A2759" s="1"/>
    </row>
    <row r="2760" spans="1:1" hidden="1" x14ac:dyDescent="0.35">
      <c r="A2760" s="1"/>
    </row>
    <row r="2761" spans="1:1" hidden="1" x14ac:dyDescent="0.35">
      <c r="A2761" s="1"/>
    </row>
    <row r="2762" spans="1:1" hidden="1" x14ac:dyDescent="0.35">
      <c r="A2762" s="1"/>
    </row>
    <row r="2763" spans="1:1" hidden="1" x14ac:dyDescent="0.35">
      <c r="A2763" s="1"/>
    </row>
    <row r="2764" spans="1:1" hidden="1" x14ac:dyDescent="0.35">
      <c r="A2764" s="1"/>
    </row>
    <row r="2765" spans="1:1" hidden="1" x14ac:dyDescent="0.35">
      <c r="A2765" s="1"/>
    </row>
    <row r="2766" spans="1:1" hidden="1" x14ac:dyDescent="0.35">
      <c r="A2766" s="1"/>
    </row>
    <row r="2767" spans="1:1" hidden="1" x14ac:dyDescent="0.35">
      <c r="A2767" s="1"/>
    </row>
    <row r="2768" spans="1:1" hidden="1" x14ac:dyDescent="0.35">
      <c r="A2768" s="1"/>
    </row>
    <row r="2769" spans="1:1" hidden="1" x14ac:dyDescent="0.35">
      <c r="A2769" s="1"/>
    </row>
    <row r="2770" spans="1:1" hidden="1" x14ac:dyDescent="0.35">
      <c r="A2770" s="1"/>
    </row>
    <row r="2771" spans="1:1" hidden="1" x14ac:dyDescent="0.35">
      <c r="A2771" s="1"/>
    </row>
    <row r="2772" spans="1:1" hidden="1" x14ac:dyDescent="0.35">
      <c r="A2772" s="1"/>
    </row>
    <row r="2773" spans="1:1" hidden="1" x14ac:dyDescent="0.35">
      <c r="A2773" s="1"/>
    </row>
    <row r="2774" spans="1:1" hidden="1" x14ac:dyDescent="0.35">
      <c r="A2774" s="1"/>
    </row>
    <row r="2775" spans="1:1" hidden="1" x14ac:dyDescent="0.35">
      <c r="A2775" s="1"/>
    </row>
    <row r="2776" spans="1:1" hidden="1" x14ac:dyDescent="0.35">
      <c r="A2776" s="1"/>
    </row>
    <row r="2777" spans="1:1" hidden="1" x14ac:dyDescent="0.35">
      <c r="A2777" s="1"/>
    </row>
    <row r="2778" spans="1:1" hidden="1" x14ac:dyDescent="0.35">
      <c r="A2778" s="1"/>
    </row>
    <row r="2779" spans="1:1" hidden="1" x14ac:dyDescent="0.35">
      <c r="A2779" s="1"/>
    </row>
    <row r="2780" spans="1:1" hidden="1" x14ac:dyDescent="0.35">
      <c r="A2780" s="1"/>
    </row>
    <row r="2781" spans="1:1" hidden="1" x14ac:dyDescent="0.35">
      <c r="A2781" s="1"/>
    </row>
    <row r="2782" spans="1:1" hidden="1" x14ac:dyDescent="0.35">
      <c r="A2782" s="1"/>
    </row>
    <row r="2783" spans="1:1" hidden="1" x14ac:dyDescent="0.35">
      <c r="A2783" s="1"/>
    </row>
    <row r="2784" spans="1:1" hidden="1" x14ac:dyDescent="0.35">
      <c r="A2784" s="1"/>
    </row>
    <row r="2785" spans="1:1" hidden="1" x14ac:dyDescent="0.35">
      <c r="A2785" s="1"/>
    </row>
    <row r="2786" spans="1:1" hidden="1" x14ac:dyDescent="0.35">
      <c r="A2786" s="1"/>
    </row>
    <row r="2787" spans="1:1" hidden="1" x14ac:dyDescent="0.35">
      <c r="A2787" s="1"/>
    </row>
    <row r="2788" spans="1:1" hidden="1" x14ac:dyDescent="0.35">
      <c r="A2788" s="1"/>
    </row>
    <row r="2789" spans="1:1" hidden="1" x14ac:dyDescent="0.35">
      <c r="A2789" s="1"/>
    </row>
    <row r="2790" spans="1:1" hidden="1" x14ac:dyDescent="0.35">
      <c r="A2790" s="1"/>
    </row>
    <row r="2791" spans="1:1" hidden="1" x14ac:dyDescent="0.35">
      <c r="A2791" s="1"/>
    </row>
    <row r="2792" spans="1:1" hidden="1" x14ac:dyDescent="0.35">
      <c r="A2792" s="1"/>
    </row>
    <row r="2793" spans="1:1" hidden="1" x14ac:dyDescent="0.35">
      <c r="A2793" s="1"/>
    </row>
    <row r="2794" spans="1:1" hidden="1" x14ac:dyDescent="0.35">
      <c r="A2794" s="1"/>
    </row>
    <row r="2795" spans="1:1" hidden="1" x14ac:dyDescent="0.35">
      <c r="A2795" s="1"/>
    </row>
    <row r="2796" spans="1:1" hidden="1" x14ac:dyDescent="0.35">
      <c r="A2796" s="1"/>
    </row>
    <row r="2797" spans="1:1" hidden="1" x14ac:dyDescent="0.35">
      <c r="A2797" s="1"/>
    </row>
    <row r="2798" spans="1:1" hidden="1" x14ac:dyDescent="0.35">
      <c r="A2798" s="1"/>
    </row>
    <row r="2799" spans="1:1" hidden="1" x14ac:dyDescent="0.35">
      <c r="A2799" s="1"/>
    </row>
    <row r="2800" spans="1:1" hidden="1" x14ac:dyDescent="0.35">
      <c r="A2800" s="1"/>
    </row>
    <row r="2801" spans="1:1" hidden="1" x14ac:dyDescent="0.35">
      <c r="A2801" s="1"/>
    </row>
    <row r="2802" spans="1:1" hidden="1" x14ac:dyDescent="0.35">
      <c r="A2802" s="1"/>
    </row>
    <row r="2803" spans="1:1" hidden="1" x14ac:dyDescent="0.35">
      <c r="A2803" s="1"/>
    </row>
    <row r="2804" spans="1:1" hidden="1" x14ac:dyDescent="0.35">
      <c r="A2804" s="1"/>
    </row>
    <row r="2805" spans="1:1" hidden="1" x14ac:dyDescent="0.35">
      <c r="A2805" s="1"/>
    </row>
    <row r="2806" spans="1:1" hidden="1" x14ac:dyDescent="0.35">
      <c r="A2806" s="1"/>
    </row>
    <row r="2807" spans="1:1" hidden="1" x14ac:dyDescent="0.35">
      <c r="A2807" s="1"/>
    </row>
    <row r="2808" spans="1:1" hidden="1" x14ac:dyDescent="0.35">
      <c r="A2808" s="1"/>
    </row>
    <row r="2809" spans="1:1" hidden="1" x14ac:dyDescent="0.35">
      <c r="A2809" s="1"/>
    </row>
    <row r="2810" spans="1:1" hidden="1" x14ac:dyDescent="0.35">
      <c r="A2810" s="1"/>
    </row>
    <row r="2811" spans="1:1" hidden="1" x14ac:dyDescent="0.35">
      <c r="A2811" s="1"/>
    </row>
    <row r="2812" spans="1:1" hidden="1" x14ac:dyDescent="0.35">
      <c r="A2812" s="1"/>
    </row>
    <row r="2813" spans="1:1" hidden="1" x14ac:dyDescent="0.35">
      <c r="A2813" s="1"/>
    </row>
    <row r="2814" spans="1:1" hidden="1" x14ac:dyDescent="0.35">
      <c r="A2814" s="1"/>
    </row>
    <row r="2815" spans="1:1" hidden="1" x14ac:dyDescent="0.35">
      <c r="A2815" s="1"/>
    </row>
    <row r="2816" spans="1:1" hidden="1" x14ac:dyDescent="0.35">
      <c r="A2816" s="1"/>
    </row>
    <row r="2817" spans="1:1" hidden="1" x14ac:dyDescent="0.35">
      <c r="A2817" s="1"/>
    </row>
    <row r="2818" spans="1:1" hidden="1" x14ac:dyDescent="0.35">
      <c r="A2818" s="1"/>
    </row>
    <row r="2819" spans="1:1" hidden="1" x14ac:dyDescent="0.35">
      <c r="A2819" s="1"/>
    </row>
    <row r="2820" spans="1:1" hidden="1" x14ac:dyDescent="0.35">
      <c r="A2820" s="1"/>
    </row>
    <row r="2821" spans="1:1" hidden="1" x14ac:dyDescent="0.35">
      <c r="A2821" s="1"/>
    </row>
    <row r="2822" spans="1:1" hidden="1" x14ac:dyDescent="0.35">
      <c r="A2822" s="1"/>
    </row>
    <row r="2823" spans="1:1" hidden="1" x14ac:dyDescent="0.35">
      <c r="A2823" s="1"/>
    </row>
    <row r="2824" spans="1:1" hidden="1" x14ac:dyDescent="0.35">
      <c r="A2824" s="1"/>
    </row>
    <row r="2825" spans="1:1" hidden="1" x14ac:dyDescent="0.35">
      <c r="A2825" s="1"/>
    </row>
    <row r="2826" spans="1:1" hidden="1" x14ac:dyDescent="0.35">
      <c r="A2826" s="1"/>
    </row>
    <row r="2827" spans="1:1" hidden="1" x14ac:dyDescent="0.35">
      <c r="A2827" s="1"/>
    </row>
    <row r="2828" spans="1:1" hidden="1" x14ac:dyDescent="0.35">
      <c r="A2828" s="1"/>
    </row>
    <row r="2829" spans="1:1" hidden="1" x14ac:dyDescent="0.35">
      <c r="A2829" s="1"/>
    </row>
    <row r="2830" spans="1:1" hidden="1" x14ac:dyDescent="0.35">
      <c r="A2830" s="1"/>
    </row>
    <row r="2831" spans="1:1" hidden="1" x14ac:dyDescent="0.35">
      <c r="A2831" s="1"/>
    </row>
    <row r="2832" spans="1:1" hidden="1" x14ac:dyDescent="0.35">
      <c r="A2832" s="1"/>
    </row>
    <row r="2833" spans="1:1" hidden="1" x14ac:dyDescent="0.35">
      <c r="A2833" s="1"/>
    </row>
    <row r="2834" spans="1:1" hidden="1" x14ac:dyDescent="0.35">
      <c r="A2834" s="1"/>
    </row>
    <row r="2835" spans="1:1" hidden="1" x14ac:dyDescent="0.35">
      <c r="A2835" s="1"/>
    </row>
    <row r="2836" spans="1:1" hidden="1" x14ac:dyDescent="0.35">
      <c r="A2836" s="1"/>
    </row>
    <row r="2837" spans="1:1" hidden="1" x14ac:dyDescent="0.35">
      <c r="A2837" s="1"/>
    </row>
    <row r="2838" spans="1:1" hidden="1" x14ac:dyDescent="0.35">
      <c r="A2838" s="1"/>
    </row>
    <row r="2839" spans="1:1" hidden="1" x14ac:dyDescent="0.35">
      <c r="A2839" s="1"/>
    </row>
    <row r="2840" spans="1:1" hidden="1" x14ac:dyDescent="0.35">
      <c r="A2840" s="1"/>
    </row>
    <row r="2841" spans="1:1" hidden="1" x14ac:dyDescent="0.35">
      <c r="A2841" s="1"/>
    </row>
    <row r="2842" spans="1:1" hidden="1" x14ac:dyDescent="0.35">
      <c r="A2842" s="1"/>
    </row>
    <row r="2843" spans="1:1" hidden="1" x14ac:dyDescent="0.35">
      <c r="A2843" s="1"/>
    </row>
    <row r="2844" spans="1:1" hidden="1" x14ac:dyDescent="0.35">
      <c r="A2844" s="1"/>
    </row>
    <row r="2845" spans="1:1" hidden="1" x14ac:dyDescent="0.35">
      <c r="A2845" s="1"/>
    </row>
    <row r="2846" spans="1:1" hidden="1" x14ac:dyDescent="0.35">
      <c r="A2846" s="1"/>
    </row>
    <row r="2847" spans="1:1" hidden="1" x14ac:dyDescent="0.35">
      <c r="A2847" s="1"/>
    </row>
    <row r="2848" spans="1:1" hidden="1" x14ac:dyDescent="0.35">
      <c r="A2848" s="1"/>
    </row>
    <row r="2849" spans="1:1" hidden="1" x14ac:dyDescent="0.35">
      <c r="A2849" s="1"/>
    </row>
    <row r="2850" spans="1:1" hidden="1" x14ac:dyDescent="0.35">
      <c r="A2850" s="1"/>
    </row>
    <row r="2851" spans="1:1" hidden="1" x14ac:dyDescent="0.35">
      <c r="A2851" s="1"/>
    </row>
    <row r="2852" spans="1:1" hidden="1" x14ac:dyDescent="0.35">
      <c r="A2852" s="1"/>
    </row>
    <row r="2853" spans="1:1" hidden="1" x14ac:dyDescent="0.35">
      <c r="A2853" s="1"/>
    </row>
    <row r="2854" spans="1:1" hidden="1" x14ac:dyDescent="0.35">
      <c r="A2854" s="1"/>
    </row>
    <row r="2855" spans="1:1" hidden="1" x14ac:dyDescent="0.35">
      <c r="A2855" s="1"/>
    </row>
    <row r="2856" spans="1:1" hidden="1" x14ac:dyDescent="0.35">
      <c r="A2856" s="1"/>
    </row>
    <row r="2857" spans="1:1" hidden="1" x14ac:dyDescent="0.35">
      <c r="A2857" s="1"/>
    </row>
    <row r="2858" spans="1:1" hidden="1" x14ac:dyDescent="0.35">
      <c r="A2858" s="1"/>
    </row>
    <row r="2859" spans="1:1" hidden="1" x14ac:dyDescent="0.35">
      <c r="A2859" s="1"/>
    </row>
    <row r="2860" spans="1:1" hidden="1" x14ac:dyDescent="0.35">
      <c r="A2860" s="1"/>
    </row>
    <row r="2861" spans="1:1" hidden="1" x14ac:dyDescent="0.35">
      <c r="A2861" s="1"/>
    </row>
    <row r="2862" spans="1:1" hidden="1" x14ac:dyDescent="0.35">
      <c r="A2862" s="1"/>
    </row>
    <row r="2863" spans="1:1" hidden="1" x14ac:dyDescent="0.35">
      <c r="A2863" s="1"/>
    </row>
    <row r="2864" spans="1:1" hidden="1" x14ac:dyDescent="0.35">
      <c r="A2864" s="1"/>
    </row>
    <row r="2865" spans="1:1" hidden="1" x14ac:dyDescent="0.35">
      <c r="A2865" s="1"/>
    </row>
    <row r="2866" spans="1:1" hidden="1" x14ac:dyDescent="0.35">
      <c r="A2866" s="1"/>
    </row>
    <row r="2867" spans="1:1" hidden="1" x14ac:dyDescent="0.35">
      <c r="A2867" s="1"/>
    </row>
    <row r="2868" spans="1:1" hidden="1" x14ac:dyDescent="0.35">
      <c r="A2868" s="1"/>
    </row>
    <row r="2869" spans="1:1" hidden="1" x14ac:dyDescent="0.35">
      <c r="A2869" s="1"/>
    </row>
    <row r="2870" spans="1:1" hidden="1" x14ac:dyDescent="0.35">
      <c r="A2870" s="1"/>
    </row>
    <row r="2871" spans="1:1" hidden="1" x14ac:dyDescent="0.35">
      <c r="A2871" s="1"/>
    </row>
    <row r="2872" spans="1:1" hidden="1" x14ac:dyDescent="0.35">
      <c r="A2872" s="1"/>
    </row>
    <row r="2873" spans="1:1" hidden="1" x14ac:dyDescent="0.35">
      <c r="A2873" s="1"/>
    </row>
    <row r="2874" spans="1:1" hidden="1" x14ac:dyDescent="0.35">
      <c r="A2874" s="1"/>
    </row>
    <row r="2875" spans="1:1" hidden="1" x14ac:dyDescent="0.35">
      <c r="A2875" s="1"/>
    </row>
    <row r="2876" spans="1:1" hidden="1" x14ac:dyDescent="0.35">
      <c r="A2876" s="1"/>
    </row>
    <row r="2877" spans="1:1" hidden="1" x14ac:dyDescent="0.35">
      <c r="A2877" s="1"/>
    </row>
    <row r="2878" spans="1:1" hidden="1" x14ac:dyDescent="0.35">
      <c r="A2878" s="1"/>
    </row>
    <row r="2879" spans="1:1" hidden="1" x14ac:dyDescent="0.35">
      <c r="A2879" s="1"/>
    </row>
    <row r="2880" spans="1:1" hidden="1" x14ac:dyDescent="0.35">
      <c r="A2880" s="1"/>
    </row>
    <row r="2881" spans="1:1" hidden="1" x14ac:dyDescent="0.35">
      <c r="A2881" s="1"/>
    </row>
    <row r="2882" spans="1:1" hidden="1" x14ac:dyDescent="0.35">
      <c r="A2882" s="1"/>
    </row>
    <row r="2883" spans="1:1" hidden="1" x14ac:dyDescent="0.35">
      <c r="A2883" s="1"/>
    </row>
    <row r="2884" spans="1:1" hidden="1" x14ac:dyDescent="0.35">
      <c r="A2884" s="1"/>
    </row>
    <row r="2885" spans="1:1" hidden="1" x14ac:dyDescent="0.35">
      <c r="A2885" s="1"/>
    </row>
    <row r="2886" spans="1:1" hidden="1" x14ac:dyDescent="0.35">
      <c r="A2886" s="1"/>
    </row>
    <row r="2887" spans="1:1" hidden="1" x14ac:dyDescent="0.35">
      <c r="A2887" s="1"/>
    </row>
    <row r="2888" spans="1:1" hidden="1" x14ac:dyDescent="0.35">
      <c r="A2888" s="1"/>
    </row>
    <row r="2889" spans="1:1" hidden="1" x14ac:dyDescent="0.35">
      <c r="A2889" s="1"/>
    </row>
    <row r="2890" spans="1:1" hidden="1" x14ac:dyDescent="0.35">
      <c r="A2890" s="1"/>
    </row>
    <row r="2891" spans="1:1" hidden="1" x14ac:dyDescent="0.35">
      <c r="A2891" s="1"/>
    </row>
    <row r="2892" spans="1:1" hidden="1" x14ac:dyDescent="0.35">
      <c r="A2892" s="1"/>
    </row>
    <row r="2893" spans="1:1" hidden="1" x14ac:dyDescent="0.35">
      <c r="A2893" s="1"/>
    </row>
    <row r="2894" spans="1:1" hidden="1" x14ac:dyDescent="0.35">
      <c r="A2894" s="1"/>
    </row>
    <row r="2895" spans="1:1" hidden="1" x14ac:dyDescent="0.35">
      <c r="A2895" s="1"/>
    </row>
    <row r="2896" spans="1:1" hidden="1" x14ac:dyDescent="0.35">
      <c r="A2896" s="1"/>
    </row>
    <row r="2897" spans="1:1" hidden="1" x14ac:dyDescent="0.35">
      <c r="A2897" s="1"/>
    </row>
    <row r="2898" spans="1:1" hidden="1" x14ac:dyDescent="0.35">
      <c r="A2898" s="1"/>
    </row>
    <row r="2899" spans="1:1" hidden="1" x14ac:dyDescent="0.35">
      <c r="A2899" s="1"/>
    </row>
    <row r="2900" spans="1:1" hidden="1" x14ac:dyDescent="0.35">
      <c r="A2900" s="1"/>
    </row>
    <row r="2901" spans="1:1" hidden="1" x14ac:dyDescent="0.35">
      <c r="A2901" s="1"/>
    </row>
    <row r="2902" spans="1:1" hidden="1" x14ac:dyDescent="0.35">
      <c r="A2902" s="1"/>
    </row>
    <row r="2903" spans="1:1" hidden="1" x14ac:dyDescent="0.35">
      <c r="A2903" s="1"/>
    </row>
    <row r="2904" spans="1:1" hidden="1" x14ac:dyDescent="0.35">
      <c r="A2904" s="1"/>
    </row>
    <row r="2905" spans="1:1" hidden="1" x14ac:dyDescent="0.35">
      <c r="A2905" s="1"/>
    </row>
    <row r="2906" spans="1:1" hidden="1" x14ac:dyDescent="0.35">
      <c r="A2906" s="1"/>
    </row>
    <row r="2907" spans="1:1" hidden="1" x14ac:dyDescent="0.35">
      <c r="A2907" s="1"/>
    </row>
    <row r="2908" spans="1:1" hidden="1" x14ac:dyDescent="0.35">
      <c r="A2908" s="1"/>
    </row>
    <row r="2909" spans="1:1" hidden="1" x14ac:dyDescent="0.35">
      <c r="A2909" s="1"/>
    </row>
    <row r="2910" spans="1:1" hidden="1" x14ac:dyDescent="0.35">
      <c r="A2910" s="1"/>
    </row>
    <row r="2911" spans="1:1" hidden="1" x14ac:dyDescent="0.35">
      <c r="A2911" s="1"/>
    </row>
    <row r="2912" spans="1:1" hidden="1" x14ac:dyDescent="0.35">
      <c r="A2912" s="1"/>
    </row>
    <row r="2913" spans="1:1" hidden="1" x14ac:dyDescent="0.35">
      <c r="A2913" s="1"/>
    </row>
    <row r="2914" spans="1:1" hidden="1" x14ac:dyDescent="0.35">
      <c r="A2914" s="1"/>
    </row>
    <row r="2915" spans="1:1" hidden="1" x14ac:dyDescent="0.35">
      <c r="A2915" s="1"/>
    </row>
    <row r="2916" spans="1:1" hidden="1" x14ac:dyDescent="0.35">
      <c r="A2916" s="1"/>
    </row>
    <row r="2917" spans="1:1" hidden="1" x14ac:dyDescent="0.35">
      <c r="A2917" s="1"/>
    </row>
    <row r="2918" spans="1:1" hidden="1" x14ac:dyDescent="0.35">
      <c r="A2918" s="1"/>
    </row>
    <row r="2919" spans="1:1" hidden="1" x14ac:dyDescent="0.35">
      <c r="A2919" s="1"/>
    </row>
    <row r="2920" spans="1:1" hidden="1" x14ac:dyDescent="0.35">
      <c r="A2920" s="1"/>
    </row>
    <row r="2921" spans="1:1" hidden="1" x14ac:dyDescent="0.35">
      <c r="A2921" s="1"/>
    </row>
    <row r="2922" spans="1:1" hidden="1" x14ac:dyDescent="0.35">
      <c r="A2922" s="1"/>
    </row>
    <row r="2923" spans="1:1" hidden="1" x14ac:dyDescent="0.35">
      <c r="A2923" s="1"/>
    </row>
    <row r="2924" spans="1:1" hidden="1" x14ac:dyDescent="0.35">
      <c r="A2924" s="1"/>
    </row>
    <row r="2925" spans="1:1" hidden="1" x14ac:dyDescent="0.35">
      <c r="A2925" s="1"/>
    </row>
    <row r="2926" spans="1:1" hidden="1" x14ac:dyDescent="0.35">
      <c r="A2926" s="1"/>
    </row>
    <row r="2927" spans="1:1" hidden="1" x14ac:dyDescent="0.35">
      <c r="A2927" s="1"/>
    </row>
    <row r="2928" spans="1:1" hidden="1" x14ac:dyDescent="0.35">
      <c r="A2928" s="1"/>
    </row>
    <row r="2929" spans="1:1" hidden="1" x14ac:dyDescent="0.35">
      <c r="A2929" s="1"/>
    </row>
    <row r="2930" spans="1:1" hidden="1" x14ac:dyDescent="0.35">
      <c r="A2930" s="1"/>
    </row>
    <row r="2931" spans="1:1" hidden="1" x14ac:dyDescent="0.35">
      <c r="A2931" s="1"/>
    </row>
    <row r="2932" spans="1:1" hidden="1" x14ac:dyDescent="0.35">
      <c r="A2932" s="1"/>
    </row>
    <row r="2933" spans="1:1" hidden="1" x14ac:dyDescent="0.35">
      <c r="A2933" s="1"/>
    </row>
    <row r="2934" spans="1:1" hidden="1" x14ac:dyDescent="0.35">
      <c r="A2934" s="1"/>
    </row>
    <row r="2935" spans="1:1" hidden="1" x14ac:dyDescent="0.35">
      <c r="A2935" s="1"/>
    </row>
    <row r="2936" spans="1:1" hidden="1" x14ac:dyDescent="0.35">
      <c r="A2936" s="1"/>
    </row>
    <row r="2937" spans="1:1" hidden="1" x14ac:dyDescent="0.35">
      <c r="A2937" s="1"/>
    </row>
    <row r="2938" spans="1:1" hidden="1" x14ac:dyDescent="0.35">
      <c r="A2938" s="1"/>
    </row>
    <row r="2939" spans="1:1" hidden="1" x14ac:dyDescent="0.35">
      <c r="A2939" s="1"/>
    </row>
    <row r="2940" spans="1:1" hidden="1" x14ac:dyDescent="0.35">
      <c r="A2940" s="1"/>
    </row>
    <row r="2941" spans="1:1" hidden="1" x14ac:dyDescent="0.35">
      <c r="A2941" s="1"/>
    </row>
    <row r="2942" spans="1:1" hidden="1" x14ac:dyDescent="0.35">
      <c r="A2942" s="1"/>
    </row>
    <row r="2943" spans="1:1" hidden="1" x14ac:dyDescent="0.35">
      <c r="A2943" s="1"/>
    </row>
    <row r="2944" spans="1:1" hidden="1" x14ac:dyDescent="0.35">
      <c r="A2944" s="1"/>
    </row>
    <row r="2945" spans="1:1" hidden="1" x14ac:dyDescent="0.35">
      <c r="A2945" s="1"/>
    </row>
    <row r="2946" spans="1:1" hidden="1" x14ac:dyDescent="0.35">
      <c r="A2946" s="1"/>
    </row>
    <row r="2947" spans="1:1" hidden="1" x14ac:dyDescent="0.35">
      <c r="A2947" s="1"/>
    </row>
    <row r="2948" spans="1:1" hidden="1" x14ac:dyDescent="0.35">
      <c r="A2948" s="1"/>
    </row>
    <row r="2949" spans="1:1" hidden="1" x14ac:dyDescent="0.35">
      <c r="A2949" s="1"/>
    </row>
    <row r="2950" spans="1:1" hidden="1" x14ac:dyDescent="0.35">
      <c r="A2950" s="1"/>
    </row>
    <row r="2951" spans="1:1" hidden="1" x14ac:dyDescent="0.35">
      <c r="A2951" s="1"/>
    </row>
    <row r="2952" spans="1:1" hidden="1" x14ac:dyDescent="0.35">
      <c r="A2952" s="1"/>
    </row>
    <row r="2953" spans="1:1" hidden="1" x14ac:dyDescent="0.35">
      <c r="A2953" s="1"/>
    </row>
    <row r="2954" spans="1:1" hidden="1" x14ac:dyDescent="0.35">
      <c r="A2954" s="1"/>
    </row>
    <row r="2955" spans="1:1" hidden="1" x14ac:dyDescent="0.35">
      <c r="A2955" s="1"/>
    </row>
    <row r="2956" spans="1:1" hidden="1" x14ac:dyDescent="0.35">
      <c r="A2956" s="1"/>
    </row>
    <row r="2957" spans="1:1" hidden="1" x14ac:dyDescent="0.35">
      <c r="A2957" s="1"/>
    </row>
    <row r="2958" spans="1:1" hidden="1" x14ac:dyDescent="0.35">
      <c r="A2958" s="1"/>
    </row>
    <row r="2959" spans="1:1" hidden="1" x14ac:dyDescent="0.35">
      <c r="A2959" s="1"/>
    </row>
    <row r="2960" spans="1:1" hidden="1" x14ac:dyDescent="0.35">
      <c r="A2960" s="1"/>
    </row>
    <row r="2961" spans="1:1" hidden="1" x14ac:dyDescent="0.35">
      <c r="A2961" s="1"/>
    </row>
    <row r="2962" spans="1:1" hidden="1" x14ac:dyDescent="0.35">
      <c r="A2962" s="1"/>
    </row>
    <row r="2963" spans="1:1" hidden="1" x14ac:dyDescent="0.35">
      <c r="A2963" s="1"/>
    </row>
    <row r="2964" spans="1:1" hidden="1" x14ac:dyDescent="0.35">
      <c r="A2964" s="1"/>
    </row>
    <row r="2965" spans="1:1" hidden="1" x14ac:dyDescent="0.35">
      <c r="A2965" s="1"/>
    </row>
    <row r="2966" spans="1:1" hidden="1" x14ac:dyDescent="0.35">
      <c r="A2966" s="1"/>
    </row>
    <row r="2967" spans="1:1" hidden="1" x14ac:dyDescent="0.35">
      <c r="A2967" s="1"/>
    </row>
    <row r="2968" spans="1:1" hidden="1" x14ac:dyDescent="0.35">
      <c r="A2968" s="1"/>
    </row>
    <row r="2969" spans="1:1" hidden="1" x14ac:dyDescent="0.35">
      <c r="A2969" s="1"/>
    </row>
    <row r="2970" spans="1:1" hidden="1" x14ac:dyDescent="0.35">
      <c r="A2970" s="1"/>
    </row>
    <row r="2971" spans="1:1" hidden="1" x14ac:dyDescent="0.35">
      <c r="A2971" s="1"/>
    </row>
    <row r="2972" spans="1:1" hidden="1" x14ac:dyDescent="0.35">
      <c r="A2972" s="1"/>
    </row>
    <row r="2973" spans="1:1" hidden="1" x14ac:dyDescent="0.35">
      <c r="A2973" s="1"/>
    </row>
    <row r="2974" spans="1:1" hidden="1" x14ac:dyDescent="0.35">
      <c r="A2974" s="1"/>
    </row>
    <row r="2975" spans="1:1" hidden="1" x14ac:dyDescent="0.35">
      <c r="A2975" s="1"/>
    </row>
    <row r="2976" spans="1:1" hidden="1" x14ac:dyDescent="0.35">
      <c r="A2976" s="1"/>
    </row>
    <row r="2977" spans="1:1" hidden="1" x14ac:dyDescent="0.35">
      <c r="A2977" s="1"/>
    </row>
    <row r="2978" spans="1:1" hidden="1" x14ac:dyDescent="0.35">
      <c r="A2978" s="1"/>
    </row>
    <row r="2979" spans="1:1" hidden="1" x14ac:dyDescent="0.35">
      <c r="A2979" s="1"/>
    </row>
    <row r="2980" spans="1:1" hidden="1" x14ac:dyDescent="0.35">
      <c r="A2980" s="1"/>
    </row>
    <row r="2981" spans="1:1" hidden="1" x14ac:dyDescent="0.35">
      <c r="A2981" s="1"/>
    </row>
    <row r="2982" spans="1:1" hidden="1" x14ac:dyDescent="0.35">
      <c r="A2982" s="1"/>
    </row>
    <row r="2983" spans="1:1" hidden="1" x14ac:dyDescent="0.35">
      <c r="A2983" s="1"/>
    </row>
    <row r="2984" spans="1:1" hidden="1" x14ac:dyDescent="0.35">
      <c r="A2984" s="1"/>
    </row>
    <row r="2985" spans="1:1" hidden="1" x14ac:dyDescent="0.35">
      <c r="A2985" s="1"/>
    </row>
    <row r="2986" spans="1:1" hidden="1" x14ac:dyDescent="0.35">
      <c r="A2986" s="1"/>
    </row>
    <row r="2987" spans="1:1" hidden="1" x14ac:dyDescent="0.35">
      <c r="A2987" s="1"/>
    </row>
    <row r="2988" spans="1:1" hidden="1" x14ac:dyDescent="0.35">
      <c r="A2988" s="1"/>
    </row>
    <row r="2989" spans="1:1" hidden="1" x14ac:dyDescent="0.35">
      <c r="A2989" s="1"/>
    </row>
    <row r="2990" spans="1:1" hidden="1" x14ac:dyDescent="0.35">
      <c r="A2990" s="1"/>
    </row>
    <row r="2991" spans="1:1" hidden="1" x14ac:dyDescent="0.35">
      <c r="A2991" s="1"/>
    </row>
    <row r="2992" spans="1:1" hidden="1" x14ac:dyDescent="0.35">
      <c r="A2992" s="1"/>
    </row>
    <row r="2993" spans="1:1" hidden="1" x14ac:dyDescent="0.35">
      <c r="A2993" s="1"/>
    </row>
    <row r="2994" spans="1:1" hidden="1" x14ac:dyDescent="0.35">
      <c r="A2994" s="1"/>
    </row>
    <row r="2995" spans="1:1" hidden="1" x14ac:dyDescent="0.35">
      <c r="A2995" s="1"/>
    </row>
    <row r="2996" spans="1:1" hidden="1" x14ac:dyDescent="0.35">
      <c r="A2996" s="1"/>
    </row>
    <row r="2997" spans="1:1" hidden="1" x14ac:dyDescent="0.35">
      <c r="A2997" s="1"/>
    </row>
    <row r="2998" spans="1:1" hidden="1" x14ac:dyDescent="0.35">
      <c r="A2998" s="1"/>
    </row>
    <row r="2999" spans="1:1" hidden="1" x14ac:dyDescent="0.35">
      <c r="A2999" s="1"/>
    </row>
    <row r="3000" spans="1:1" hidden="1" x14ac:dyDescent="0.35">
      <c r="A3000" s="1"/>
    </row>
    <row r="3001" spans="1:1" hidden="1" x14ac:dyDescent="0.35">
      <c r="A3001" s="1"/>
    </row>
    <row r="3002" spans="1:1" hidden="1" x14ac:dyDescent="0.35">
      <c r="A3002" s="1"/>
    </row>
    <row r="3003" spans="1:1" hidden="1" x14ac:dyDescent="0.35">
      <c r="A3003" s="1"/>
    </row>
    <row r="3004" spans="1:1" hidden="1" x14ac:dyDescent="0.35">
      <c r="A3004" s="1"/>
    </row>
    <row r="3005" spans="1:1" hidden="1" x14ac:dyDescent="0.35">
      <c r="A3005" s="1"/>
    </row>
    <row r="3006" spans="1:1" hidden="1" x14ac:dyDescent="0.35">
      <c r="A3006" s="1"/>
    </row>
    <row r="3007" spans="1:1" hidden="1" x14ac:dyDescent="0.35">
      <c r="A3007" s="1"/>
    </row>
    <row r="3008" spans="1:1" hidden="1" x14ac:dyDescent="0.35">
      <c r="A3008" s="1"/>
    </row>
    <row r="3009" spans="1:1" hidden="1" x14ac:dyDescent="0.35">
      <c r="A3009" s="1"/>
    </row>
    <row r="3010" spans="1:1" hidden="1" x14ac:dyDescent="0.35">
      <c r="A3010" s="1"/>
    </row>
    <row r="3011" spans="1:1" hidden="1" x14ac:dyDescent="0.35">
      <c r="A3011" s="1"/>
    </row>
    <row r="3012" spans="1:1" hidden="1" x14ac:dyDescent="0.35">
      <c r="A3012" s="1"/>
    </row>
    <row r="3013" spans="1:1" hidden="1" x14ac:dyDescent="0.35">
      <c r="A3013" s="1"/>
    </row>
    <row r="3014" spans="1:1" hidden="1" x14ac:dyDescent="0.35">
      <c r="A3014" s="1"/>
    </row>
    <row r="3015" spans="1:1" hidden="1" x14ac:dyDescent="0.35">
      <c r="A3015" s="1"/>
    </row>
    <row r="3016" spans="1:1" hidden="1" x14ac:dyDescent="0.35">
      <c r="A3016" s="1"/>
    </row>
    <row r="3017" spans="1:1" hidden="1" x14ac:dyDescent="0.35">
      <c r="A3017" s="1"/>
    </row>
    <row r="3018" spans="1:1" hidden="1" x14ac:dyDescent="0.35">
      <c r="A3018" s="1"/>
    </row>
    <row r="3019" spans="1:1" hidden="1" x14ac:dyDescent="0.35">
      <c r="A3019" s="1"/>
    </row>
    <row r="3020" spans="1:1" hidden="1" x14ac:dyDescent="0.35">
      <c r="A3020" s="1"/>
    </row>
    <row r="3021" spans="1:1" hidden="1" x14ac:dyDescent="0.35">
      <c r="A3021" s="1"/>
    </row>
    <row r="3022" spans="1:1" hidden="1" x14ac:dyDescent="0.35">
      <c r="A3022" s="1"/>
    </row>
    <row r="3023" spans="1:1" hidden="1" x14ac:dyDescent="0.35">
      <c r="A3023" s="1"/>
    </row>
    <row r="3024" spans="1:1" hidden="1" x14ac:dyDescent="0.35">
      <c r="A3024" s="1"/>
    </row>
    <row r="3025" spans="1:1" hidden="1" x14ac:dyDescent="0.35">
      <c r="A3025" s="1"/>
    </row>
    <row r="3026" spans="1:1" hidden="1" x14ac:dyDescent="0.35">
      <c r="A3026" s="1"/>
    </row>
    <row r="3027" spans="1:1" hidden="1" x14ac:dyDescent="0.35">
      <c r="A3027" s="1"/>
    </row>
    <row r="3028" spans="1:1" hidden="1" x14ac:dyDescent="0.35">
      <c r="A3028" s="1"/>
    </row>
    <row r="3029" spans="1:1" hidden="1" x14ac:dyDescent="0.35">
      <c r="A3029" s="1"/>
    </row>
    <row r="3030" spans="1:1" hidden="1" x14ac:dyDescent="0.35">
      <c r="A3030" s="1"/>
    </row>
    <row r="3031" spans="1:1" hidden="1" x14ac:dyDescent="0.35">
      <c r="A3031" s="1"/>
    </row>
    <row r="3032" spans="1:1" hidden="1" x14ac:dyDescent="0.35">
      <c r="A3032" s="1"/>
    </row>
    <row r="3033" spans="1:1" hidden="1" x14ac:dyDescent="0.35">
      <c r="A3033" s="1"/>
    </row>
    <row r="3034" spans="1:1" hidden="1" x14ac:dyDescent="0.35">
      <c r="A3034" s="1"/>
    </row>
    <row r="3035" spans="1:1" hidden="1" x14ac:dyDescent="0.35">
      <c r="A3035" s="1"/>
    </row>
    <row r="3036" spans="1:1" hidden="1" x14ac:dyDescent="0.35">
      <c r="A3036" s="1"/>
    </row>
    <row r="3037" spans="1:1" hidden="1" x14ac:dyDescent="0.35">
      <c r="A3037" s="1"/>
    </row>
    <row r="3038" spans="1:1" hidden="1" x14ac:dyDescent="0.35">
      <c r="A3038" s="1"/>
    </row>
    <row r="3039" spans="1:1" hidden="1" x14ac:dyDescent="0.35">
      <c r="A3039" s="1"/>
    </row>
    <row r="3040" spans="1:1" hidden="1" x14ac:dyDescent="0.35">
      <c r="A3040" s="1"/>
    </row>
    <row r="3041" spans="1:1" hidden="1" x14ac:dyDescent="0.35">
      <c r="A3041" s="1"/>
    </row>
    <row r="3042" spans="1:1" hidden="1" x14ac:dyDescent="0.35">
      <c r="A3042" s="1"/>
    </row>
    <row r="3043" spans="1:1" hidden="1" x14ac:dyDescent="0.35">
      <c r="A3043" s="1"/>
    </row>
    <row r="3044" spans="1:1" hidden="1" x14ac:dyDescent="0.35">
      <c r="A3044" s="1"/>
    </row>
    <row r="3045" spans="1:1" hidden="1" x14ac:dyDescent="0.35">
      <c r="A3045" s="1"/>
    </row>
    <row r="3046" spans="1:1" hidden="1" x14ac:dyDescent="0.35">
      <c r="A3046" s="1"/>
    </row>
    <row r="3047" spans="1:1" hidden="1" x14ac:dyDescent="0.35">
      <c r="A3047" s="1"/>
    </row>
    <row r="3048" spans="1:1" hidden="1" x14ac:dyDescent="0.35">
      <c r="A3048" s="1"/>
    </row>
    <row r="3049" spans="1:1" hidden="1" x14ac:dyDescent="0.35">
      <c r="A3049" s="1"/>
    </row>
    <row r="3050" spans="1:1" hidden="1" x14ac:dyDescent="0.35">
      <c r="A3050" s="1"/>
    </row>
    <row r="3051" spans="1:1" hidden="1" x14ac:dyDescent="0.35">
      <c r="A3051" s="1"/>
    </row>
    <row r="3052" spans="1:1" hidden="1" x14ac:dyDescent="0.35">
      <c r="A3052" s="1"/>
    </row>
    <row r="3053" spans="1:1" hidden="1" x14ac:dyDescent="0.35">
      <c r="A3053" s="1"/>
    </row>
    <row r="3054" spans="1:1" hidden="1" x14ac:dyDescent="0.35">
      <c r="A3054" s="1"/>
    </row>
    <row r="3055" spans="1:1" hidden="1" x14ac:dyDescent="0.35">
      <c r="A3055" s="1"/>
    </row>
    <row r="3056" spans="1:1" hidden="1" x14ac:dyDescent="0.35">
      <c r="A3056" s="1"/>
    </row>
    <row r="3057" spans="1:1" hidden="1" x14ac:dyDescent="0.35">
      <c r="A3057" s="1"/>
    </row>
    <row r="3058" spans="1:1" hidden="1" x14ac:dyDescent="0.35">
      <c r="A3058" s="1"/>
    </row>
    <row r="3059" spans="1:1" hidden="1" x14ac:dyDescent="0.35">
      <c r="A3059" s="1"/>
    </row>
    <row r="3060" spans="1:1" hidden="1" x14ac:dyDescent="0.35">
      <c r="A3060" s="1"/>
    </row>
    <row r="3061" spans="1:1" hidden="1" x14ac:dyDescent="0.35">
      <c r="A3061" s="1"/>
    </row>
    <row r="3062" spans="1:1" hidden="1" x14ac:dyDescent="0.35">
      <c r="A3062" s="1"/>
    </row>
    <row r="3063" spans="1:1" hidden="1" x14ac:dyDescent="0.35">
      <c r="A3063" s="1"/>
    </row>
    <row r="3064" spans="1:1" hidden="1" x14ac:dyDescent="0.35">
      <c r="A3064" s="1"/>
    </row>
    <row r="3065" spans="1:1" hidden="1" x14ac:dyDescent="0.35">
      <c r="A3065" s="1"/>
    </row>
    <row r="3066" spans="1:1" hidden="1" x14ac:dyDescent="0.35">
      <c r="A3066" s="1"/>
    </row>
    <row r="3067" spans="1:1" hidden="1" x14ac:dyDescent="0.35">
      <c r="A3067" s="1"/>
    </row>
    <row r="3068" spans="1:1" hidden="1" x14ac:dyDescent="0.35">
      <c r="A3068" s="1"/>
    </row>
    <row r="3069" spans="1:1" hidden="1" x14ac:dyDescent="0.35">
      <c r="A3069" s="1"/>
    </row>
    <row r="3070" spans="1:1" hidden="1" x14ac:dyDescent="0.35">
      <c r="A3070" s="1"/>
    </row>
    <row r="3071" spans="1:1" hidden="1" x14ac:dyDescent="0.35">
      <c r="A3071" s="1"/>
    </row>
    <row r="3072" spans="1:1" hidden="1" x14ac:dyDescent="0.35">
      <c r="A3072" s="1"/>
    </row>
    <row r="3073" spans="1:1" hidden="1" x14ac:dyDescent="0.35">
      <c r="A3073" s="1"/>
    </row>
    <row r="3074" spans="1:1" hidden="1" x14ac:dyDescent="0.35">
      <c r="A3074" s="1"/>
    </row>
    <row r="3075" spans="1:1" hidden="1" x14ac:dyDescent="0.35">
      <c r="A3075" s="1"/>
    </row>
    <row r="3076" spans="1:1" hidden="1" x14ac:dyDescent="0.35">
      <c r="A3076" s="1"/>
    </row>
    <row r="3077" spans="1:1" hidden="1" x14ac:dyDescent="0.35">
      <c r="A3077" s="1"/>
    </row>
    <row r="3078" spans="1:1" hidden="1" x14ac:dyDescent="0.35">
      <c r="A3078" s="1"/>
    </row>
    <row r="3079" spans="1:1" hidden="1" x14ac:dyDescent="0.35">
      <c r="A3079" s="1"/>
    </row>
    <row r="3080" spans="1:1" hidden="1" x14ac:dyDescent="0.35">
      <c r="A3080" s="1"/>
    </row>
    <row r="3081" spans="1:1" hidden="1" x14ac:dyDescent="0.35">
      <c r="A3081" s="1"/>
    </row>
    <row r="3082" spans="1:1" hidden="1" x14ac:dyDescent="0.35">
      <c r="A3082" s="1"/>
    </row>
    <row r="3083" spans="1:1" hidden="1" x14ac:dyDescent="0.35">
      <c r="A3083" s="1"/>
    </row>
    <row r="3084" spans="1:1" hidden="1" x14ac:dyDescent="0.35">
      <c r="A3084" s="1"/>
    </row>
    <row r="3085" spans="1:1" hidden="1" x14ac:dyDescent="0.35">
      <c r="A3085" s="1"/>
    </row>
    <row r="3086" spans="1:1" hidden="1" x14ac:dyDescent="0.35">
      <c r="A3086" s="1"/>
    </row>
    <row r="3087" spans="1:1" hidden="1" x14ac:dyDescent="0.35">
      <c r="A3087" s="1"/>
    </row>
    <row r="3088" spans="1:1" hidden="1" x14ac:dyDescent="0.35">
      <c r="A3088" s="1"/>
    </row>
    <row r="3089" spans="1:1" hidden="1" x14ac:dyDescent="0.35">
      <c r="A3089" s="1"/>
    </row>
    <row r="3090" spans="1:1" hidden="1" x14ac:dyDescent="0.35">
      <c r="A3090" s="1"/>
    </row>
    <row r="3091" spans="1:1" hidden="1" x14ac:dyDescent="0.35">
      <c r="A3091" s="1"/>
    </row>
    <row r="3092" spans="1:1" hidden="1" x14ac:dyDescent="0.35">
      <c r="A3092" s="1"/>
    </row>
    <row r="3093" spans="1:1" hidden="1" x14ac:dyDescent="0.35">
      <c r="A3093" s="1"/>
    </row>
    <row r="3094" spans="1:1" hidden="1" x14ac:dyDescent="0.35">
      <c r="A3094" s="1"/>
    </row>
    <row r="3095" spans="1:1" hidden="1" x14ac:dyDescent="0.35">
      <c r="A3095" s="1"/>
    </row>
    <row r="3096" spans="1:1" hidden="1" x14ac:dyDescent="0.35">
      <c r="A3096" s="1"/>
    </row>
    <row r="3097" spans="1:1" hidden="1" x14ac:dyDescent="0.35">
      <c r="A3097" s="1"/>
    </row>
    <row r="3098" spans="1:1" hidden="1" x14ac:dyDescent="0.35">
      <c r="A3098" s="1"/>
    </row>
    <row r="3099" spans="1:1" hidden="1" x14ac:dyDescent="0.35">
      <c r="A3099" s="1"/>
    </row>
    <row r="3100" spans="1:1" hidden="1" x14ac:dyDescent="0.35">
      <c r="A3100" s="1"/>
    </row>
    <row r="3101" spans="1:1" hidden="1" x14ac:dyDescent="0.35">
      <c r="A3101" s="1"/>
    </row>
    <row r="3102" spans="1:1" hidden="1" x14ac:dyDescent="0.35">
      <c r="A3102" s="1"/>
    </row>
    <row r="3103" spans="1:1" hidden="1" x14ac:dyDescent="0.35">
      <c r="A3103" s="1"/>
    </row>
    <row r="3104" spans="1:1" hidden="1" x14ac:dyDescent="0.35">
      <c r="A3104" s="1"/>
    </row>
    <row r="3105" spans="1:1" hidden="1" x14ac:dyDescent="0.35">
      <c r="A3105" s="1"/>
    </row>
    <row r="3106" spans="1:1" hidden="1" x14ac:dyDescent="0.35">
      <c r="A3106" s="1"/>
    </row>
    <row r="3107" spans="1:1" hidden="1" x14ac:dyDescent="0.35">
      <c r="A3107" s="1"/>
    </row>
    <row r="3108" spans="1:1" hidden="1" x14ac:dyDescent="0.35">
      <c r="A3108" s="1"/>
    </row>
    <row r="3109" spans="1:1" hidden="1" x14ac:dyDescent="0.35">
      <c r="A3109" s="1"/>
    </row>
    <row r="3110" spans="1:1" hidden="1" x14ac:dyDescent="0.35">
      <c r="A3110" s="1"/>
    </row>
    <row r="3111" spans="1:1" hidden="1" x14ac:dyDescent="0.35">
      <c r="A3111" s="1"/>
    </row>
    <row r="3112" spans="1:1" hidden="1" x14ac:dyDescent="0.35">
      <c r="A3112" s="1"/>
    </row>
    <row r="3113" spans="1:1" hidden="1" x14ac:dyDescent="0.35">
      <c r="A3113" s="1"/>
    </row>
    <row r="3114" spans="1:1" hidden="1" x14ac:dyDescent="0.35">
      <c r="A3114" s="1"/>
    </row>
    <row r="3115" spans="1:1" hidden="1" x14ac:dyDescent="0.35">
      <c r="A3115" s="1"/>
    </row>
    <row r="3116" spans="1:1" hidden="1" x14ac:dyDescent="0.35">
      <c r="A3116" s="1"/>
    </row>
    <row r="3117" spans="1:1" hidden="1" x14ac:dyDescent="0.35">
      <c r="A3117" s="1"/>
    </row>
    <row r="3118" spans="1:1" hidden="1" x14ac:dyDescent="0.35">
      <c r="A3118" s="1"/>
    </row>
    <row r="3119" spans="1:1" hidden="1" x14ac:dyDescent="0.35">
      <c r="A3119" s="1"/>
    </row>
    <row r="3120" spans="1:1" hidden="1" x14ac:dyDescent="0.35">
      <c r="A3120" s="1"/>
    </row>
    <row r="3121" spans="1:1" hidden="1" x14ac:dyDescent="0.35">
      <c r="A3121" s="1"/>
    </row>
    <row r="3122" spans="1:1" hidden="1" x14ac:dyDescent="0.35">
      <c r="A3122" s="1"/>
    </row>
    <row r="3123" spans="1:1" hidden="1" x14ac:dyDescent="0.35">
      <c r="A3123" s="1"/>
    </row>
    <row r="3124" spans="1:1" hidden="1" x14ac:dyDescent="0.35">
      <c r="A3124" s="1"/>
    </row>
    <row r="3125" spans="1:1" hidden="1" x14ac:dyDescent="0.35">
      <c r="A3125" s="1"/>
    </row>
    <row r="3126" spans="1:1" hidden="1" x14ac:dyDescent="0.35">
      <c r="A3126" s="1"/>
    </row>
    <row r="3127" spans="1:1" hidden="1" x14ac:dyDescent="0.35">
      <c r="A3127" s="1"/>
    </row>
    <row r="3128" spans="1:1" hidden="1" x14ac:dyDescent="0.35">
      <c r="A3128" s="1"/>
    </row>
    <row r="3129" spans="1:1" hidden="1" x14ac:dyDescent="0.35">
      <c r="A3129" s="1"/>
    </row>
    <row r="3130" spans="1:1" hidden="1" x14ac:dyDescent="0.35">
      <c r="A3130" s="1"/>
    </row>
    <row r="3131" spans="1:1" hidden="1" x14ac:dyDescent="0.35">
      <c r="A3131" s="1"/>
    </row>
    <row r="3132" spans="1:1" hidden="1" x14ac:dyDescent="0.35">
      <c r="A3132" s="1"/>
    </row>
    <row r="3133" spans="1:1" hidden="1" x14ac:dyDescent="0.35">
      <c r="A3133" s="1"/>
    </row>
    <row r="3134" spans="1:1" hidden="1" x14ac:dyDescent="0.35">
      <c r="A3134" s="1"/>
    </row>
    <row r="3135" spans="1:1" hidden="1" x14ac:dyDescent="0.35">
      <c r="A3135" s="1"/>
    </row>
    <row r="3136" spans="1:1" hidden="1" x14ac:dyDescent="0.35">
      <c r="A3136" s="1"/>
    </row>
    <row r="3137" spans="1:1" hidden="1" x14ac:dyDescent="0.35">
      <c r="A3137" s="1"/>
    </row>
    <row r="3138" spans="1:1" hidden="1" x14ac:dyDescent="0.35">
      <c r="A3138" s="1"/>
    </row>
    <row r="3139" spans="1:1" hidden="1" x14ac:dyDescent="0.35">
      <c r="A3139" s="1"/>
    </row>
    <row r="3140" spans="1:1" hidden="1" x14ac:dyDescent="0.35">
      <c r="A3140" s="1"/>
    </row>
    <row r="3141" spans="1:1" hidden="1" x14ac:dyDescent="0.35">
      <c r="A3141" s="1"/>
    </row>
    <row r="3142" spans="1:1" hidden="1" x14ac:dyDescent="0.35">
      <c r="A3142" s="1"/>
    </row>
    <row r="3143" spans="1:1" hidden="1" x14ac:dyDescent="0.35">
      <c r="A3143" s="1"/>
    </row>
    <row r="3144" spans="1:1" hidden="1" x14ac:dyDescent="0.35">
      <c r="A3144" s="1"/>
    </row>
    <row r="3145" spans="1:1" hidden="1" x14ac:dyDescent="0.35">
      <c r="A3145" s="1"/>
    </row>
    <row r="3146" spans="1:1" hidden="1" x14ac:dyDescent="0.35">
      <c r="A3146" s="1"/>
    </row>
    <row r="3147" spans="1:1" hidden="1" x14ac:dyDescent="0.35">
      <c r="A3147" s="1"/>
    </row>
    <row r="3148" spans="1:1" hidden="1" x14ac:dyDescent="0.35">
      <c r="A3148" s="1"/>
    </row>
    <row r="3149" spans="1:1" hidden="1" x14ac:dyDescent="0.35">
      <c r="A3149" s="1"/>
    </row>
    <row r="3150" spans="1:1" hidden="1" x14ac:dyDescent="0.35">
      <c r="A3150" s="1"/>
    </row>
    <row r="3151" spans="1:1" hidden="1" x14ac:dyDescent="0.35">
      <c r="A3151" s="1"/>
    </row>
    <row r="3152" spans="1:1" hidden="1" x14ac:dyDescent="0.35">
      <c r="A3152" s="1"/>
    </row>
    <row r="3153" spans="1:1" hidden="1" x14ac:dyDescent="0.35">
      <c r="A3153" s="1"/>
    </row>
    <row r="3154" spans="1:1" hidden="1" x14ac:dyDescent="0.35">
      <c r="A3154" s="1"/>
    </row>
    <row r="3155" spans="1:1" hidden="1" x14ac:dyDescent="0.35">
      <c r="A3155" s="1"/>
    </row>
    <row r="3156" spans="1:1" hidden="1" x14ac:dyDescent="0.35">
      <c r="A3156" s="1"/>
    </row>
    <row r="3157" spans="1:1" hidden="1" x14ac:dyDescent="0.35">
      <c r="A3157" s="1"/>
    </row>
    <row r="3158" spans="1:1" hidden="1" x14ac:dyDescent="0.35">
      <c r="A3158" s="1"/>
    </row>
    <row r="3159" spans="1:1" hidden="1" x14ac:dyDescent="0.35">
      <c r="A3159" s="1"/>
    </row>
    <row r="3160" spans="1:1" hidden="1" x14ac:dyDescent="0.35">
      <c r="A3160" s="1"/>
    </row>
    <row r="3161" spans="1:1" hidden="1" x14ac:dyDescent="0.35">
      <c r="A3161" s="1"/>
    </row>
    <row r="3162" spans="1:1" hidden="1" x14ac:dyDescent="0.35">
      <c r="A3162" s="1"/>
    </row>
    <row r="3163" spans="1:1" hidden="1" x14ac:dyDescent="0.35">
      <c r="A3163" s="1"/>
    </row>
    <row r="3164" spans="1:1" hidden="1" x14ac:dyDescent="0.35">
      <c r="A3164" s="1"/>
    </row>
    <row r="3165" spans="1:1" hidden="1" x14ac:dyDescent="0.35">
      <c r="A3165" s="1"/>
    </row>
    <row r="3166" spans="1:1" hidden="1" x14ac:dyDescent="0.35">
      <c r="A3166" s="1"/>
    </row>
    <row r="3167" spans="1:1" hidden="1" x14ac:dyDescent="0.35">
      <c r="A3167" s="1"/>
    </row>
    <row r="3168" spans="1:1" hidden="1" x14ac:dyDescent="0.35">
      <c r="A3168" s="1"/>
    </row>
    <row r="3169" spans="1:1" hidden="1" x14ac:dyDescent="0.35">
      <c r="A3169" s="1"/>
    </row>
    <row r="3170" spans="1:1" hidden="1" x14ac:dyDescent="0.35">
      <c r="A3170" s="1"/>
    </row>
    <row r="3171" spans="1:1" hidden="1" x14ac:dyDescent="0.35">
      <c r="A3171" s="1"/>
    </row>
    <row r="3172" spans="1:1" hidden="1" x14ac:dyDescent="0.35">
      <c r="A3172" s="1"/>
    </row>
    <row r="3173" spans="1:1" hidden="1" x14ac:dyDescent="0.35">
      <c r="A3173" s="1"/>
    </row>
    <row r="3174" spans="1:1" hidden="1" x14ac:dyDescent="0.35">
      <c r="A3174" s="1"/>
    </row>
    <row r="3175" spans="1:1" hidden="1" x14ac:dyDescent="0.35">
      <c r="A3175" s="1"/>
    </row>
    <row r="3176" spans="1:1" hidden="1" x14ac:dyDescent="0.35">
      <c r="A3176" s="1"/>
    </row>
    <row r="3177" spans="1:1" hidden="1" x14ac:dyDescent="0.35">
      <c r="A3177" s="1"/>
    </row>
    <row r="3178" spans="1:1" hidden="1" x14ac:dyDescent="0.35">
      <c r="A3178" s="1"/>
    </row>
    <row r="3179" spans="1:1" hidden="1" x14ac:dyDescent="0.35">
      <c r="A3179" s="1"/>
    </row>
    <row r="3180" spans="1:1" hidden="1" x14ac:dyDescent="0.35">
      <c r="A3180" s="1"/>
    </row>
    <row r="3181" spans="1:1" hidden="1" x14ac:dyDescent="0.35">
      <c r="A3181" s="1"/>
    </row>
    <row r="3182" spans="1:1" hidden="1" x14ac:dyDescent="0.35">
      <c r="A3182" s="1"/>
    </row>
    <row r="3183" spans="1:1" hidden="1" x14ac:dyDescent="0.35">
      <c r="A3183" s="1"/>
    </row>
    <row r="3184" spans="1:1" hidden="1" x14ac:dyDescent="0.35">
      <c r="A3184" s="1"/>
    </row>
    <row r="3185" spans="1:1" hidden="1" x14ac:dyDescent="0.35">
      <c r="A3185" s="1"/>
    </row>
    <row r="3186" spans="1:1" hidden="1" x14ac:dyDescent="0.35">
      <c r="A3186" s="1"/>
    </row>
    <row r="3187" spans="1:1" hidden="1" x14ac:dyDescent="0.35">
      <c r="A3187" s="1"/>
    </row>
    <row r="3188" spans="1:1" hidden="1" x14ac:dyDescent="0.35">
      <c r="A3188" s="1"/>
    </row>
    <row r="3189" spans="1:1" hidden="1" x14ac:dyDescent="0.35">
      <c r="A3189" s="1"/>
    </row>
    <row r="3190" spans="1:1" hidden="1" x14ac:dyDescent="0.35">
      <c r="A3190" s="1"/>
    </row>
    <row r="3191" spans="1:1" hidden="1" x14ac:dyDescent="0.35">
      <c r="A3191" s="1"/>
    </row>
    <row r="3192" spans="1:1" hidden="1" x14ac:dyDescent="0.35">
      <c r="A3192" s="1"/>
    </row>
    <row r="3193" spans="1:1" hidden="1" x14ac:dyDescent="0.35">
      <c r="A3193" s="1"/>
    </row>
    <row r="3194" spans="1:1" hidden="1" x14ac:dyDescent="0.35">
      <c r="A3194" s="1"/>
    </row>
    <row r="3195" spans="1:1" hidden="1" x14ac:dyDescent="0.35">
      <c r="A3195" s="1"/>
    </row>
    <row r="3196" spans="1:1" hidden="1" x14ac:dyDescent="0.35">
      <c r="A3196" s="1"/>
    </row>
    <row r="3197" spans="1:1" hidden="1" x14ac:dyDescent="0.35">
      <c r="A3197" s="1"/>
    </row>
    <row r="3198" spans="1:1" hidden="1" x14ac:dyDescent="0.35">
      <c r="A3198" s="1"/>
    </row>
    <row r="3199" spans="1:1" hidden="1" x14ac:dyDescent="0.35">
      <c r="A3199" s="1"/>
    </row>
    <row r="3200" spans="1:1" hidden="1" x14ac:dyDescent="0.35">
      <c r="A3200" s="1"/>
    </row>
    <row r="3201" spans="1:1" hidden="1" x14ac:dyDescent="0.35">
      <c r="A3201" s="1"/>
    </row>
    <row r="3202" spans="1:1" hidden="1" x14ac:dyDescent="0.35">
      <c r="A3202" s="1"/>
    </row>
    <row r="3203" spans="1:1" hidden="1" x14ac:dyDescent="0.35">
      <c r="A3203" s="1"/>
    </row>
    <row r="3204" spans="1:1" hidden="1" x14ac:dyDescent="0.35">
      <c r="A3204" s="1"/>
    </row>
    <row r="3205" spans="1:1" hidden="1" x14ac:dyDescent="0.35">
      <c r="A3205" s="1"/>
    </row>
    <row r="3206" spans="1:1" hidden="1" x14ac:dyDescent="0.35">
      <c r="A3206" s="1"/>
    </row>
    <row r="3207" spans="1:1" hidden="1" x14ac:dyDescent="0.35">
      <c r="A3207" s="1"/>
    </row>
    <row r="3208" spans="1:1" hidden="1" x14ac:dyDescent="0.35">
      <c r="A3208" s="1"/>
    </row>
    <row r="3209" spans="1:1" hidden="1" x14ac:dyDescent="0.35">
      <c r="A3209" s="1"/>
    </row>
    <row r="3210" spans="1:1" hidden="1" x14ac:dyDescent="0.35">
      <c r="A3210" s="1"/>
    </row>
    <row r="3211" spans="1:1" hidden="1" x14ac:dyDescent="0.35">
      <c r="A3211" s="1"/>
    </row>
    <row r="3212" spans="1:1" hidden="1" x14ac:dyDescent="0.35">
      <c r="A3212" s="1"/>
    </row>
    <row r="3213" spans="1:1" hidden="1" x14ac:dyDescent="0.35">
      <c r="A3213" s="1"/>
    </row>
    <row r="3214" spans="1:1" hidden="1" x14ac:dyDescent="0.35">
      <c r="A3214" s="1"/>
    </row>
    <row r="3215" spans="1:1" hidden="1" x14ac:dyDescent="0.35">
      <c r="A3215" s="1"/>
    </row>
    <row r="3216" spans="1:1" hidden="1" x14ac:dyDescent="0.35">
      <c r="A3216" s="1"/>
    </row>
    <row r="3217" spans="1:1" hidden="1" x14ac:dyDescent="0.35">
      <c r="A3217" s="1"/>
    </row>
    <row r="3218" spans="1:1" hidden="1" x14ac:dyDescent="0.35">
      <c r="A3218" s="1"/>
    </row>
    <row r="3219" spans="1:1" hidden="1" x14ac:dyDescent="0.35">
      <c r="A3219" s="1"/>
    </row>
    <row r="3220" spans="1:1" hidden="1" x14ac:dyDescent="0.35">
      <c r="A3220" s="1"/>
    </row>
    <row r="3221" spans="1:1" hidden="1" x14ac:dyDescent="0.35">
      <c r="A3221" s="1"/>
    </row>
    <row r="3222" spans="1:1" hidden="1" x14ac:dyDescent="0.35">
      <c r="A3222" s="1"/>
    </row>
    <row r="3223" spans="1:1" hidden="1" x14ac:dyDescent="0.35">
      <c r="A3223" s="1"/>
    </row>
    <row r="3224" spans="1:1" hidden="1" x14ac:dyDescent="0.35">
      <c r="A3224" s="1"/>
    </row>
    <row r="3225" spans="1:1" hidden="1" x14ac:dyDescent="0.35">
      <c r="A3225" s="1"/>
    </row>
    <row r="3226" spans="1:1" hidden="1" x14ac:dyDescent="0.35">
      <c r="A3226" s="1"/>
    </row>
    <row r="3227" spans="1:1" hidden="1" x14ac:dyDescent="0.35">
      <c r="A3227" s="1"/>
    </row>
    <row r="3228" spans="1:1" hidden="1" x14ac:dyDescent="0.35">
      <c r="A3228" s="1"/>
    </row>
    <row r="3229" spans="1:1" hidden="1" x14ac:dyDescent="0.35">
      <c r="A3229" s="1"/>
    </row>
    <row r="3230" spans="1:1" hidden="1" x14ac:dyDescent="0.35">
      <c r="A3230" s="1"/>
    </row>
    <row r="3231" spans="1:1" hidden="1" x14ac:dyDescent="0.35">
      <c r="A3231" s="1"/>
    </row>
    <row r="3232" spans="1:1" hidden="1" x14ac:dyDescent="0.35">
      <c r="A3232" s="1"/>
    </row>
    <row r="3233" spans="1:1" hidden="1" x14ac:dyDescent="0.35">
      <c r="A3233" s="1"/>
    </row>
    <row r="3234" spans="1:1" hidden="1" x14ac:dyDescent="0.35">
      <c r="A3234" s="1"/>
    </row>
    <row r="3235" spans="1:1" hidden="1" x14ac:dyDescent="0.35">
      <c r="A3235" s="1"/>
    </row>
    <row r="3236" spans="1:1" hidden="1" x14ac:dyDescent="0.35">
      <c r="A3236" s="1"/>
    </row>
    <row r="3237" spans="1:1" hidden="1" x14ac:dyDescent="0.35">
      <c r="A3237" s="1"/>
    </row>
    <row r="3238" spans="1:1" hidden="1" x14ac:dyDescent="0.35">
      <c r="A3238" s="1"/>
    </row>
    <row r="3239" spans="1:1" hidden="1" x14ac:dyDescent="0.35">
      <c r="A3239" s="1"/>
    </row>
    <row r="3240" spans="1:1" hidden="1" x14ac:dyDescent="0.35">
      <c r="A3240" s="1"/>
    </row>
    <row r="3241" spans="1:1" hidden="1" x14ac:dyDescent="0.35">
      <c r="A3241" s="1"/>
    </row>
    <row r="3242" spans="1:1" hidden="1" x14ac:dyDescent="0.35">
      <c r="A3242" s="1"/>
    </row>
    <row r="3243" spans="1:1" hidden="1" x14ac:dyDescent="0.35">
      <c r="A3243" s="1"/>
    </row>
    <row r="3244" spans="1:1" hidden="1" x14ac:dyDescent="0.35">
      <c r="A3244" s="1"/>
    </row>
    <row r="3245" spans="1:1" hidden="1" x14ac:dyDescent="0.35">
      <c r="A3245" s="1"/>
    </row>
    <row r="3246" spans="1:1" hidden="1" x14ac:dyDescent="0.35">
      <c r="A3246" s="1"/>
    </row>
    <row r="3247" spans="1:1" hidden="1" x14ac:dyDescent="0.35">
      <c r="A3247" s="1"/>
    </row>
    <row r="3248" spans="1:1" hidden="1" x14ac:dyDescent="0.35">
      <c r="A3248" s="1"/>
    </row>
    <row r="3249" spans="1:1" hidden="1" x14ac:dyDescent="0.35">
      <c r="A3249" s="1"/>
    </row>
    <row r="3250" spans="1:1" hidden="1" x14ac:dyDescent="0.35">
      <c r="A3250" s="1"/>
    </row>
    <row r="3251" spans="1:1" hidden="1" x14ac:dyDescent="0.35">
      <c r="A3251" s="1"/>
    </row>
    <row r="3252" spans="1:1" hidden="1" x14ac:dyDescent="0.35">
      <c r="A3252" s="1"/>
    </row>
    <row r="3253" spans="1:1" hidden="1" x14ac:dyDescent="0.35">
      <c r="A3253" s="1"/>
    </row>
    <row r="3254" spans="1:1" hidden="1" x14ac:dyDescent="0.35">
      <c r="A3254" s="1"/>
    </row>
    <row r="3255" spans="1:1" hidden="1" x14ac:dyDescent="0.35">
      <c r="A3255" s="1"/>
    </row>
    <row r="3256" spans="1:1" hidden="1" x14ac:dyDescent="0.35">
      <c r="A3256" s="1"/>
    </row>
    <row r="3257" spans="1:1" hidden="1" x14ac:dyDescent="0.35">
      <c r="A3257" s="1"/>
    </row>
    <row r="3258" spans="1:1" hidden="1" x14ac:dyDescent="0.35">
      <c r="A3258" s="1"/>
    </row>
    <row r="3259" spans="1:1" hidden="1" x14ac:dyDescent="0.35">
      <c r="A3259" s="1"/>
    </row>
    <row r="3260" spans="1:1" hidden="1" x14ac:dyDescent="0.35">
      <c r="A3260" s="1"/>
    </row>
    <row r="3261" spans="1:1" hidden="1" x14ac:dyDescent="0.35">
      <c r="A3261" s="1"/>
    </row>
    <row r="3262" spans="1:1" hidden="1" x14ac:dyDescent="0.35">
      <c r="A3262" s="1"/>
    </row>
    <row r="3263" spans="1:1" hidden="1" x14ac:dyDescent="0.35">
      <c r="A3263" s="1"/>
    </row>
    <row r="3264" spans="1:1" hidden="1" x14ac:dyDescent="0.35">
      <c r="A3264" s="1"/>
    </row>
    <row r="3265" spans="1:1" hidden="1" x14ac:dyDescent="0.35">
      <c r="A3265" s="1"/>
    </row>
    <row r="3266" spans="1:1" hidden="1" x14ac:dyDescent="0.35">
      <c r="A3266" s="1"/>
    </row>
    <row r="3267" spans="1:1" hidden="1" x14ac:dyDescent="0.35">
      <c r="A3267" s="1"/>
    </row>
    <row r="3268" spans="1:1" hidden="1" x14ac:dyDescent="0.35">
      <c r="A3268" s="1"/>
    </row>
    <row r="3269" spans="1:1" hidden="1" x14ac:dyDescent="0.35">
      <c r="A3269" s="1"/>
    </row>
    <row r="3270" spans="1:1" hidden="1" x14ac:dyDescent="0.35">
      <c r="A3270" s="1"/>
    </row>
    <row r="3271" spans="1:1" hidden="1" x14ac:dyDescent="0.35">
      <c r="A3271" s="1"/>
    </row>
    <row r="3272" spans="1:1" hidden="1" x14ac:dyDescent="0.35">
      <c r="A3272" s="1"/>
    </row>
    <row r="3273" spans="1:1" hidden="1" x14ac:dyDescent="0.35">
      <c r="A3273" s="1"/>
    </row>
    <row r="3274" spans="1:1" hidden="1" x14ac:dyDescent="0.35">
      <c r="A3274" s="1"/>
    </row>
    <row r="3275" spans="1:1" hidden="1" x14ac:dyDescent="0.35">
      <c r="A3275" s="1"/>
    </row>
    <row r="3276" spans="1:1" hidden="1" x14ac:dyDescent="0.35">
      <c r="A3276" s="1"/>
    </row>
    <row r="3277" spans="1:1" hidden="1" x14ac:dyDescent="0.35">
      <c r="A3277" s="1"/>
    </row>
    <row r="3278" spans="1:1" hidden="1" x14ac:dyDescent="0.35">
      <c r="A3278" s="1"/>
    </row>
    <row r="3279" spans="1:1" hidden="1" x14ac:dyDescent="0.35">
      <c r="A3279" s="1"/>
    </row>
    <row r="3280" spans="1:1" hidden="1" x14ac:dyDescent="0.35">
      <c r="A3280" s="1"/>
    </row>
    <row r="3281" spans="1:1" hidden="1" x14ac:dyDescent="0.35">
      <c r="A3281" s="1"/>
    </row>
    <row r="3282" spans="1:1" hidden="1" x14ac:dyDescent="0.35">
      <c r="A3282" s="1"/>
    </row>
    <row r="3283" spans="1:1" hidden="1" x14ac:dyDescent="0.35">
      <c r="A3283" s="1"/>
    </row>
    <row r="3284" spans="1:1" hidden="1" x14ac:dyDescent="0.35">
      <c r="A3284" s="1"/>
    </row>
    <row r="3285" spans="1:1" hidden="1" x14ac:dyDescent="0.35">
      <c r="A3285" s="1"/>
    </row>
    <row r="3286" spans="1:1" hidden="1" x14ac:dyDescent="0.35">
      <c r="A3286" s="1"/>
    </row>
    <row r="3287" spans="1:1" hidden="1" x14ac:dyDescent="0.35">
      <c r="A3287" s="1"/>
    </row>
    <row r="3288" spans="1:1" hidden="1" x14ac:dyDescent="0.35">
      <c r="A3288" s="1"/>
    </row>
    <row r="3289" spans="1:1" hidden="1" x14ac:dyDescent="0.35">
      <c r="A3289" s="1"/>
    </row>
    <row r="3290" spans="1:1" hidden="1" x14ac:dyDescent="0.35">
      <c r="A3290" s="1"/>
    </row>
    <row r="3291" spans="1:1" hidden="1" x14ac:dyDescent="0.35">
      <c r="A3291" s="1"/>
    </row>
    <row r="3292" spans="1:1" hidden="1" x14ac:dyDescent="0.35">
      <c r="A3292" s="1"/>
    </row>
    <row r="3293" spans="1:1" hidden="1" x14ac:dyDescent="0.35">
      <c r="A3293" s="1"/>
    </row>
    <row r="3294" spans="1:1" hidden="1" x14ac:dyDescent="0.35">
      <c r="A3294" s="1"/>
    </row>
    <row r="3295" spans="1:1" hidden="1" x14ac:dyDescent="0.35">
      <c r="A3295" s="1"/>
    </row>
    <row r="3296" spans="1:1" hidden="1" x14ac:dyDescent="0.35">
      <c r="A3296" s="1"/>
    </row>
    <row r="3297" spans="1:1" hidden="1" x14ac:dyDescent="0.35">
      <c r="A3297" s="1"/>
    </row>
    <row r="3298" spans="1:1" hidden="1" x14ac:dyDescent="0.35">
      <c r="A3298" s="1"/>
    </row>
    <row r="3299" spans="1:1" hidden="1" x14ac:dyDescent="0.35">
      <c r="A3299" s="1"/>
    </row>
    <row r="3300" spans="1:1" hidden="1" x14ac:dyDescent="0.35">
      <c r="A3300" s="1"/>
    </row>
    <row r="3301" spans="1:1" hidden="1" x14ac:dyDescent="0.35">
      <c r="A3301" s="1"/>
    </row>
    <row r="3302" spans="1:1" hidden="1" x14ac:dyDescent="0.35">
      <c r="A3302" s="1"/>
    </row>
    <row r="3303" spans="1:1" hidden="1" x14ac:dyDescent="0.35">
      <c r="A3303" s="1"/>
    </row>
    <row r="3304" spans="1:1" hidden="1" x14ac:dyDescent="0.35">
      <c r="A3304" s="1"/>
    </row>
    <row r="3305" spans="1:1" hidden="1" x14ac:dyDescent="0.35">
      <c r="A3305" s="1"/>
    </row>
    <row r="3306" spans="1:1" hidden="1" x14ac:dyDescent="0.35">
      <c r="A3306" s="1"/>
    </row>
    <row r="3307" spans="1:1" hidden="1" x14ac:dyDescent="0.35">
      <c r="A3307" s="1"/>
    </row>
    <row r="3308" spans="1:1" hidden="1" x14ac:dyDescent="0.35">
      <c r="A3308" s="1"/>
    </row>
    <row r="3309" spans="1:1" hidden="1" x14ac:dyDescent="0.35">
      <c r="A3309" s="1"/>
    </row>
    <row r="3310" spans="1:1" hidden="1" x14ac:dyDescent="0.35">
      <c r="A3310" s="1"/>
    </row>
    <row r="3311" spans="1:1" hidden="1" x14ac:dyDescent="0.35">
      <c r="A3311" s="1"/>
    </row>
    <row r="3312" spans="1:1" hidden="1" x14ac:dyDescent="0.35">
      <c r="A3312" s="1"/>
    </row>
    <row r="3313" spans="1:1" hidden="1" x14ac:dyDescent="0.35">
      <c r="A3313" s="1"/>
    </row>
    <row r="3314" spans="1:1" hidden="1" x14ac:dyDescent="0.35">
      <c r="A3314" s="1"/>
    </row>
    <row r="3315" spans="1:1" hidden="1" x14ac:dyDescent="0.35">
      <c r="A3315" s="1"/>
    </row>
    <row r="3316" spans="1:1" hidden="1" x14ac:dyDescent="0.35">
      <c r="A3316" s="1"/>
    </row>
    <row r="3317" spans="1:1" hidden="1" x14ac:dyDescent="0.35">
      <c r="A3317" s="1"/>
    </row>
    <row r="3318" spans="1:1" hidden="1" x14ac:dyDescent="0.35">
      <c r="A3318" s="1"/>
    </row>
    <row r="3319" spans="1:1" hidden="1" x14ac:dyDescent="0.35">
      <c r="A3319" s="1"/>
    </row>
    <row r="3320" spans="1:1" hidden="1" x14ac:dyDescent="0.35">
      <c r="A3320" s="1"/>
    </row>
    <row r="3321" spans="1:1" hidden="1" x14ac:dyDescent="0.35">
      <c r="A3321" s="1"/>
    </row>
    <row r="3322" spans="1:1" hidden="1" x14ac:dyDescent="0.35">
      <c r="A3322" s="1"/>
    </row>
    <row r="3323" spans="1:1" hidden="1" x14ac:dyDescent="0.35">
      <c r="A3323" s="1"/>
    </row>
    <row r="3324" spans="1:1" hidden="1" x14ac:dyDescent="0.35">
      <c r="A3324" s="1"/>
    </row>
    <row r="3325" spans="1:1" hidden="1" x14ac:dyDescent="0.35">
      <c r="A3325" s="1"/>
    </row>
    <row r="3326" spans="1:1" hidden="1" x14ac:dyDescent="0.35">
      <c r="A3326" s="1"/>
    </row>
    <row r="3327" spans="1:1" hidden="1" x14ac:dyDescent="0.35">
      <c r="A3327" s="1"/>
    </row>
    <row r="3328" spans="1:1" hidden="1" x14ac:dyDescent="0.35">
      <c r="A3328" s="1"/>
    </row>
    <row r="3329" spans="1:1" hidden="1" x14ac:dyDescent="0.35">
      <c r="A3329" s="1"/>
    </row>
    <row r="3330" spans="1:1" hidden="1" x14ac:dyDescent="0.35">
      <c r="A3330" s="1"/>
    </row>
    <row r="3331" spans="1:1" hidden="1" x14ac:dyDescent="0.35">
      <c r="A3331" s="1"/>
    </row>
    <row r="3332" spans="1:1" hidden="1" x14ac:dyDescent="0.35">
      <c r="A3332" s="1"/>
    </row>
    <row r="3333" spans="1:1" hidden="1" x14ac:dyDescent="0.35">
      <c r="A3333" s="1"/>
    </row>
    <row r="3334" spans="1:1" hidden="1" x14ac:dyDescent="0.35">
      <c r="A3334" s="1"/>
    </row>
    <row r="3335" spans="1:1" hidden="1" x14ac:dyDescent="0.35">
      <c r="A3335" s="1"/>
    </row>
    <row r="3336" spans="1:1" hidden="1" x14ac:dyDescent="0.35">
      <c r="A3336" s="1"/>
    </row>
    <row r="3337" spans="1:1" hidden="1" x14ac:dyDescent="0.35">
      <c r="A3337" s="1"/>
    </row>
    <row r="3338" spans="1:1" hidden="1" x14ac:dyDescent="0.35">
      <c r="A3338" s="1"/>
    </row>
    <row r="3339" spans="1:1" hidden="1" x14ac:dyDescent="0.35">
      <c r="A3339" s="1"/>
    </row>
    <row r="3340" spans="1:1" hidden="1" x14ac:dyDescent="0.35">
      <c r="A3340" s="1"/>
    </row>
    <row r="3341" spans="1:1" hidden="1" x14ac:dyDescent="0.35">
      <c r="A3341" s="1"/>
    </row>
    <row r="3342" spans="1:1" hidden="1" x14ac:dyDescent="0.35">
      <c r="A3342" s="1"/>
    </row>
    <row r="3343" spans="1:1" hidden="1" x14ac:dyDescent="0.35">
      <c r="A3343" s="1"/>
    </row>
    <row r="3344" spans="1:1" hidden="1" x14ac:dyDescent="0.35">
      <c r="A3344" s="1"/>
    </row>
    <row r="3345" spans="1:1" hidden="1" x14ac:dyDescent="0.35">
      <c r="A3345" s="1"/>
    </row>
    <row r="3346" spans="1:1" hidden="1" x14ac:dyDescent="0.35">
      <c r="A3346" s="1"/>
    </row>
    <row r="3347" spans="1:1" hidden="1" x14ac:dyDescent="0.35">
      <c r="A3347" s="1"/>
    </row>
    <row r="3348" spans="1:1" hidden="1" x14ac:dyDescent="0.35">
      <c r="A3348" s="1"/>
    </row>
    <row r="3349" spans="1:1" hidden="1" x14ac:dyDescent="0.35">
      <c r="A3349" s="1"/>
    </row>
    <row r="3350" spans="1:1" hidden="1" x14ac:dyDescent="0.35">
      <c r="A3350" s="1"/>
    </row>
    <row r="3351" spans="1:1" hidden="1" x14ac:dyDescent="0.35">
      <c r="A3351" s="1"/>
    </row>
    <row r="3352" spans="1:1" hidden="1" x14ac:dyDescent="0.35">
      <c r="A3352" s="1"/>
    </row>
    <row r="3353" spans="1:1" hidden="1" x14ac:dyDescent="0.35">
      <c r="A3353" s="1"/>
    </row>
    <row r="3354" spans="1:1" hidden="1" x14ac:dyDescent="0.35">
      <c r="A3354" s="1"/>
    </row>
    <row r="3355" spans="1:1" hidden="1" x14ac:dyDescent="0.35">
      <c r="A3355" s="1"/>
    </row>
    <row r="3356" spans="1:1" hidden="1" x14ac:dyDescent="0.35">
      <c r="A3356" s="1"/>
    </row>
    <row r="3357" spans="1:1" hidden="1" x14ac:dyDescent="0.35">
      <c r="A3357" s="1"/>
    </row>
    <row r="3358" spans="1:1" hidden="1" x14ac:dyDescent="0.35">
      <c r="A3358" s="1"/>
    </row>
    <row r="3359" spans="1:1" hidden="1" x14ac:dyDescent="0.35">
      <c r="A3359" s="1"/>
    </row>
    <row r="3360" spans="1:1" hidden="1" x14ac:dyDescent="0.35">
      <c r="A3360" s="1"/>
    </row>
    <row r="3361" spans="1:1" hidden="1" x14ac:dyDescent="0.35">
      <c r="A3361" s="1"/>
    </row>
    <row r="3362" spans="1:1" hidden="1" x14ac:dyDescent="0.35">
      <c r="A3362" s="1"/>
    </row>
    <row r="3363" spans="1:1" hidden="1" x14ac:dyDescent="0.35">
      <c r="A3363" s="1"/>
    </row>
    <row r="3364" spans="1:1" hidden="1" x14ac:dyDescent="0.35">
      <c r="A3364" s="1"/>
    </row>
    <row r="3365" spans="1:1" hidden="1" x14ac:dyDescent="0.35">
      <c r="A3365" s="1"/>
    </row>
    <row r="3366" spans="1:1" hidden="1" x14ac:dyDescent="0.35">
      <c r="A3366" s="1"/>
    </row>
    <row r="3367" spans="1:1" hidden="1" x14ac:dyDescent="0.35">
      <c r="A3367" s="1"/>
    </row>
    <row r="3368" spans="1:1" hidden="1" x14ac:dyDescent="0.35">
      <c r="A3368" s="1"/>
    </row>
    <row r="3369" spans="1:1" hidden="1" x14ac:dyDescent="0.35">
      <c r="A3369" s="1"/>
    </row>
    <row r="3370" spans="1:1" hidden="1" x14ac:dyDescent="0.35">
      <c r="A3370" s="1"/>
    </row>
    <row r="3371" spans="1:1" hidden="1" x14ac:dyDescent="0.35">
      <c r="A3371" s="1"/>
    </row>
    <row r="3372" spans="1:1" hidden="1" x14ac:dyDescent="0.35">
      <c r="A3372" s="1"/>
    </row>
    <row r="3373" spans="1:1" hidden="1" x14ac:dyDescent="0.35">
      <c r="A3373" s="1"/>
    </row>
    <row r="3374" spans="1:1" hidden="1" x14ac:dyDescent="0.35">
      <c r="A3374" s="1"/>
    </row>
    <row r="3375" spans="1:1" hidden="1" x14ac:dyDescent="0.35">
      <c r="A3375" s="1"/>
    </row>
    <row r="3376" spans="1:1" hidden="1" x14ac:dyDescent="0.35">
      <c r="A3376" s="1"/>
    </row>
    <row r="3377" spans="1:1" hidden="1" x14ac:dyDescent="0.35">
      <c r="A3377" s="1"/>
    </row>
    <row r="3378" spans="1:1" hidden="1" x14ac:dyDescent="0.35">
      <c r="A3378" s="1"/>
    </row>
    <row r="3379" spans="1:1" hidden="1" x14ac:dyDescent="0.35">
      <c r="A3379" s="1"/>
    </row>
    <row r="3380" spans="1:1" hidden="1" x14ac:dyDescent="0.35">
      <c r="A3380" s="1"/>
    </row>
    <row r="3381" spans="1:1" hidden="1" x14ac:dyDescent="0.35">
      <c r="A3381" s="1"/>
    </row>
    <row r="3382" spans="1:1" hidden="1" x14ac:dyDescent="0.35">
      <c r="A3382" s="1"/>
    </row>
    <row r="3383" spans="1:1" hidden="1" x14ac:dyDescent="0.35">
      <c r="A3383" s="1"/>
    </row>
    <row r="3384" spans="1:1" hidden="1" x14ac:dyDescent="0.35">
      <c r="A3384" s="1"/>
    </row>
    <row r="3385" spans="1:1" hidden="1" x14ac:dyDescent="0.35">
      <c r="A3385" s="1"/>
    </row>
    <row r="3386" spans="1:1" hidden="1" x14ac:dyDescent="0.35">
      <c r="A3386" s="1"/>
    </row>
    <row r="3387" spans="1:1" hidden="1" x14ac:dyDescent="0.35">
      <c r="A3387" s="1"/>
    </row>
    <row r="3388" spans="1:1" hidden="1" x14ac:dyDescent="0.35">
      <c r="A3388" s="1"/>
    </row>
    <row r="3389" spans="1:1" hidden="1" x14ac:dyDescent="0.35">
      <c r="A3389" s="1"/>
    </row>
    <row r="3390" spans="1:1" hidden="1" x14ac:dyDescent="0.35">
      <c r="A3390" s="1"/>
    </row>
    <row r="3391" spans="1:1" hidden="1" x14ac:dyDescent="0.35">
      <c r="A3391" s="1"/>
    </row>
    <row r="3392" spans="1:1" hidden="1" x14ac:dyDescent="0.35">
      <c r="A3392" s="1"/>
    </row>
    <row r="3393" spans="1:1" hidden="1" x14ac:dyDescent="0.35">
      <c r="A3393" s="1"/>
    </row>
    <row r="3394" spans="1:1" hidden="1" x14ac:dyDescent="0.35">
      <c r="A3394" s="1"/>
    </row>
    <row r="3395" spans="1:1" hidden="1" x14ac:dyDescent="0.35">
      <c r="A3395" s="1"/>
    </row>
    <row r="3396" spans="1:1" hidden="1" x14ac:dyDescent="0.35">
      <c r="A3396" s="1"/>
    </row>
    <row r="3397" spans="1:1" hidden="1" x14ac:dyDescent="0.35">
      <c r="A3397" s="1"/>
    </row>
    <row r="3398" spans="1:1" hidden="1" x14ac:dyDescent="0.35">
      <c r="A3398" s="1"/>
    </row>
    <row r="3399" spans="1:1" hidden="1" x14ac:dyDescent="0.35">
      <c r="A3399" s="1"/>
    </row>
    <row r="3400" spans="1:1" hidden="1" x14ac:dyDescent="0.35">
      <c r="A3400" s="1"/>
    </row>
    <row r="3401" spans="1:1" hidden="1" x14ac:dyDescent="0.35">
      <c r="A3401" s="1"/>
    </row>
    <row r="3402" spans="1:1" hidden="1" x14ac:dyDescent="0.35">
      <c r="A3402" s="1"/>
    </row>
    <row r="3403" spans="1:1" hidden="1" x14ac:dyDescent="0.35">
      <c r="A3403" s="1"/>
    </row>
    <row r="3404" spans="1:1" hidden="1" x14ac:dyDescent="0.35">
      <c r="A3404" s="1"/>
    </row>
    <row r="3405" spans="1:1" hidden="1" x14ac:dyDescent="0.35">
      <c r="A3405" s="1"/>
    </row>
    <row r="3406" spans="1:1" hidden="1" x14ac:dyDescent="0.35">
      <c r="A3406" s="1"/>
    </row>
    <row r="3407" spans="1:1" hidden="1" x14ac:dyDescent="0.35">
      <c r="A3407" s="1"/>
    </row>
    <row r="3408" spans="1:1" hidden="1" x14ac:dyDescent="0.35">
      <c r="A3408" s="1"/>
    </row>
    <row r="3409" spans="1:1" hidden="1" x14ac:dyDescent="0.35">
      <c r="A3409" s="1"/>
    </row>
    <row r="3410" spans="1:1" hidden="1" x14ac:dyDescent="0.35">
      <c r="A3410" s="1"/>
    </row>
    <row r="3411" spans="1:1" hidden="1" x14ac:dyDescent="0.35">
      <c r="A3411" s="1"/>
    </row>
    <row r="3412" spans="1:1" hidden="1" x14ac:dyDescent="0.35">
      <c r="A3412" s="1"/>
    </row>
    <row r="3413" spans="1:1" hidden="1" x14ac:dyDescent="0.35">
      <c r="A3413" s="1"/>
    </row>
    <row r="3414" spans="1:1" hidden="1" x14ac:dyDescent="0.35">
      <c r="A3414" s="1"/>
    </row>
    <row r="3415" spans="1:1" hidden="1" x14ac:dyDescent="0.35">
      <c r="A3415" s="1"/>
    </row>
    <row r="3416" spans="1:1" hidden="1" x14ac:dyDescent="0.35">
      <c r="A3416" s="1"/>
    </row>
    <row r="3417" spans="1:1" hidden="1" x14ac:dyDescent="0.35">
      <c r="A3417" s="1"/>
    </row>
    <row r="3418" spans="1:1" hidden="1" x14ac:dyDescent="0.35">
      <c r="A3418" s="1"/>
    </row>
    <row r="3419" spans="1:1" hidden="1" x14ac:dyDescent="0.35">
      <c r="A3419" s="1"/>
    </row>
    <row r="3420" spans="1:1" hidden="1" x14ac:dyDescent="0.35">
      <c r="A3420" s="1"/>
    </row>
    <row r="3421" spans="1:1" hidden="1" x14ac:dyDescent="0.35">
      <c r="A3421" s="1"/>
    </row>
    <row r="3422" spans="1:1" hidden="1" x14ac:dyDescent="0.35">
      <c r="A3422" s="1"/>
    </row>
    <row r="3423" spans="1:1" hidden="1" x14ac:dyDescent="0.35">
      <c r="A3423" s="1"/>
    </row>
    <row r="3424" spans="1:1" hidden="1" x14ac:dyDescent="0.35">
      <c r="A3424" s="1"/>
    </row>
    <row r="3425" spans="1:1" hidden="1" x14ac:dyDescent="0.35">
      <c r="A3425" s="1"/>
    </row>
    <row r="3426" spans="1:1" hidden="1" x14ac:dyDescent="0.35">
      <c r="A3426" s="1"/>
    </row>
    <row r="3427" spans="1:1" hidden="1" x14ac:dyDescent="0.35">
      <c r="A3427" s="1"/>
    </row>
    <row r="3428" spans="1:1" hidden="1" x14ac:dyDescent="0.35">
      <c r="A3428" s="1"/>
    </row>
    <row r="3429" spans="1:1" hidden="1" x14ac:dyDescent="0.35">
      <c r="A3429" s="1"/>
    </row>
    <row r="3430" spans="1:1" hidden="1" x14ac:dyDescent="0.35">
      <c r="A3430" s="1"/>
    </row>
    <row r="3431" spans="1:1" hidden="1" x14ac:dyDescent="0.35">
      <c r="A3431" s="1"/>
    </row>
    <row r="3432" spans="1:1" hidden="1" x14ac:dyDescent="0.35">
      <c r="A3432" s="1"/>
    </row>
    <row r="3433" spans="1:1" hidden="1" x14ac:dyDescent="0.35">
      <c r="A3433" s="1"/>
    </row>
    <row r="3434" spans="1:1" hidden="1" x14ac:dyDescent="0.35">
      <c r="A3434" s="1"/>
    </row>
    <row r="3435" spans="1:1" hidden="1" x14ac:dyDescent="0.35">
      <c r="A3435" s="1"/>
    </row>
    <row r="3436" spans="1:1" hidden="1" x14ac:dyDescent="0.35">
      <c r="A3436" s="1"/>
    </row>
    <row r="3437" spans="1:1" hidden="1" x14ac:dyDescent="0.35">
      <c r="A3437" s="1"/>
    </row>
    <row r="3438" spans="1:1" hidden="1" x14ac:dyDescent="0.35">
      <c r="A3438" s="1"/>
    </row>
    <row r="3439" spans="1:1" hidden="1" x14ac:dyDescent="0.35">
      <c r="A3439" s="1"/>
    </row>
    <row r="3440" spans="1:1" hidden="1" x14ac:dyDescent="0.35">
      <c r="A3440" s="1"/>
    </row>
    <row r="3441" spans="1:1" hidden="1" x14ac:dyDescent="0.35">
      <c r="A3441" s="1"/>
    </row>
    <row r="3442" spans="1:1" hidden="1" x14ac:dyDescent="0.35">
      <c r="A3442" s="1"/>
    </row>
    <row r="3443" spans="1:1" hidden="1" x14ac:dyDescent="0.35">
      <c r="A3443" s="1"/>
    </row>
    <row r="3444" spans="1:1" hidden="1" x14ac:dyDescent="0.35">
      <c r="A3444" s="1"/>
    </row>
    <row r="3445" spans="1:1" hidden="1" x14ac:dyDescent="0.35">
      <c r="A3445" s="1"/>
    </row>
    <row r="3446" spans="1:1" hidden="1" x14ac:dyDescent="0.35">
      <c r="A3446" s="1"/>
    </row>
    <row r="3447" spans="1:1" hidden="1" x14ac:dyDescent="0.35">
      <c r="A3447" s="1"/>
    </row>
    <row r="3448" spans="1:1" hidden="1" x14ac:dyDescent="0.35">
      <c r="A3448" s="1"/>
    </row>
    <row r="3449" spans="1:1" hidden="1" x14ac:dyDescent="0.35">
      <c r="A3449" s="1"/>
    </row>
    <row r="3450" spans="1:1" hidden="1" x14ac:dyDescent="0.35">
      <c r="A3450" s="1"/>
    </row>
    <row r="3451" spans="1:1" hidden="1" x14ac:dyDescent="0.35">
      <c r="A3451" s="1"/>
    </row>
    <row r="3452" spans="1:1" hidden="1" x14ac:dyDescent="0.35">
      <c r="A3452" s="1"/>
    </row>
    <row r="3453" spans="1:1" hidden="1" x14ac:dyDescent="0.35">
      <c r="A3453" s="1"/>
    </row>
    <row r="3454" spans="1:1" hidden="1" x14ac:dyDescent="0.35">
      <c r="A3454" s="1"/>
    </row>
    <row r="3455" spans="1:1" hidden="1" x14ac:dyDescent="0.35">
      <c r="A3455" s="1"/>
    </row>
    <row r="3456" spans="1:1" hidden="1" x14ac:dyDescent="0.35">
      <c r="A3456" s="1"/>
    </row>
    <row r="3457" spans="1:1" hidden="1" x14ac:dyDescent="0.35">
      <c r="A3457" s="1"/>
    </row>
    <row r="3458" spans="1:1" hidden="1" x14ac:dyDescent="0.35">
      <c r="A3458" s="1"/>
    </row>
    <row r="3459" spans="1:1" hidden="1" x14ac:dyDescent="0.35">
      <c r="A3459" s="1"/>
    </row>
    <row r="3460" spans="1:1" hidden="1" x14ac:dyDescent="0.35">
      <c r="A3460" s="1"/>
    </row>
    <row r="3461" spans="1:1" hidden="1" x14ac:dyDescent="0.35">
      <c r="A3461" s="1"/>
    </row>
    <row r="3462" spans="1:1" hidden="1" x14ac:dyDescent="0.35">
      <c r="A3462" s="1"/>
    </row>
    <row r="3463" spans="1:1" hidden="1" x14ac:dyDescent="0.35">
      <c r="A3463" s="1"/>
    </row>
    <row r="3464" spans="1:1" hidden="1" x14ac:dyDescent="0.35">
      <c r="A3464" s="1"/>
    </row>
    <row r="3465" spans="1:1" hidden="1" x14ac:dyDescent="0.35">
      <c r="A3465" s="1"/>
    </row>
    <row r="3466" spans="1:1" hidden="1" x14ac:dyDescent="0.35">
      <c r="A3466" s="1"/>
    </row>
    <row r="3467" spans="1:1" hidden="1" x14ac:dyDescent="0.35">
      <c r="A3467" s="1"/>
    </row>
    <row r="3468" spans="1:1" hidden="1" x14ac:dyDescent="0.35">
      <c r="A3468" s="1"/>
    </row>
    <row r="3469" spans="1:1" hidden="1" x14ac:dyDescent="0.35">
      <c r="A3469" s="1"/>
    </row>
    <row r="3470" spans="1:1" hidden="1" x14ac:dyDescent="0.35">
      <c r="A3470" s="1"/>
    </row>
    <row r="3471" spans="1:1" hidden="1" x14ac:dyDescent="0.35">
      <c r="A3471" s="1"/>
    </row>
    <row r="3472" spans="1:1" hidden="1" x14ac:dyDescent="0.35">
      <c r="A3472" s="1"/>
    </row>
    <row r="3473" spans="1:1" hidden="1" x14ac:dyDescent="0.35">
      <c r="A3473" s="1"/>
    </row>
    <row r="3474" spans="1:1" hidden="1" x14ac:dyDescent="0.35">
      <c r="A3474" s="1"/>
    </row>
    <row r="3475" spans="1:1" hidden="1" x14ac:dyDescent="0.35">
      <c r="A3475" s="1"/>
    </row>
    <row r="3476" spans="1:1" hidden="1" x14ac:dyDescent="0.35">
      <c r="A3476" s="1"/>
    </row>
    <row r="3477" spans="1:1" hidden="1" x14ac:dyDescent="0.35">
      <c r="A3477" s="1"/>
    </row>
    <row r="3478" spans="1:1" hidden="1" x14ac:dyDescent="0.35">
      <c r="A3478" s="1"/>
    </row>
    <row r="3479" spans="1:1" hidden="1" x14ac:dyDescent="0.35">
      <c r="A3479" s="1"/>
    </row>
    <row r="3480" spans="1:1" hidden="1" x14ac:dyDescent="0.35">
      <c r="A3480" s="1"/>
    </row>
    <row r="3481" spans="1:1" hidden="1" x14ac:dyDescent="0.35">
      <c r="A3481" s="1"/>
    </row>
    <row r="3482" spans="1:1" hidden="1" x14ac:dyDescent="0.35">
      <c r="A3482" s="1"/>
    </row>
    <row r="3483" spans="1:1" hidden="1" x14ac:dyDescent="0.35">
      <c r="A3483" s="1"/>
    </row>
    <row r="3484" spans="1:1" hidden="1" x14ac:dyDescent="0.35">
      <c r="A3484" s="1"/>
    </row>
    <row r="3485" spans="1:1" hidden="1" x14ac:dyDescent="0.35">
      <c r="A3485" s="1"/>
    </row>
    <row r="3486" spans="1:1" hidden="1" x14ac:dyDescent="0.35">
      <c r="A3486" s="1"/>
    </row>
    <row r="3487" spans="1:1" hidden="1" x14ac:dyDescent="0.35">
      <c r="A3487" s="1"/>
    </row>
    <row r="3488" spans="1:1" hidden="1" x14ac:dyDescent="0.35">
      <c r="A3488" s="1"/>
    </row>
    <row r="3489" spans="1:1" hidden="1" x14ac:dyDescent="0.35">
      <c r="A3489" s="1"/>
    </row>
    <row r="3490" spans="1:1" hidden="1" x14ac:dyDescent="0.35">
      <c r="A3490" s="1"/>
    </row>
    <row r="3491" spans="1:1" hidden="1" x14ac:dyDescent="0.35">
      <c r="A3491" s="1"/>
    </row>
    <row r="3492" spans="1:1" hidden="1" x14ac:dyDescent="0.35">
      <c r="A3492" s="1"/>
    </row>
    <row r="3493" spans="1:1" hidden="1" x14ac:dyDescent="0.35">
      <c r="A3493" s="1"/>
    </row>
    <row r="3494" spans="1:1" hidden="1" x14ac:dyDescent="0.35">
      <c r="A3494" s="1"/>
    </row>
    <row r="3495" spans="1:1" hidden="1" x14ac:dyDescent="0.35">
      <c r="A3495" s="1"/>
    </row>
    <row r="3496" spans="1:1" hidden="1" x14ac:dyDescent="0.35">
      <c r="A3496" s="1"/>
    </row>
    <row r="3497" spans="1:1" hidden="1" x14ac:dyDescent="0.35">
      <c r="A3497" s="1"/>
    </row>
    <row r="3498" spans="1:1" hidden="1" x14ac:dyDescent="0.35">
      <c r="A3498" s="1"/>
    </row>
    <row r="3499" spans="1:1" hidden="1" x14ac:dyDescent="0.35">
      <c r="A3499" s="1"/>
    </row>
    <row r="3500" spans="1:1" hidden="1" x14ac:dyDescent="0.35">
      <c r="A3500" s="1"/>
    </row>
    <row r="3501" spans="1:1" hidden="1" x14ac:dyDescent="0.35">
      <c r="A3501" s="1"/>
    </row>
    <row r="3502" spans="1:1" hidden="1" x14ac:dyDescent="0.35">
      <c r="A3502" s="1"/>
    </row>
    <row r="3503" spans="1:1" hidden="1" x14ac:dyDescent="0.35">
      <c r="A3503" s="1"/>
    </row>
    <row r="3504" spans="1:1" hidden="1" x14ac:dyDescent="0.35">
      <c r="A3504" s="1"/>
    </row>
    <row r="3505" spans="1:1" hidden="1" x14ac:dyDescent="0.35">
      <c r="A3505" s="1"/>
    </row>
    <row r="3506" spans="1:1" hidden="1" x14ac:dyDescent="0.35">
      <c r="A3506" s="1"/>
    </row>
    <row r="3507" spans="1:1" hidden="1" x14ac:dyDescent="0.35">
      <c r="A3507" s="1"/>
    </row>
    <row r="3508" spans="1:1" hidden="1" x14ac:dyDescent="0.35">
      <c r="A3508" s="1"/>
    </row>
    <row r="3509" spans="1:1" hidden="1" x14ac:dyDescent="0.35">
      <c r="A3509" s="1"/>
    </row>
    <row r="3510" spans="1:1" hidden="1" x14ac:dyDescent="0.35">
      <c r="A3510" s="1"/>
    </row>
    <row r="3511" spans="1:1" hidden="1" x14ac:dyDescent="0.35">
      <c r="A3511" s="1"/>
    </row>
    <row r="3512" spans="1:1" hidden="1" x14ac:dyDescent="0.35">
      <c r="A3512" s="1"/>
    </row>
    <row r="3513" spans="1:1" hidden="1" x14ac:dyDescent="0.35">
      <c r="A3513" s="1"/>
    </row>
    <row r="3514" spans="1:1" hidden="1" x14ac:dyDescent="0.35">
      <c r="A3514" s="1"/>
    </row>
    <row r="3515" spans="1:1" hidden="1" x14ac:dyDescent="0.35">
      <c r="A3515" s="1"/>
    </row>
    <row r="3516" spans="1:1" hidden="1" x14ac:dyDescent="0.35">
      <c r="A3516" s="1"/>
    </row>
    <row r="3517" spans="1:1" hidden="1" x14ac:dyDescent="0.35">
      <c r="A3517" s="1"/>
    </row>
    <row r="3518" spans="1:1" hidden="1" x14ac:dyDescent="0.35">
      <c r="A3518" s="1"/>
    </row>
    <row r="3519" spans="1:1" hidden="1" x14ac:dyDescent="0.35">
      <c r="A3519" s="1"/>
    </row>
    <row r="3520" spans="1:1" hidden="1" x14ac:dyDescent="0.35">
      <c r="A3520" s="1"/>
    </row>
    <row r="3521" spans="1:1" hidden="1" x14ac:dyDescent="0.35">
      <c r="A3521" s="1"/>
    </row>
    <row r="3522" spans="1:1" hidden="1" x14ac:dyDescent="0.35">
      <c r="A3522" s="1"/>
    </row>
    <row r="3523" spans="1:1" hidden="1" x14ac:dyDescent="0.35">
      <c r="A3523" s="1"/>
    </row>
    <row r="3524" spans="1:1" hidden="1" x14ac:dyDescent="0.35">
      <c r="A3524" s="1"/>
    </row>
    <row r="3525" spans="1:1" hidden="1" x14ac:dyDescent="0.35">
      <c r="A3525" s="1"/>
    </row>
    <row r="3526" spans="1:1" hidden="1" x14ac:dyDescent="0.35">
      <c r="A3526" s="1"/>
    </row>
    <row r="3527" spans="1:1" hidden="1" x14ac:dyDescent="0.35">
      <c r="A3527" s="1"/>
    </row>
    <row r="3528" spans="1:1" hidden="1" x14ac:dyDescent="0.35">
      <c r="A3528" s="1"/>
    </row>
    <row r="3529" spans="1:1" hidden="1" x14ac:dyDescent="0.35">
      <c r="A3529" s="1"/>
    </row>
    <row r="3530" spans="1:1" hidden="1" x14ac:dyDescent="0.35">
      <c r="A3530" s="1"/>
    </row>
    <row r="3531" spans="1:1" hidden="1" x14ac:dyDescent="0.35">
      <c r="A3531" s="1"/>
    </row>
    <row r="3532" spans="1:1" hidden="1" x14ac:dyDescent="0.35">
      <c r="A3532" s="1"/>
    </row>
    <row r="3533" spans="1:1" hidden="1" x14ac:dyDescent="0.35">
      <c r="A3533" s="1"/>
    </row>
    <row r="3534" spans="1:1" hidden="1" x14ac:dyDescent="0.35">
      <c r="A3534" s="1"/>
    </row>
    <row r="3535" spans="1:1" hidden="1" x14ac:dyDescent="0.35">
      <c r="A3535" s="1"/>
    </row>
    <row r="3536" spans="1:1" hidden="1" x14ac:dyDescent="0.35">
      <c r="A3536" s="1"/>
    </row>
    <row r="3537" spans="1:1" hidden="1" x14ac:dyDescent="0.35">
      <c r="A3537" s="1"/>
    </row>
    <row r="3538" spans="1:1" hidden="1" x14ac:dyDescent="0.35">
      <c r="A3538" s="1"/>
    </row>
    <row r="3539" spans="1:1" hidden="1" x14ac:dyDescent="0.35">
      <c r="A3539" s="1"/>
    </row>
    <row r="3540" spans="1:1" hidden="1" x14ac:dyDescent="0.35">
      <c r="A3540" s="1"/>
    </row>
    <row r="3541" spans="1:1" hidden="1" x14ac:dyDescent="0.35">
      <c r="A3541" s="1"/>
    </row>
    <row r="3542" spans="1:1" hidden="1" x14ac:dyDescent="0.35">
      <c r="A3542" s="1"/>
    </row>
    <row r="3543" spans="1:1" hidden="1" x14ac:dyDescent="0.35">
      <c r="A3543" s="1"/>
    </row>
    <row r="3544" spans="1:1" hidden="1" x14ac:dyDescent="0.35">
      <c r="A3544" s="1"/>
    </row>
    <row r="3545" spans="1:1" hidden="1" x14ac:dyDescent="0.35">
      <c r="A3545" s="1"/>
    </row>
    <row r="3546" spans="1:1" hidden="1" x14ac:dyDescent="0.35">
      <c r="A3546" s="1"/>
    </row>
    <row r="3547" spans="1:1" hidden="1" x14ac:dyDescent="0.35">
      <c r="A3547" s="1"/>
    </row>
    <row r="3548" spans="1:1" hidden="1" x14ac:dyDescent="0.35">
      <c r="A3548" s="1"/>
    </row>
    <row r="3549" spans="1:1" hidden="1" x14ac:dyDescent="0.35">
      <c r="A3549" s="1"/>
    </row>
    <row r="3550" spans="1:1" hidden="1" x14ac:dyDescent="0.35">
      <c r="A3550" s="1"/>
    </row>
    <row r="3551" spans="1:1" hidden="1" x14ac:dyDescent="0.35">
      <c r="A3551" s="1"/>
    </row>
    <row r="3552" spans="1:1" hidden="1" x14ac:dyDescent="0.35">
      <c r="A3552" s="1"/>
    </row>
    <row r="3553" spans="1:1" hidden="1" x14ac:dyDescent="0.35">
      <c r="A3553" s="1"/>
    </row>
    <row r="3554" spans="1:1" hidden="1" x14ac:dyDescent="0.35">
      <c r="A3554" s="1"/>
    </row>
    <row r="3555" spans="1:1" hidden="1" x14ac:dyDescent="0.35">
      <c r="A3555" s="1"/>
    </row>
    <row r="3556" spans="1:1" hidden="1" x14ac:dyDescent="0.35">
      <c r="A3556" s="1"/>
    </row>
    <row r="3557" spans="1:1" hidden="1" x14ac:dyDescent="0.35">
      <c r="A3557" s="1"/>
    </row>
    <row r="3558" spans="1:1" hidden="1" x14ac:dyDescent="0.35">
      <c r="A3558" s="1"/>
    </row>
    <row r="3559" spans="1:1" hidden="1" x14ac:dyDescent="0.35">
      <c r="A3559" s="1"/>
    </row>
    <row r="3560" spans="1:1" hidden="1" x14ac:dyDescent="0.35">
      <c r="A3560" s="1"/>
    </row>
    <row r="3561" spans="1:1" hidden="1" x14ac:dyDescent="0.35">
      <c r="A3561" s="1"/>
    </row>
    <row r="3562" spans="1:1" hidden="1" x14ac:dyDescent="0.35">
      <c r="A3562" s="1"/>
    </row>
    <row r="3563" spans="1:1" hidden="1" x14ac:dyDescent="0.35">
      <c r="A3563" s="1"/>
    </row>
    <row r="3564" spans="1:1" hidden="1" x14ac:dyDescent="0.35">
      <c r="A3564" s="1"/>
    </row>
    <row r="3565" spans="1:1" hidden="1" x14ac:dyDescent="0.35">
      <c r="A3565" s="1"/>
    </row>
    <row r="3566" spans="1:1" hidden="1" x14ac:dyDescent="0.35">
      <c r="A3566" s="1"/>
    </row>
    <row r="3567" spans="1:1" hidden="1" x14ac:dyDescent="0.35">
      <c r="A3567" s="1"/>
    </row>
    <row r="3568" spans="1:1" hidden="1" x14ac:dyDescent="0.35">
      <c r="A3568" s="1"/>
    </row>
    <row r="3569" spans="1:1" hidden="1" x14ac:dyDescent="0.35">
      <c r="A3569" s="1"/>
    </row>
    <row r="3570" spans="1:1" hidden="1" x14ac:dyDescent="0.35">
      <c r="A3570" s="1"/>
    </row>
    <row r="3571" spans="1:1" hidden="1" x14ac:dyDescent="0.35">
      <c r="A3571" s="1"/>
    </row>
    <row r="3572" spans="1:1" hidden="1" x14ac:dyDescent="0.35">
      <c r="A3572" s="1"/>
    </row>
    <row r="3573" spans="1:1" hidden="1" x14ac:dyDescent="0.35">
      <c r="A3573" s="1"/>
    </row>
    <row r="3574" spans="1:1" hidden="1" x14ac:dyDescent="0.35">
      <c r="A3574" s="1"/>
    </row>
    <row r="3575" spans="1:1" hidden="1" x14ac:dyDescent="0.35">
      <c r="A3575" s="1"/>
    </row>
    <row r="3576" spans="1:1" hidden="1" x14ac:dyDescent="0.35">
      <c r="A3576" s="1"/>
    </row>
    <row r="3577" spans="1:1" hidden="1" x14ac:dyDescent="0.35">
      <c r="A3577" s="1"/>
    </row>
    <row r="3578" spans="1:1" hidden="1" x14ac:dyDescent="0.35">
      <c r="A3578" s="1"/>
    </row>
    <row r="3579" spans="1:1" hidden="1" x14ac:dyDescent="0.35">
      <c r="A3579" s="1"/>
    </row>
    <row r="3580" spans="1:1" hidden="1" x14ac:dyDescent="0.35">
      <c r="A3580" s="1"/>
    </row>
    <row r="3581" spans="1:1" hidden="1" x14ac:dyDescent="0.35">
      <c r="A3581" s="1"/>
    </row>
    <row r="3582" spans="1:1" hidden="1" x14ac:dyDescent="0.35">
      <c r="A3582" s="1"/>
    </row>
    <row r="3583" spans="1:1" hidden="1" x14ac:dyDescent="0.35">
      <c r="A3583" s="1"/>
    </row>
    <row r="3584" spans="1:1" hidden="1" x14ac:dyDescent="0.35">
      <c r="A3584" s="1"/>
    </row>
    <row r="3585" spans="1:1" hidden="1" x14ac:dyDescent="0.35">
      <c r="A3585" s="1"/>
    </row>
    <row r="3586" spans="1:1" hidden="1" x14ac:dyDescent="0.35">
      <c r="A3586" s="1"/>
    </row>
    <row r="3587" spans="1:1" hidden="1" x14ac:dyDescent="0.35">
      <c r="A3587" s="1"/>
    </row>
    <row r="3588" spans="1:1" hidden="1" x14ac:dyDescent="0.35">
      <c r="A3588" s="1"/>
    </row>
    <row r="3589" spans="1:1" hidden="1" x14ac:dyDescent="0.35">
      <c r="A3589" s="1"/>
    </row>
    <row r="3590" spans="1:1" hidden="1" x14ac:dyDescent="0.35">
      <c r="A3590" s="1"/>
    </row>
    <row r="3591" spans="1:1" hidden="1" x14ac:dyDescent="0.35">
      <c r="A3591" s="1"/>
    </row>
    <row r="3592" spans="1:1" hidden="1" x14ac:dyDescent="0.35">
      <c r="A3592" s="1"/>
    </row>
    <row r="3593" spans="1:1" hidden="1" x14ac:dyDescent="0.35">
      <c r="A3593" s="1"/>
    </row>
    <row r="3594" spans="1:1" hidden="1" x14ac:dyDescent="0.35">
      <c r="A3594" s="1"/>
    </row>
    <row r="3595" spans="1:1" hidden="1" x14ac:dyDescent="0.35">
      <c r="A3595" s="1"/>
    </row>
    <row r="3596" spans="1:1" hidden="1" x14ac:dyDescent="0.35">
      <c r="A3596" s="1"/>
    </row>
    <row r="3597" spans="1:1" hidden="1" x14ac:dyDescent="0.35">
      <c r="A3597" s="1"/>
    </row>
    <row r="3598" spans="1:1" hidden="1" x14ac:dyDescent="0.35">
      <c r="A3598" s="1"/>
    </row>
    <row r="3599" spans="1:1" hidden="1" x14ac:dyDescent="0.35">
      <c r="A3599" s="1"/>
    </row>
    <row r="3600" spans="1:1" hidden="1" x14ac:dyDescent="0.35">
      <c r="A3600" s="1"/>
    </row>
    <row r="3601" spans="1:1" hidden="1" x14ac:dyDescent="0.35">
      <c r="A3601" s="1"/>
    </row>
    <row r="3602" spans="1:1" hidden="1" x14ac:dyDescent="0.35">
      <c r="A3602" s="1"/>
    </row>
    <row r="3603" spans="1:1" hidden="1" x14ac:dyDescent="0.35">
      <c r="A3603" s="1"/>
    </row>
    <row r="3604" spans="1:1" hidden="1" x14ac:dyDescent="0.35">
      <c r="A3604" s="1"/>
    </row>
    <row r="3605" spans="1:1" hidden="1" x14ac:dyDescent="0.35">
      <c r="A3605" s="1"/>
    </row>
    <row r="3606" spans="1:1" hidden="1" x14ac:dyDescent="0.35">
      <c r="A3606" s="1"/>
    </row>
    <row r="3607" spans="1:1" hidden="1" x14ac:dyDescent="0.35">
      <c r="A3607" s="1"/>
    </row>
    <row r="3608" spans="1:1" hidden="1" x14ac:dyDescent="0.35">
      <c r="A3608" s="1"/>
    </row>
    <row r="3609" spans="1:1" hidden="1" x14ac:dyDescent="0.35">
      <c r="A3609" s="1"/>
    </row>
    <row r="3610" spans="1:1" hidden="1" x14ac:dyDescent="0.35">
      <c r="A3610" s="1"/>
    </row>
    <row r="3611" spans="1:1" hidden="1" x14ac:dyDescent="0.35">
      <c r="A3611" s="1"/>
    </row>
    <row r="3612" spans="1:1" hidden="1" x14ac:dyDescent="0.35">
      <c r="A3612" s="1"/>
    </row>
    <row r="3613" spans="1:1" hidden="1" x14ac:dyDescent="0.35">
      <c r="A3613" s="1"/>
    </row>
    <row r="3614" spans="1:1" hidden="1" x14ac:dyDescent="0.35">
      <c r="A3614" s="1"/>
    </row>
    <row r="3615" spans="1:1" hidden="1" x14ac:dyDescent="0.35">
      <c r="A3615" s="1"/>
    </row>
    <row r="3616" spans="1:1" hidden="1" x14ac:dyDescent="0.35">
      <c r="A3616" s="1"/>
    </row>
    <row r="3617" spans="1:1" hidden="1" x14ac:dyDescent="0.35">
      <c r="A3617" s="1"/>
    </row>
    <row r="3618" spans="1:1" hidden="1" x14ac:dyDescent="0.35">
      <c r="A3618" s="1"/>
    </row>
    <row r="3619" spans="1:1" hidden="1" x14ac:dyDescent="0.35">
      <c r="A3619" s="1"/>
    </row>
    <row r="3620" spans="1:1" hidden="1" x14ac:dyDescent="0.35">
      <c r="A3620" s="1"/>
    </row>
    <row r="3621" spans="1:1" hidden="1" x14ac:dyDescent="0.35">
      <c r="A3621" s="1"/>
    </row>
    <row r="3622" spans="1:1" hidden="1" x14ac:dyDescent="0.35">
      <c r="A3622" s="1"/>
    </row>
    <row r="3623" spans="1:1" hidden="1" x14ac:dyDescent="0.35">
      <c r="A3623" s="1"/>
    </row>
    <row r="3624" spans="1:1" hidden="1" x14ac:dyDescent="0.35">
      <c r="A3624" s="1"/>
    </row>
    <row r="3625" spans="1:1" hidden="1" x14ac:dyDescent="0.35">
      <c r="A3625" s="1"/>
    </row>
    <row r="3626" spans="1:1" hidden="1" x14ac:dyDescent="0.35">
      <c r="A3626" s="1"/>
    </row>
    <row r="3627" spans="1:1" hidden="1" x14ac:dyDescent="0.35">
      <c r="A3627" s="1"/>
    </row>
    <row r="3628" spans="1:1" hidden="1" x14ac:dyDescent="0.35">
      <c r="A3628" s="1"/>
    </row>
    <row r="3629" spans="1:1" hidden="1" x14ac:dyDescent="0.35">
      <c r="A3629" s="1"/>
    </row>
    <row r="3630" spans="1:1" hidden="1" x14ac:dyDescent="0.35">
      <c r="A3630" s="1"/>
    </row>
    <row r="3631" spans="1:1" hidden="1" x14ac:dyDescent="0.35">
      <c r="A3631" s="1"/>
    </row>
    <row r="3632" spans="1:1" hidden="1" x14ac:dyDescent="0.35">
      <c r="A3632" s="1"/>
    </row>
    <row r="3633" spans="1:1" hidden="1" x14ac:dyDescent="0.35">
      <c r="A3633" s="1"/>
    </row>
    <row r="3634" spans="1:1" hidden="1" x14ac:dyDescent="0.35">
      <c r="A3634" s="1"/>
    </row>
    <row r="3635" spans="1:1" hidden="1" x14ac:dyDescent="0.35">
      <c r="A3635" s="1"/>
    </row>
    <row r="3636" spans="1:1" hidden="1" x14ac:dyDescent="0.35">
      <c r="A3636" s="1"/>
    </row>
    <row r="3637" spans="1:1" hidden="1" x14ac:dyDescent="0.35">
      <c r="A3637" s="1"/>
    </row>
    <row r="3638" spans="1:1" hidden="1" x14ac:dyDescent="0.35">
      <c r="A3638" s="1"/>
    </row>
    <row r="3639" spans="1:1" hidden="1" x14ac:dyDescent="0.35">
      <c r="A3639" s="1"/>
    </row>
    <row r="3640" spans="1:1" hidden="1" x14ac:dyDescent="0.35">
      <c r="A3640" s="1"/>
    </row>
    <row r="3641" spans="1:1" hidden="1" x14ac:dyDescent="0.35">
      <c r="A3641" s="1"/>
    </row>
    <row r="3642" spans="1:1" hidden="1" x14ac:dyDescent="0.35">
      <c r="A3642" s="1"/>
    </row>
    <row r="3643" spans="1:1" hidden="1" x14ac:dyDescent="0.35">
      <c r="A3643" s="1"/>
    </row>
    <row r="3644" spans="1:1" hidden="1" x14ac:dyDescent="0.35">
      <c r="A3644" s="1"/>
    </row>
    <row r="3645" spans="1:1" hidden="1" x14ac:dyDescent="0.35">
      <c r="A3645" s="1"/>
    </row>
    <row r="3646" spans="1:1" hidden="1" x14ac:dyDescent="0.35">
      <c r="A3646" s="1"/>
    </row>
    <row r="3647" spans="1:1" hidden="1" x14ac:dyDescent="0.35">
      <c r="A3647" s="1"/>
    </row>
    <row r="3648" spans="1:1" hidden="1" x14ac:dyDescent="0.35">
      <c r="A3648" s="1"/>
    </row>
    <row r="3649" spans="1:1" hidden="1" x14ac:dyDescent="0.35">
      <c r="A3649" s="1"/>
    </row>
    <row r="3650" spans="1:1" hidden="1" x14ac:dyDescent="0.35">
      <c r="A3650" s="1"/>
    </row>
    <row r="3651" spans="1:1" hidden="1" x14ac:dyDescent="0.35">
      <c r="A3651" s="1"/>
    </row>
    <row r="3652" spans="1:1" hidden="1" x14ac:dyDescent="0.35">
      <c r="A3652" s="1"/>
    </row>
    <row r="3653" spans="1:1" hidden="1" x14ac:dyDescent="0.35">
      <c r="A3653" s="1"/>
    </row>
    <row r="3654" spans="1:1" hidden="1" x14ac:dyDescent="0.35">
      <c r="A3654" s="1"/>
    </row>
    <row r="3655" spans="1:1" hidden="1" x14ac:dyDescent="0.35">
      <c r="A3655" s="1"/>
    </row>
    <row r="3656" spans="1:1" hidden="1" x14ac:dyDescent="0.35">
      <c r="A3656" s="1"/>
    </row>
    <row r="3657" spans="1:1" hidden="1" x14ac:dyDescent="0.35">
      <c r="A3657" s="1"/>
    </row>
    <row r="3658" spans="1:1" hidden="1" x14ac:dyDescent="0.35">
      <c r="A3658" s="1"/>
    </row>
    <row r="3659" spans="1:1" hidden="1" x14ac:dyDescent="0.35">
      <c r="A3659" s="1"/>
    </row>
    <row r="3660" spans="1:1" hidden="1" x14ac:dyDescent="0.35">
      <c r="A3660" s="1"/>
    </row>
    <row r="3661" spans="1:1" hidden="1" x14ac:dyDescent="0.35">
      <c r="A3661" s="1"/>
    </row>
    <row r="3662" spans="1:1" hidden="1" x14ac:dyDescent="0.35">
      <c r="A3662" s="1"/>
    </row>
    <row r="3663" spans="1:1" hidden="1" x14ac:dyDescent="0.35">
      <c r="A3663" s="1"/>
    </row>
    <row r="3664" spans="1:1" hidden="1" x14ac:dyDescent="0.35">
      <c r="A3664" s="1"/>
    </row>
    <row r="3665" spans="1:1" hidden="1" x14ac:dyDescent="0.35">
      <c r="A3665" s="1"/>
    </row>
    <row r="3666" spans="1:1" hidden="1" x14ac:dyDescent="0.35">
      <c r="A3666" s="1"/>
    </row>
    <row r="3667" spans="1:1" hidden="1" x14ac:dyDescent="0.35">
      <c r="A3667" s="1"/>
    </row>
    <row r="3668" spans="1:1" hidden="1" x14ac:dyDescent="0.35">
      <c r="A3668" s="1"/>
    </row>
    <row r="3669" spans="1:1" hidden="1" x14ac:dyDescent="0.35">
      <c r="A3669" s="1"/>
    </row>
    <row r="3670" spans="1:1" hidden="1" x14ac:dyDescent="0.35">
      <c r="A3670" s="1"/>
    </row>
    <row r="3671" spans="1:1" hidden="1" x14ac:dyDescent="0.35">
      <c r="A3671" s="1"/>
    </row>
    <row r="3672" spans="1:1" hidden="1" x14ac:dyDescent="0.35">
      <c r="A3672" s="1"/>
    </row>
    <row r="3673" spans="1:1" hidden="1" x14ac:dyDescent="0.35">
      <c r="A3673" s="1"/>
    </row>
    <row r="3674" spans="1:1" hidden="1" x14ac:dyDescent="0.35">
      <c r="A3674" s="1"/>
    </row>
    <row r="3675" spans="1:1" hidden="1" x14ac:dyDescent="0.35">
      <c r="A3675" s="1"/>
    </row>
    <row r="3676" spans="1:1" hidden="1" x14ac:dyDescent="0.35">
      <c r="A3676" s="1"/>
    </row>
    <row r="3677" spans="1:1" hidden="1" x14ac:dyDescent="0.35">
      <c r="A3677" s="1"/>
    </row>
    <row r="3678" spans="1:1" hidden="1" x14ac:dyDescent="0.35">
      <c r="A3678" s="1"/>
    </row>
    <row r="3679" spans="1:1" hidden="1" x14ac:dyDescent="0.35">
      <c r="A3679" s="1"/>
    </row>
    <row r="3680" spans="1:1" hidden="1" x14ac:dyDescent="0.35">
      <c r="A3680" s="1"/>
    </row>
    <row r="3681" spans="1:1" hidden="1" x14ac:dyDescent="0.35">
      <c r="A3681" s="1"/>
    </row>
    <row r="3682" spans="1:1" hidden="1" x14ac:dyDescent="0.35">
      <c r="A3682" s="1"/>
    </row>
    <row r="3683" spans="1:1" hidden="1" x14ac:dyDescent="0.35">
      <c r="A3683" s="1"/>
    </row>
    <row r="3684" spans="1:1" hidden="1" x14ac:dyDescent="0.35">
      <c r="A3684" s="1"/>
    </row>
    <row r="3685" spans="1:1" hidden="1" x14ac:dyDescent="0.35">
      <c r="A3685" s="1"/>
    </row>
    <row r="3686" spans="1:1" hidden="1" x14ac:dyDescent="0.35">
      <c r="A3686" s="1"/>
    </row>
    <row r="3687" spans="1:1" hidden="1" x14ac:dyDescent="0.35">
      <c r="A3687" s="1"/>
    </row>
    <row r="3688" spans="1:1" hidden="1" x14ac:dyDescent="0.35">
      <c r="A3688" s="1"/>
    </row>
    <row r="3689" spans="1:1" hidden="1" x14ac:dyDescent="0.35">
      <c r="A3689" s="1"/>
    </row>
    <row r="3690" spans="1:1" hidden="1" x14ac:dyDescent="0.35">
      <c r="A3690" s="1"/>
    </row>
    <row r="3691" spans="1:1" hidden="1" x14ac:dyDescent="0.35">
      <c r="A3691" s="1"/>
    </row>
    <row r="3692" spans="1:1" hidden="1" x14ac:dyDescent="0.35">
      <c r="A3692" s="1"/>
    </row>
    <row r="3693" spans="1:1" hidden="1" x14ac:dyDescent="0.35">
      <c r="A3693" s="1"/>
    </row>
    <row r="3694" spans="1:1" hidden="1" x14ac:dyDescent="0.35">
      <c r="A3694" s="1"/>
    </row>
    <row r="3695" spans="1:1" hidden="1" x14ac:dyDescent="0.35">
      <c r="A3695" s="1"/>
    </row>
    <row r="3696" spans="1:1" hidden="1" x14ac:dyDescent="0.35">
      <c r="A3696" s="1"/>
    </row>
    <row r="3697" spans="1:1" hidden="1" x14ac:dyDescent="0.35">
      <c r="A3697" s="1"/>
    </row>
    <row r="3698" spans="1:1" hidden="1" x14ac:dyDescent="0.35">
      <c r="A3698" s="1"/>
    </row>
    <row r="3699" spans="1:1" hidden="1" x14ac:dyDescent="0.35">
      <c r="A3699" s="1"/>
    </row>
    <row r="3700" spans="1:1" hidden="1" x14ac:dyDescent="0.35">
      <c r="A3700" s="1"/>
    </row>
    <row r="3701" spans="1:1" hidden="1" x14ac:dyDescent="0.35">
      <c r="A3701" s="1"/>
    </row>
    <row r="3702" spans="1:1" hidden="1" x14ac:dyDescent="0.35">
      <c r="A3702" s="1"/>
    </row>
    <row r="3703" spans="1:1" hidden="1" x14ac:dyDescent="0.35">
      <c r="A3703" s="1"/>
    </row>
    <row r="3704" spans="1:1" hidden="1" x14ac:dyDescent="0.35">
      <c r="A3704" s="1"/>
    </row>
    <row r="3705" spans="1:1" hidden="1" x14ac:dyDescent="0.35">
      <c r="A3705" s="1"/>
    </row>
    <row r="3706" spans="1:1" hidden="1" x14ac:dyDescent="0.35">
      <c r="A3706" s="1"/>
    </row>
    <row r="3707" spans="1:1" hidden="1" x14ac:dyDescent="0.35">
      <c r="A3707" s="1"/>
    </row>
    <row r="3708" spans="1:1" hidden="1" x14ac:dyDescent="0.35">
      <c r="A3708" s="1"/>
    </row>
    <row r="3709" spans="1:1" hidden="1" x14ac:dyDescent="0.35">
      <c r="A3709" s="1"/>
    </row>
    <row r="3710" spans="1:1" hidden="1" x14ac:dyDescent="0.35">
      <c r="A3710" s="1"/>
    </row>
    <row r="3711" spans="1:1" hidden="1" x14ac:dyDescent="0.35">
      <c r="A3711" s="1"/>
    </row>
    <row r="3712" spans="1:1" hidden="1" x14ac:dyDescent="0.35">
      <c r="A3712" s="1"/>
    </row>
    <row r="3713" spans="1:1" hidden="1" x14ac:dyDescent="0.35">
      <c r="A3713" s="1"/>
    </row>
    <row r="3714" spans="1:1" hidden="1" x14ac:dyDescent="0.35">
      <c r="A3714" s="1"/>
    </row>
    <row r="3715" spans="1:1" hidden="1" x14ac:dyDescent="0.35">
      <c r="A3715" s="1"/>
    </row>
    <row r="3716" spans="1:1" hidden="1" x14ac:dyDescent="0.35">
      <c r="A3716" s="1"/>
    </row>
    <row r="3717" spans="1:1" hidden="1" x14ac:dyDescent="0.35">
      <c r="A3717" s="1"/>
    </row>
    <row r="3718" spans="1:1" hidden="1" x14ac:dyDescent="0.35">
      <c r="A3718" s="1"/>
    </row>
    <row r="3719" spans="1:1" hidden="1" x14ac:dyDescent="0.35">
      <c r="A3719" s="1"/>
    </row>
    <row r="3720" spans="1:1" hidden="1" x14ac:dyDescent="0.35">
      <c r="A3720" s="1"/>
    </row>
    <row r="3721" spans="1:1" hidden="1" x14ac:dyDescent="0.35">
      <c r="A3721" s="1"/>
    </row>
    <row r="3722" spans="1:1" hidden="1" x14ac:dyDescent="0.35">
      <c r="A3722" s="1"/>
    </row>
    <row r="3723" spans="1:1" hidden="1" x14ac:dyDescent="0.35">
      <c r="A3723" s="1"/>
    </row>
    <row r="3724" spans="1:1" hidden="1" x14ac:dyDescent="0.35">
      <c r="A3724" s="1"/>
    </row>
    <row r="3725" spans="1:1" hidden="1" x14ac:dyDescent="0.35">
      <c r="A3725" s="1"/>
    </row>
    <row r="3726" spans="1:1" hidden="1" x14ac:dyDescent="0.35">
      <c r="A3726" s="1"/>
    </row>
    <row r="3727" spans="1:1" hidden="1" x14ac:dyDescent="0.35">
      <c r="A3727" s="1"/>
    </row>
    <row r="3728" spans="1:1" hidden="1" x14ac:dyDescent="0.35">
      <c r="A3728" s="1"/>
    </row>
    <row r="3729" spans="1:1" hidden="1" x14ac:dyDescent="0.35">
      <c r="A3729" s="1"/>
    </row>
    <row r="3730" spans="1:1" hidden="1" x14ac:dyDescent="0.35">
      <c r="A3730" s="1"/>
    </row>
    <row r="3731" spans="1:1" hidden="1" x14ac:dyDescent="0.35">
      <c r="A3731" s="1"/>
    </row>
    <row r="3732" spans="1:1" hidden="1" x14ac:dyDescent="0.35">
      <c r="A3732" s="1"/>
    </row>
    <row r="3733" spans="1:1" hidden="1" x14ac:dyDescent="0.35">
      <c r="A3733" s="1"/>
    </row>
    <row r="3734" spans="1:1" hidden="1" x14ac:dyDescent="0.35">
      <c r="A3734" s="1"/>
    </row>
    <row r="3735" spans="1:1" hidden="1" x14ac:dyDescent="0.35">
      <c r="A3735" s="1"/>
    </row>
    <row r="3736" spans="1:1" hidden="1" x14ac:dyDescent="0.35">
      <c r="A3736" s="1"/>
    </row>
    <row r="3737" spans="1:1" hidden="1" x14ac:dyDescent="0.35">
      <c r="A3737" s="1"/>
    </row>
    <row r="3738" spans="1:1" hidden="1" x14ac:dyDescent="0.35">
      <c r="A3738" s="1"/>
    </row>
    <row r="3739" spans="1:1" hidden="1" x14ac:dyDescent="0.35">
      <c r="A3739" s="1"/>
    </row>
    <row r="3740" spans="1:1" hidden="1" x14ac:dyDescent="0.35">
      <c r="A3740" s="1"/>
    </row>
    <row r="3741" spans="1:1" hidden="1" x14ac:dyDescent="0.35">
      <c r="A3741" s="1"/>
    </row>
    <row r="3742" spans="1:1" hidden="1" x14ac:dyDescent="0.35">
      <c r="A3742" s="1"/>
    </row>
    <row r="3743" spans="1:1" hidden="1" x14ac:dyDescent="0.35">
      <c r="A3743" s="1"/>
    </row>
    <row r="3744" spans="1:1" hidden="1" x14ac:dyDescent="0.35">
      <c r="A3744" s="1"/>
    </row>
    <row r="3745" spans="1:1" hidden="1" x14ac:dyDescent="0.35">
      <c r="A3745" s="1"/>
    </row>
    <row r="3746" spans="1:1" hidden="1" x14ac:dyDescent="0.35">
      <c r="A3746" s="1"/>
    </row>
    <row r="3747" spans="1:1" hidden="1" x14ac:dyDescent="0.35">
      <c r="A3747" s="1"/>
    </row>
    <row r="3748" spans="1:1" hidden="1" x14ac:dyDescent="0.35">
      <c r="A3748" s="1"/>
    </row>
    <row r="3749" spans="1:1" hidden="1" x14ac:dyDescent="0.35">
      <c r="A3749" s="1"/>
    </row>
    <row r="3750" spans="1:1" hidden="1" x14ac:dyDescent="0.35">
      <c r="A3750" s="1"/>
    </row>
    <row r="3751" spans="1:1" hidden="1" x14ac:dyDescent="0.35">
      <c r="A3751" s="1"/>
    </row>
    <row r="3752" spans="1:1" hidden="1" x14ac:dyDescent="0.35">
      <c r="A3752" s="1"/>
    </row>
    <row r="3753" spans="1:1" hidden="1" x14ac:dyDescent="0.35">
      <c r="A3753" s="1"/>
    </row>
    <row r="3754" spans="1:1" hidden="1" x14ac:dyDescent="0.35">
      <c r="A3754" s="1"/>
    </row>
    <row r="3755" spans="1:1" hidden="1" x14ac:dyDescent="0.35">
      <c r="A3755" s="1"/>
    </row>
    <row r="3756" spans="1:1" hidden="1" x14ac:dyDescent="0.35">
      <c r="A3756" s="1"/>
    </row>
    <row r="3757" spans="1:1" hidden="1" x14ac:dyDescent="0.35">
      <c r="A3757" s="1"/>
    </row>
    <row r="3758" spans="1:1" hidden="1" x14ac:dyDescent="0.35">
      <c r="A3758" s="1"/>
    </row>
    <row r="3759" spans="1:1" hidden="1" x14ac:dyDescent="0.35">
      <c r="A3759" s="1"/>
    </row>
    <row r="3760" spans="1:1" hidden="1" x14ac:dyDescent="0.35">
      <c r="A3760" s="1"/>
    </row>
    <row r="3761" spans="1:1" hidden="1" x14ac:dyDescent="0.35">
      <c r="A3761" s="1"/>
    </row>
    <row r="3762" spans="1:1" hidden="1" x14ac:dyDescent="0.35">
      <c r="A3762" s="1"/>
    </row>
    <row r="3763" spans="1:1" hidden="1" x14ac:dyDescent="0.35">
      <c r="A3763" s="1"/>
    </row>
    <row r="3764" spans="1:1" hidden="1" x14ac:dyDescent="0.35">
      <c r="A3764" s="1"/>
    </row>
    <row r="3765" spans="1:1" hidden="1" x14ac:dyDescent="0.35">
      <c r="A3765" s="1"/>
    </row>
    <row r="3766" spans="1:1" hidden="1" x14ac:dyDescent="0.35">
      <c r="A3766" s="1"/>
    </row>
    <row r="3767" spans="1:1" hidden="1" x14ac:dyDescent="0.35">
      <c r="A3767" s="1"/>
    </row>
    <row r="3768" spans="1:1" hidden="1" x14ac:dyDescent="0.35">
      <c r="A3768" s="1"/>
    </row>
    <row r="3769" spans="1:1" hidden="1" x14ac:dyDescent="0.35">
      <c r="A3769" s="1"/>
    </row>
    <row r="3770" spans="1:1" hidden="1" x14ac:dyDescent="0.35">
      <c r="A3770" s="1"/>
    </row>
    <row r="3771" spans="1:1" hidden="1" x14ac:dyDescent="0.35">
      <c r="A3771" s="1"/>
    </row>
    <row r="3772" spans="1:1" hidden="1" x14ac:dyDescent="0.35">
      <c r="A3772" s="1"/>
    </row>
    <row r="3773" spans="1:1" hidden="1" x14ac:dyDescent="0.35">
      <c r="A3773" s="1"/>
    </row>
    <row r="3774" spans="1:1" hidden="1" x14ac:dyDescent="0.35">
      <c r="A3774" s="1"/>
    </row>
    <row r="3775" spans="1:1" hidden="1" x14ac:dyDescent="0.35">
      <c r="A3775" s="1"/>
    </row>
    <row r="3776" spans="1:1" hidden="1" x14ac:dyDescent="0.35">
      <c r="A3776" s="1"/>
    </row>
    <row r="3777" spans="1:1" hidden="1" x14ac:dyDescent="0.35">
      <c r="A3777" s="1"/>
    </row>
    <row r="3778" spans="1:1" hidden="1" x14ac:dyDescent="0.35">
      <c r="A3778" s="1"/>
    </row>
    <row r="3779" spans="1:1" hidden="1" x14ac:dyDescent="0.35">
      <c r="A3779" s="1"/>
    </row>
    <row r="3780" spans="1:1" hidden="1" x14ac:dyDescent="0.35">
      <c r="A3780" s="1"/>
    </row>
    <row r="3781" spans="1:1" hidden="1" x14ac:dyDescent="0.35">
      <c r="A3781" s="1"/>
    </row>
    <row r="3782" spans="1:1" hidden="1" x14ac:dyDescent="0.35">
      <c r="A3782" s="1"/>
    </row>
    <row r="3783" spans="1:1" hidden="1" x14ac:dyDescent="0.35">
      <c r="A3783" s="1"/>
    </row>
    <row r="3784" spans="1:1" hidden="1" x14ac:dyDescent="0.35">
      <c r="A3784" s="1"/>
    </row>
    <row r="3785" spans="1:1" hidden="1" x14ac:dyDescent="0.35">
      <c r="A3785" s="1"/>
    </row>
    <row r="3786" spans="1:1" hidden="1" x14ac:dyDescent="0.35">
      <c r="A3786" s="1"/>
    </row>
    <row r="3787" spans="1:1" hidden="1" x14ac:dyDescent="0.35">
      <c r="A3787" s="1"/>
    </row>
    <row r="3788" spans="1:1" hidden="1" x14ac:dyDescent="0.35">
      <c r="A3788" s="1"/>
    </row>
    <row r="3789" spans="1:1" hidden="1" x14ac:dyDescent="0.35">
      <c r="A3789" s="1"/>
    </row>
    <row r="3790" spans="1:1" hidden="1" x14ac:dyDescent="0.35">
      <c r="A3790" s="1"/>
    </row>
    <row r="3791" spans="1:1" hidden="1" x14ac:dyDescent="0.35">
      <c r="A3791" s="1"/>
    </row>
    <row r="3792" spans="1:1" hidden="1" x14ac:dyDescent="0.35">
      <c r="A3792" s="1"/>
    </row>
    <row r="3793" spans="1:1" hidden="1" x14ac:dyDescent="0.35">
      <c r="A3793" s="1"/>
    </row>
    <row r="3794" spans="1:1" hidden="1" x14ac:dyDescent="0.35">
      <c r="A3794" s="1"/>
    </row>
    <row r="3795" spans="1:1" hidden="1" x14ac:dyDescent="0.35">
      <c r="A3795" s="1"/>
    </row>
    <row r="3796" spans="1:1" hidden="1" x14ac:dyDescent="0.35">
      <c r="A3796" s="1"/>
    </row>
    <row r="3797" spans="1:1" hidden="1" x14ac:dyDescent="0.35">
      <c r="A3797" s="1"/>
    </row>
    <row r="3798" spans="1:1" hidden="1" x14ac:dyDescent="0.35">
      <c r="A3798" s="1"/>
    </row>
    <row r="3799" spans="1:1" hidden="1" x14ac:dyDescent="0.35">
      <c r="A3799" s="1"/>
    </row>
    <row r="3800" spans="1:1" hidden="1" x14ac:dyDescent="0.35">
      <c r="A3800" s="1"/>
    </row>
    <row r="3801" spans="1:1" hidden="1" x14ac:dyDescent="0.35">
      <c r="A3801" s="1"/>
    </row>
    <row r="3802" spans="1:1" hidden="1" x14ac:dyDescent="0.35">
      <c r="A3802" s="1"/>
    </row>
    <row r="3803" spans="1:1" hidden="1" x14ac:dyDescent="0.35">
      <c r="A3803" s="1"/>
    </row>
    <row r="3804" spans="1:1" hidden="1" x14ac:dyDescent="0.35">
      <c r="A3804" s="1"/>
    </row>
    <row r="3805" spans="1:1" hidden="1" x14ac:dyDescent="0.35">
      <c r="A3805" s="1"/>
    </row>
    <row r="3806" spans="1:1" hidden="1" x14ac:dyDescent="0.35">
      <c r="A3806" s="1"/>
    </row>
    <row r="3807" spans="1:1" hidden="1" x14ac:dyDescent="0.35">
      <c r="A3807" s="1"/>
    </row>
    <row r="3808" spans="1:1" hidden="1" x14ac:dyDescent="0.35">
      <c r="A3808" s="1"/>
    </row>
    <row r="3809" spans="1:1" hidden="1" x14ac:dyDescent="0.35">
      <c r="A3809" s="1"/>
    </row>
    <row r="3810" spans="1:1" hidden="1" x14ac:dyDescent="0.35">
      <c r="A3810" s="1"/>
    </row>
    <row r="3811" spans="1:1" hidden="1" x14ac:dyDescent="0.35">
      <c r="A3811" s="1"/>
    </row>
    <row r="3812" spans="1:1" hidden="1" x14ac:dyDescent="0.35">
      <c r="A3812" s="1"/>
    </row>
    <row r="3813" spans="1:1" hidden="1" x14ac:dyDescent="0.35">
      <c r="A3813" s="1"/>
    </row>
    <row r="3814" spans="1:1" hidden="1" x14ac:dyDescent="0.35">
      <c r="A3814" s="1"/>
    </row>
    <row r="3815" spans="1:1" hidden="1" x14ac:dyDescent="0.35">
      <c r="A3815" s="1"/>
    </row>
    <row r="3816" spans="1:1" hidden="1" x14ac:dyDescent="0.35">
      <c r="A3816" s="1"/>
    </row>
    <row r="3817" spans="1:1" hidden="1" x14ac:dyDescent="0.35">
      <c r="A3817" s="1"/>
    </row>
    <row r="3818" spans="1:1" hidden="1" x14ac:dyDescent="0.35">
      <c r="A3818" s="1"/>
    </row>
    <row r="3819" spans="1:1" hidden="1" x14ac:dyDescent="0.35">
      <c r="A3819" s="1"/>
    </row>
    <row r="3820" spans="1:1" hidden="1" x14ac:dyDescent="0.35">
      <c r="A3820" s="1"/>
    </row>
    <row r="3821" spans="1:1" hidden="1" x14ac:dyDescent="0.35">
      <c r="A3821" s="1"/>
    </row>
    <row r="3822" spans="1:1" hidden="1" x14ac:dyDescent="0.35">
      <c r="A3822" s="1"/>
    </row>
    <row r="3823" spans="1:1" hidden="1" x14ac:dyDescent="0.35">
      <c r="A3823" s="1"/>
    </row>
    <row r="3824" spans="1:1" hidden="1" x14ac:dyDescent="0.35">
      <c r="A3824" s="1"/>
    </row>
    <row r="3825" spans="1:1" hidden="1" x14ac:dyDescent="0.35">
      <c r="A3825" s="1"/>
    </row>
    <row r="3826" spans="1:1" hidden="1" x14ac:dyDescent="0.35">
      <c r="A3826" s="1"/>
    </row>
    <row r="3827" spans="1:1" hidden="1" x14ac:dyDescent="0.35">
      <c r="A3827" s="1"/>
    </row>
    <row r="3828" spans="1:1" hidden="1" x14ac:dyDescent="0.35">
      <c r="A3828" s="1"/>
    </row>
    <row r="3829" spans="1:1" hidden="1" x14ac:dyDescent="0.35">
      <c r="A3829" s="1"/>
    </row>
    <row r="3830" spans="1:1" hidden="1" x14ac:dyDescent="0.35">
      <c r="A3830" s="1"/>
    </row>
    <row r="3831" spans="1:1" hidden="1" x14ac:dyDescent="0.35">
      <c r="A3831" s="1"/>
    </row>
    <row r="3832" spans="1:1" hidden="1" x14ac:dyDescent="0.35">
      <c r="A3832" s="1"/>
    </row>
    <row r="3833" spans="1:1" hidden="1" x14ac:dyDescent="0.35">
      <c r="A3833" s="1"/>
    </row>
    <row r="3834" spans="1:1" hidden="1" x14ac:dyDescent="0.35">
      <c r="A3834" s="1"/>
    </row>
    <row r="3835" spans="1:1" hidden="1" x14ac:dyDescent="0.35">
      <c r="A3835" s="1"/>
    </row>
    <row r="3836" spans="1:1" hidden="1" x14ac:dyDescent="0.35">
      <c r="A3836" s="1"/>
    </row>
    <row r="3837" spans="1:1" hidden="1" x14ac:dyDescent="0.35">
      <c r="A3837" s="1"/>
    </row>
    <row r="3838" spans="1:1" hidden="1" x14ac:dyDescent="0.35">
      <c r="A3838" s="1"/>
    </row>
    <row r="3839" spans="1:1" hidden="1" x14ac:dyDescent="0.35">
      <c r="A3839" s="1"/>
    </row>
    <row r="3840" spans="1:1" hidden="1" x14ac:dyDescent="0.35">
      <c r="A3840" s="1"/>
    </row>
    <row r="3841" spans="1:1" hidden="1" x14ac:dyDescent="0.35">
      <c r="A3841" s="1"/>
    </row>
    <row r="3842" spans="1:1" hidden="1" x14ac:dyDescent="0.35">
      <c r="A3842" s="1"/>
    </row>
    <row r="3843" spans="1:1" hidden="1" x14ac:dyDescent="0.35">
      <c r="A3843" s="1"/>
    </row>
    <row r="3844" spans="1:1" hidden="1" x14ac:dyDescent="0.35">
      <c r="A3844" s="1"/>
    </row>
    <row r="3845" spans="1:1" hidden="1" x14ac:dyDescent="0.35">
      <c r="A3845" s="1"/>
    </row>
    <row r="3846" spans="1:1" hidden="1" x14ac:dyDescent="0.35">
      <c r="A3846" s="1"/>
    </row>
    <row r="3847" spans="1:1" hidden="1" x14ac:dyDescent="0.35">
      <c r="A3847" s="1"/>
    </row>
    <row r="3848" spans="1:1" hidden="1" x14ac:dyDescent="0.35">
      <c r="A3848" s="1"/>
    </row>
    <row r="3849" spans="1:1" hidden="1" x14ac:dyDescent="0.35">
      <c r="A3849" s="1"/>
    </row>
    <row r="3850" spans="1:1" hidden="1" x14ac:dyDescent="0.35">
      <c r="A3850" s="1"/>
    </row>
    <row r="3851" spans="1:1" hidden="1" x14ac:dyDescent="0.35">
      <c r="A3851" s="1"/>
    </row>
    <row r="3852" spans="1:1" hidden="1" x14ac:dyDescent="0.35">
      <c r="A3852" s="1"/>
    </row>
    <row r="3853" spans="1:1" hidden="1" x14ac:dyDescent="0.35">
      <c r="A3853" s="1"/>
    </row>
    <row r="3854" spans="1:1" hidden="1" x14ac:dyDescent="0.35">
      <c r="A3854" s="1"/>
    </row>
    <row r="3855" spans="1:1" hidden="1" x14ac:dyDescent="0.35">
      <c r="A3855" s="1"/>
    </row>
    <row r="3856" spans="1:1" hidden="1" x14ac:dyDescent="0.35">
      <c r="A3856" s="1"/>
    </row>
    <row r="3857" spans="1:1" hidden="1" x14ac:dyDescent="0.35">
      <c r="A3857" s="1"/>
    </row>
    <row r="3858" spans="1:1" hidden="1" x14ac:dyDescent="0.35">
      <c r="A3858" s="1"/>
    </row>
    <row r="3859" spans="1:1" hidden="1" x14ac:dyDescent="0.35">
      <c r="A3859" s="1"/>
    </row>
    <row r="3860" spans="1:1" hidden="1" x14ac:dyDescent="0.35">
      <c r="A3860" s="1"/>
    </row>
    <row r="3861" spans="1:1" hidden="1" x14ac:dyDescent="0.35">
      <c r="A3861" s="1"/>
    </row>
    <row r="3862" spans="1:1" hidden="1" x14ac:dyDescent="0.35">
      <c r="A3862" s="1"/>
    </row>
    <row r="3863" spans="1:1" hidden="1" x14ac:dyDescent="0.35">
      <c r="A3863" s="1"/>
    </row>
    <row r="3864" spans="1:1" hidden="1" x14ac:dyDescent="0.35">
      <c r="A3864" s="1"/>
    </row>
    <row r="3865" spans="1:1" hidden="1" x14ac:dyDescent="0.35">
      <c r="A3865" s="1"/>
    </row>
    <row r="3866" spans="1:1" hidden="1" x14ac:dyDescent="0.35">
      <c r="A3866" s="1"/>
    </row>
    <row r="3867" spans="1:1" hidden="1" x14ac:dyDescent="0.35">
      <c r="A3867" s="1"/>
    </row>
    <row r="3868" spans="1:1" hidden="1" x14ac:dyDescent="0.35">
      <c r="A3868" s="1"/>
    </row>
    <row r="3869" spans="1:1" hidden="1" x14ac:dyDescent="0.35">
      <c r="A3869" s="1"/>
    </row>
    <row r="3870" spans="1:1" hidden="1" x14ac:dyDescent="0.35">
      <c r="A3870" s="1"/>
    </row>
    <row r="3871" spans="1:1" hidden="1" x14ac:dyDescent="0.35">
      <c r="A3871" s="1"/>
    </row>
    <row r="3872" spans="1:1" hidden="1" x14ac:dyDescent="0.35">
      <c r="A3872" s="1"/>
    </row>
    <row r="3873" spans="1:1" hidden="1" x14ac:dyDescent="0.35">
      <c r="A3873" s="1"/>
    </row>
    <row r="3874" spans="1:1" hidden="1" x14ac:dyDescent="0.35">
      <c r="A3874" s="1"/>
    </row>
    <row r="3875" spans="1:1" hidden="1" x14ac:dyDescent="0.35">
      <c r="A3875" s="1"/>
    </row>
    <row r="3876" spans="1:1" hidden="1" x14ac:dyDescent="0.35">
      <c r="A3876" s="1"/>
    </row>
    <row r="3877" spans="1:1" hidden="1" x14ac:dyDescent="0.35">
      <c r="A3877" s="1"/>
    </row>
    <row r="3878" spans="1:1" hidden="1" x14ac:dyDescent="0.35">
      <c r="A3878" s="1"/>
    </row>
    <row r="3879" spans="1:1" hidden="1" x14ac:dyDescent="0.35">
      <c r="A3879" s="1"/>
    </row>
    <row r="3880" spans="1:1" hidden="1" x14ac:dyDescent="0.35">
      <c r="A3880" s="1"/>
    </row>
    <row r="3881" spans="1:1" hidden="1" x14ac:dyDescent="0.35">
      <c r="A3881" s="1"/>
    </row>
    <row r="3882" spans="1:1" hidden="1" x14ac:dyDescent="0.35">
      <c r="A3882" s="1"/>
    </row>
    <row r="3883" spans="1:1" hidden="1" x14ac:dyDescent="0.35">
      <c r="A3883" s="1"/>
    </row>
    <row r="3884" spans="1:1" hidden="1" x14ac:dyDescent="0.35">
      <c r="A3884" s="1"/>
    </row>
    <row r="3885" spans="1:1" hidden="1" x14ac:dyDescent="0.35">
      <c r="A3885" s="1"/>
    </row>
    <row r="3886" spans="1:1" hidden="1" x14ac:dyDescent="0.35">
      <c r="A3886" s="1"/>
    </row>
    <row r="3887" spans="1:1" hidden="1" x14ac:dyDescent="0.35">
      <c r="A3887" s="1"/>
    </row>
    <row r="3888" spans="1:1" hidden="1" x14ac:dyDescent="0.35">
      <c r="A3888" s="1"/>
    </row>
    <row r="3889" spans="1:1" hidden="1" x14ac:dyDescent="0.35">
      <c r="A3889" s="1"/>
    </row>
    <row r="3890" spans="1:1" hidden="1" x14ac:dyDescent="0.35">
      <c r="A3890" s="1"/>
    </row>
    <row r="3891" spans="1:1" hidden="1" x14ac:dyDescent="0.35">
      <c r="A3891" s="1"/>
    </row>
    <row r="3892" spans="1:1" hidden="1" x14ac:dyDescent="0.35">
      <c r="A3892" s="1"/>
    </row>
    <row r="3893" spans="1:1" hidden="1" x14ac:dyDescent="0.35">
      <c r="A3893" s="1"/>
    </row>
    <row r="3894" spans="1:1" hidden="1" x14ac:dyDescent="0.35">
      <c r="A3894" s="1"/>
    </row>
    <row r="3895" spans="1:1" hidden="1" x14ac:dyDescent="0.35">
      <c r="A3895" s="1"/>
    </row>
    <row r="3896" spans="1:1" hidden="1" x14ac:dyDescent="0.35">
      <c r="A3896" s="1"/>
    </row>
    <row r="3897" spans="1:1" hidden="1" x14ac:dyDescent="0.35">
      <c r="A3897" s="1"/>
    </row>
    <row r="3898" spans="1:1" hidden="1" x14ac:dyDescent="0.35">
      <c r="A3898" s="1"/>
    </row>
    <row r="3899" spans="1:1" hidden="1" x14ac:dyDescent="0.35">
      <c r="A3899" s="1"/>
    </row>
    <row r="3900" spans="1:1" hidden="1" x14ac:dyDescent="0.35">
      <c r="A3900" s="1"/>
    </row>
    <row r="3901" spans="1:1" hidden="1" x14ac:dyDescent="0.35">
      <c r="A3901" s="1"/>
    </row>
    <row r="3902" spans="1:1" hidden="1" x14ac:dyDescent="0.35">
      <c r="A3902" s="1"/>
    </row>
    <row r="3903" spans="1:1" hidden="1" x14ac:dyDescent="0.35">
      <c r="A3903" s="1"/>
    </row>
    <row r="3904" spans="1:1" hidden="1" x14ac:dyDescent="0.35">
      <c r="A3904" s="1"/>
    </row>
    <row r="3905" spans="1:1" hidden="1" x14ac:dyDescent="0.35">
      <c r="A3905" s="1"/>
    </row>
    <row r="3906" spans="1:1" hidden="1" x14ac:dyDescent="0.35">
      <c r="A3906" s="1"/>
    </row>
    <row r="3907" spans="1:1" hidden="1" x14ac:dyDescent="0.35">
      <c r="A3907" s="1"/>
    </row>
    <row r="3908" spans="1:1" hidden="1" x14ac:dyDescent="0.35">
      <c r="A3908" s="1"/>
    </row>
    <row r="3909" spans="1:1" hidden="1" x14ac:dyDescent="0.35">
      <c r="A3909" s="1"/>
    </row>
    <row r="3910" spans="1:1" hidden="1" x14ac:dyDescent="0.35">
      <c r="A3910" s="1"/>
    </row>
    <row r="3911" spans="1:1" hidden="1" x14ac:dyDescent="0.35">
      <c r="A3911" s="1"/>
    </row>
    <row r="3912" spans="1:1" hidden="1" x14ac:dyDescent="0.35">
      <c r="A3912" s="1"/>
    </row>
    <row r="3913" spans="1:1" hidden="1" x14ac:dyDescent="0.35">
      <c r="A3913" s="1"/>
    </row>
    <row r="3914" spans="1:1" hidden="1" x14ac:dyDescent="0.35">
      <c r="A3914" s="1"/>
    </row>
    <row r="3915" spans="1:1" hidden="1" x14ac:dyDescent="0.35">
      <c r="A3915" s="1"/>
    </row>
    <row r="3916" spans="1:1" hidden="1" x14ac:dyDescent="0.35">
      <c r="A3916" s="1"/>
    </row>
    <row r="3917" spans="1:1" hidden="1" x14ac:dyDescent="0.35">
      <c r="A3917" s="1"/>
    </row>
    <row r="3918" spans="1:1" hidden="1" x14ac:dyDescent="0.35">
      <c r="A3918" s="1"/>
    </row>
    <row r="3919" spans="1:1" hidden="1" x14ac:dyDescent="0.35">
      <c r="A3919" s="1"/>
    </row>
    <row r="3920" spans="1:1" hidden="1" x14ac:dyDescent="0.35">
      <c r="A3920" s="1"/>
    </row>
    <row r="3921" spans="1:1" hidden="1" x14ac:dyDescent="0.35">
      <c r="A3921" s="1"/>
    </row>
    <row r="3922" spans="1:1" hidden="1" x14ac:dyDescent="0.35">
      <c r="A3922" s="1"/>
    </row>
    <row r="3923" spans="1:1" hidden="1" x14ac:dyDescent="0.35">
      <c r="A3923" s="1"/>
    </row>
    <row r="3924" spans="1:1" hidden="1" x14ac:dyDescent="0.35">
      <c r="A3924" s="1"/>
    </row>
    <row r="3925" spans="1:1" hidden="1" x14ac:dyDescent="0.35">
      <c r="A3925" s="1"/>
    </row>
    <row r="3926" spans="1:1" hidden="1" x14ac:dyDescent="0.35">
      <c r="A3926" s="1"/>
    </row>
    <row r="3927" spans="1:1" hidden="1" x14ac:dyDescent="0.35">
      <c r="A3927" s="1"/>
    </row>
    <row r="3928" spans="1:1" hidden="1" x14ac:dyDescent="0.35">
      <c r="A3928" s="1"/>
    </row>
    <row r="3929" spans="1:1" hidden="1" x14ac:dyDescent="0.35">
      <c r="A3929" s="1"/>
    </row>
    <row r="3930" spans="1:1" hidden="1" x14ac:dyDescent="0.35">
      <c r="A3930" s="1"/>
    </row>
    <row r="3931" spans="1:1" hidden="1" x14ac:dyDescent="0.35">
      <c r="A3931" s="1"/>
    </row>
    <row r="3932" spans="1:1" hidden="1" x14ac:dyDescent="0.35">
      <c r="A3932" s="1"/>
    </row>
    <row r="3933" spans="1:1" hidden="1" x14ac:dyDescent="0.35">
      <c r="A3933" s="1"/>
    </row>
    <row r="3934" spans="1:1" hidden="1" x14ac:dyDescent="0.35">
      <c r="A3934" s="1"/>
    </row>
    <row r="3935" spans="1:1" hidden="1" x14ac:dyDescent="0.35">
      <c r="A3935" s="1"/>
    </row>
    <row r="3936" spans="1:1" hidden="1" x14ac:dyDescent="0.35">
      <c r="A3936" s="1"/>
    </row>
    <row r="3937" spans="1:1" hidden="1" x14ac:dyDescent="0.35">
      <c r="A3937" s="1"/>
    </row>
    <row r="3938" spans="1:1" hidden="1" x14ac:dyDescent="0.35">
      <c r="A3938" s="1"/>
    </row>
    <row r="3939" spans="1:1" hidden="1" x14ac:dyDescent="0.35">
      <c r="A3939" s="1"/>
    </row>
    <row r="3940" spans="1:1" hidden="1" x14ac:dyDescent="0.35">
      <c r="A3940" s="1"/>
    </row>
    <row r="3941" spans="1:1" hidden="1" x14ac:dyDescent="0.35">
      <c r="A3941" s="1"/>
    </row>
    <row r="3942" spans="1:1" hidden="1" x14ac:dyDescent="0.35">
      <c r="A3942" s="1"/>
    </row>
    <row r="3943" spans="1:1" hidden="1" x14ac:dyDescent="0.35">
      <c r="A3943" s="1"/>
    </row>
    <row r="3944" spans="1:1" hidden="1" x14ac:dyDescent="0.35">
      <c r="A3944" s="1"/>
    </row>
    <row r="3945" spans="1:1" hidden="1" x14ac:dyDescent="0.35">
      <c r="A3945" s="1"/>
    </row>
    <row r="3946" spans="1:1" hidden="1" x14ac:dyDescent="0.35">
      <c r="A3946" s="1"/>
    </row>
    <row r="3947" spans="1:1" hidden="1" x14ac:dyDescent="0.35">
      <c r="A3947" s="1"/>
    </row>
    <row r="3948" spans="1:1" hidden="1" x14ac:dyDescent="0.35">
      <c r="A3948" s="1"/>
    </row>
    <row r="3949" spans="1:1" hidden="1" x14ac:dyDescent="0.35">
      <c r="A3949" s="1"/>
    </row>
    <row r="3950" spans="1:1" hidden="1" x14ac:dyDescent="0.35">
      <c r="A3950" s="1"/>
    </row>
    <row r="3951" spans="1:1" hidden="1" x14ac:dyDescent="0.35">
      <c r="A3951" s="1"/>
    </row>
    <row r="3952" spans="1:1" hidden="1" x14ac:dyDescent="0.35">
      <c r="A3952" s="1"/>
    </row>
    <row r="3953" spans="1:1" hidden="1" x14ac:dyDescent="0.35">
      <c r="A3953" s="1"/>
    </row>
    <row r="3954" spans="1:1" hidden="1" x14ac:dyDescent="0.35">
      <c r="A3954" s="1"/>
    </row>
    <row r="3955" spans="1:1" hidden="1" x14ac:dyDescent="0.35">
      <c r="A3955" s="1"/>
    </row>
    <row r="3956" spans="1:1" hidden="1" x14ac:dyDescent="0.35">
      <c r="A3956" s="1"/>
    </row>
    <row r="3957" spans="1:1" hidden="1" x14ac:dyDescent="0.35">
      <c r="A3957" s="1"/>
    </row>
    <row r="3958" spans="1:1" hidden="1" x14ac:dyDescent="0.35">
      <c r="A3958" s="1"/>
    </row>
    <row r="3959" spans="1:1" hidden="1" x14ac:dyDescent="0.35">
      <c r="A3959" s="1"/>
    </row>
    <row r="3960" spans="1:1" hidden="1" x14ac:dyDescent="0.35">
      <c r="A3960" s="1"/>
    </row>
    <row r="3961" spans="1:1" hidden="1" x14ac:dyDescent="0.35">
      <c r="A3961" s="1"/>
    </row>
    <row r="3962" spans="1:1" hidden="1" x14ac:dyDescent="0.35">
      <c r="A3962" s="1"/>
    </row>
    <row r="3963" spans="1:1" hidden="1" x14ac:dyDescent="0.35">
      <c r="A3963" s="1"/>
    </row>
    <row r="3964" spans="1:1" hidden="1" x14ac:dyDescent="0.35">
      <c r="A3964" s="1"/>
    </row>
    <row r="3965" spans="1:1" hidden="1" x14ac:dyDescent="0.35">
      <c r="A3965" s="1"/>
    </row>
    <row r="3966" spans="1:1" hidden="1" x14ac:dyDescent="0.35">
      <c r="A3966" s="1"/>
    </row>
    <row r="3967" spans="1:1" hidden="1" x14ac:dyDescent="0.35">
      <c r="A3967" s="1"/>
    </row>
    <row r="3968" spans="1:1" hidden="1" x14ac:dyDescent="0.35">
      <c r="A3968" s="1"/>
    </row>
    <row r="3969" spans="1:1" hidden="1" x14ac:dyDescent="0.35">
      <c r="A3969" s="1"/>
    </row>
    <row r="3970" spans="1:1" hidden="1" x14ac:dyDescent="0.35">
      <c r="A3970" s="1"/>
    </row>
    <row r="3971" spans="1:1" hidden="1" x14ac:dyDescent="0.35">
      <c r="A3971" s="1"/>
    </row>
    <row r="3972" spans="1:1" hidden="1" x14ac:dyDescent="0.35">
      <c r="A3972" s="1"/>
    </row>
    <row r="3973" spans="1:1" hidden="1" x14ac:dyDescent="0.35">
      <c r="A3973" s="1"/>
    </row>
    <row r="3974" spans="1:1" hidden="1" x14ac:dyDescent="0.35">
      <c r="A3974" s="1"/>
    </row>
    <row r="3975" spans="1:1" hidden="1" x14ac:dyDescent="0.35">
      <c r="A3975" s="1"/>
    </row>
    <row r="3976" spans="1:1" hidden="1" x14ac:dyDescent="0.35">
      <c r="A3976" s="1"/>
    </row>
    <row r="3977" spans="1:1" hidden="1" x14ac:dyDescent="0.35">
      <c r="A3977" s="1"/>
    </row>
    <row r="3978" spans="1:1" hidden="1" x14ac:dyDescent="0.35">
      <c r="A3978" s="1"/>
    </row>
    <row r="3979" spans="1:1" hidden="1" x14ac:dyDescent="0.35">
      <c r="A3979" s="1"/>
    </row>
    <row r="3980" spans="1:1" hidden="1" x14ac:dyDescent="0.35">
      <c r="A3980" s="1"/>
    </row>
    <row r="3981" spans="1:1" hidden="1" x14ac:dyDescent="0.35">
      <c r="A3981" s="1"/>
    </row>
    <row r="3982" spans="1:1" hidden="1" x14ac:dyDescent="0.35">
      <c r="A3982" s="1"/>
    </row>
    <row r="3983" spans="1:1" hidden="1" x14ac:dyDescent="0.35">
      <c r="A3983" s="1"/>
    </row>
    <row r="3984" spans="1:1" hidden="1" x14ac:dyDescent="0.35">
      <c r="A3984" s="1"/>
    </row>
    <row r="3985" spans="1:1" hidden="1" x14ac:dyDescent="0.35">
      <c r="A3985" s="1"/>
    </row>
    <row r="3986" spans="1:1" hidden="1" x14ac:dyDescent="0.35">
      <c r="A3986" s="1"/>
    </row>
    <row r="3987" spans="1:1" hidden="1" x14ac:dyDescent="0.35">
      <c r="A3987" s="1"/>
    </row>
    <row r="3988" spans="1:1" hidden="1" x14ac:dyDescent="0.35">
      <c r="A3988" s="1"/>
    </row>
    <row r="3989" spans="1:1" hidden="1" x14ac:dyDescent="0.35">
      <c r="A3989" s="1"/>
    </row>
    <row r="3990" spans="1:1" hidden="1" x14ac:dyDescent="0.35">
      <c r="A3990" s="1"/>
    </row>
    <row r="3991" spans="1:1" hidden="1" x14ac:dyDescent="0.35">
      <c r="A3991" s="1"/>
    </row>
    <row r="3992" spans="1:1" hidden="1" x14ac:dyDescent="0.35">
      <c r="A3992" s="1"/>
    </row>
    <row r="3993" spans="1:1" hidden="1" x14ac:dyDescent="0.35">
      <c r="A3993" s="1"/>
    </row>
    <row r="3994" spans="1:1" hidden="1" x14ac:dyDescent="0.35">
      <c r="A3994" s="1"/>
    </row>
    <row r="3995" spans="1:1" hidden="1" x14ac:dyDescent="0.35">
      <c r="A3995" s="1"/>
    </row>
    <row r="3996" spans="1:1" hidden="1" x14ac:dyDescent="0.35">
      <c r="A3996" s="1"/>
    </row>
    <row r="3997" spans="1:1" hidden="1" x14ac:dyDescent="0.35">
      <c r="A3997" s="1"/>
    </row>
    <row r="3998" spans="1:1" hidden="1" x14ac:dyDescent="0.35">
      <c r="A3998" s="1"/>
    </row>
    <row r="3999" spans="1:1" hidden="1" x14ac:dyDescent="0.35">
      <c r="A3999" s="1"/>
    </row>
    <row r="4000" spans="1:1" hidden="1" x14ac:dyDescent="0.35">
      <c r="A4000" s="1"/>
    </row>
    <row r="4001" spans="1:1" hidden="1" x14ac:dyDescent="0.35">
      <c r="A4001" s="1"/>
    </row>
    <row r="4002" spans="1:1" hidden="1" x14ac:dyDescent="0.35">
      <c r="A4002" s="1"/>
    </row>
    <row r="4003" spans="1:1" hidden="1" x14ac:dyDescent="0.35">
      <c r="A4003" s="1"/>
    </row>
    <row r="4004" spans="1:1" hidden="1" x14ac:dyDescent="0.35">
      <c r="A4004" s="1"/>
    </row>
    <row r="4005" spans="1:1" hidden="1" x14ac:dyDescent="0.35">
      <c r="A4005" s="1"/>
    </row>
    <row r="4006" spans="1:1" hidden="1" x14ac:dyDescent="0.35">
      <c r="A4006" s="1"/>
    </row>
    <row r="4007" spans="1:1" hidden="1" x14ac:dyDescent="0.35">
      <c r="A4007" s="1"/>
    </row>
    <row r="4008" spans="1:1" hidden="1" x14ac:dyDescent="0.35">
      <c r="A4008" s="1"/>
    </row>
    <row r="4009" spans="1:1" hidden="1" x14ac:dyDescent="0.35">
      <c r="A4009" s="1"/>
    </row>
    <row r="4010" spans="1:1" hidden="1" x14ac:dyDescent="0.35">
      <c r="A4010" s="1"/>
    </row>
    <row r="4011" spans="1:1" hidden="1" x14ac:dyDescent="0.35">
      <c r="A4011" s="1"/>
    </row>
    <row r="4012" spans="1:1" hidden="1" x14ac:dyDescent="0.35">
      <c r="A4012" s="1"/>
    </row>
    <row r="4013" spans="1:1" hidden="1" x14ac:dyDescent="0.35">
      <c r="A4013" s="1"/>
    </row>
    <row r="4014" spans="1:1" hidden="1" x14ac:dyDescent="0.35">
      <c r="A4014" s="1"/>
    </row>
    <row r="4015" spans="1:1" hidden="1" x14ac:dyDescent="0.35">
      <c r="A4015" s="1"/>
    </row>
    <row r="4016" spans="1:1" hidden="1" x14ac:dyDescent="0.35">
      <c r="A4016" s="1"/>
    </row>
    <row r="4017" spans="1:1" hidden="1" x14ac:dyDescent="0.35">
      <c r="A4017" s="1"/>
    </row>
    <row r="4018" spans="1:1" hidden="1" x14ac:dyDescent="0.35">
      <c r="A4018" s="1"/>
    </row>
    <row r="4019" spans="1:1" hidden="1" x14ac:dyDescent="0.35">
      <c r="A4019" s="1"/>
    </row>
    <row r="4020" spans="1:1" hidden="1" x14ac:dyDescent="0.35">
      <c r="A4020" s="1"/>
    </row>
    <row r="4021" spans="1:1" hidden="1" x14ac:dyDescent="0.35">
      <c r="A4021" s="1"/>
    </row>
    <row r="4022" spans="1:1" hidden="1" x14ac:dyDescent="0.35">
      <c r="A4022" s="1"/>
    </row>
    <row r="4023" spans="1:1" hidden="1" x14ac:dyDescent="0.35">
      <c r="A4023" s="1"/>
    </row>
    <row r="4024" spans="1:1" hidden="1" x14ac:dyDescent="0.35">
      <c r="A4024" s="1"/>
    </row>
    <row r="4025" spans="1:1" hidden="1" x14ac:dyDescent="0.35">
      <c r="A4025" s="1"/>
    </row>
    <row r="4026" spans="1:1" hidden="1" x14ac:dyDescent="0.35">
      <c r="A4026" s="1"/>
    </row>
    <row r="4027" spans="1:1" hidden="1" x14ac:dyDescent="0.35">
      <c r="A4027" s="1"/>
    </row>
    <row r="4028" spans="1:1" hidden="1" x14ac:dyDescent="0.35">
      <c r="A4028" s="1"/>
    </row>
    <row r="4029" spans="1:1" hidden="1" x14ac:dyDescent="0.35">
      <c r="A4029" s="1"/>
    </row>
    <row r="4030" spans="1:1" hidden="1" x14ac:dyDescent="0.35">
      <c r="A4030" s="1"/>
    </row>
    <row r="4031" spans="1:1" hidden="1" x14ac:dyDescent="0.35">
      <c r="A4031" s="1"/>
    </row>
    <row r="4032" spans="1:1" hidden="1" x14ac:dyDescent="0.35">
      <c r="A4032" s="1"/>
    </row>
    <row r="4033" spans="1:1" hidden="1" x14ac:dyDescent="0.35">
      <c r="A4033" s="1"/>
    </row>
    <row r="4034" spans="1:1" hidden="1" x14ac:dyDescent="0.35">
      <c r="A4034" s="1"/>
    </row>
    <row r="4035" spans="1:1" hidden="1" x14ac:dyDescent="0.35">
      <c r="A4035" s="1"/>
    </row>
    <row r="4036" spans="1:1" hidden="1" x14ac:dyDescent="0.35">
      <c r="A4036" s="1"/>
    </row>
    <row r="4037" spans="1:1" hidden="1" x14ac:dyDescent="0.35">
      <c r="A4037" s="1"/>
    </row>
    <row r="4038" spans="1:1" hidden="1" x14ac:dyDescent="0.35">
      <c r="A4038" s="1"/>
    </row>
    <row r="4039" spans="1:1" hidden="1" x14ac:dyDescent="0.35">
      <c r="A4039" s="1"/>
    </row>
    <row r="4040" spans="1:1" hidden="1" x14ac:dyDescent="0.35">
      <c r="A4040" s="1"/>
    </row>
    <row r="4041" spans="1:1" hidden="1" x14ac:dyDescent="0.35">
      <c r="A4041" s="1"/>
    </row>
    <row r="4042" spans="1:1" hidden="1" x14ac:dyDescent="0.35">
      <c r="A4042" s="1"/>
    </row>
    <row r="4043" spans="1:1" hidden="1" x14ac:dyDescent="0.35">
      <c r="A4043" s="1"/>
    </row>
    <row r="4044" spans="1:1" hidden="1" x14ac:dyDescent="0.35">
      <c r="A4044" s="1"/>
    </row>
    <row r="4045" spans="1:1" hidden="1" x14ac:dyDescent="0.35">
      <c r="A4045" s="1"/>
    </row>
    <row r="4046" spans="1:1" hidden="1" x14ac:dyDescent="0.35">
      <c r="A4046" s="1"/>
    </row>
    <row r="4047" spans="1:1" hidden="1" x14ac:dyDescent="0.35">
      <c r="A4047" s="1"/>
    </row>
    <row r="4048" spans="1:1" hidden="1" x14ac:dyDescent="0.35">
      <c r="A4048" s="1"/>
    </row>
    <row r="4049" spans="1:1" hidden="1" x14ac:dyDescent="0.35">
      <c r="A4049" s="1"/>
    </row>
    <row r="4050" spans="1:1" hidden="1" x14ac:dyDescent="0.35">
      <c r="A4050" s="1"/>
    </row>
    <row r="4051" spans="1:1" hidden="1" x14ac:dyDescent="0.35">
      <c r="A4051" s="1"/>
    </row>
    <row r="4052" spans="1:1" hidden="1" x14ac:dyDescent="0.35">
      <c r="A4052" s="1"/>
    </row>
    <row r="4053" spans="1:1" hidden="1" x14ac:dyDescent="0.35">
      <c r="A4053" s="1"/>
    </row>
    <row r="4054" spans="1:1" hidden="1" x14ac:dyDescent="0.35">
      <c r="A4054" s="1"/>
    </row>
    <row r="4055" spans="1:1" hidden="1" x14ac:dyDescent="0.35">
      <c r="A4055" s="1"/>
    </row>
    <row r="4056" spans="1:1" hidden="1" x14ac:dyDescent="0.35">
      <c r="A4056" s="1"/>
    </row>
    <row r="4057" spans="1:1" hidden="1" x14ac:dyDescent="0.35">
      <c r="A4057" s="1"/>
    </row>
    <row r="4058" spans="1:1" hidden="1" x14ac:dyDescent="0.35">
      <c r="A4058" s="1"/>
    </row>
    <row r="4059" spans="1:1" hidden="1" x14ac:dyDescent="0.35">
      <c r="A4059" s="1"/>
    </row>
    <row r="4060" spans="1:1" hidden="1" x14ac:dyDescent="0.35">
      <c r="A4060" s="1"/>
    </row>
    <row r="4061" spans="1:1" hidden="1" x14ac:dyDescent="0.35">
      <c r="A4061" s="1"/>
    </row>
    <row r="4062" spans="1:1" hidden="1" x14ac:dyDescent="0.35">
      <c r="A4062" s="1"/>
    </row>
    <row r="4063" spans="1:1" hidden="1" x14ac:dyDescent="0.35">
      <c r="A4063" s="1"/>
    </row>
    <row r="4064" spans="1:1" hidden="1" x14ac:dyDescent="0.35">
      <c r="A4064" s="1"/>
    </row>
    <row r="4065" spans="1:1" hidden="1" x14ac:dyDescent="0.35">
      <c r="A4065" s="1"/>
    </row>
    <row r="4066" spans="1:1" hidden="1" x14ac:dyDescent="0.35">
      <c r="A4066" s="1"/>
    </row>
    <row r="4067" spans="1:1" hidden="1" x14ac:dyDescent="0.35">
      <c r="A4067" s="1"/>
    </row>
    <row r="4068" spans="1:1" hidden="1" x14ac:dyDescent="0.35">
      <c r="A4068" s="1"/>
    </row>
    <row r="4069" spans="1:1" hidden="1" x14ac:dyDescent="0.35">
      <c r="A4069" s="1"/>
    </row>
    <row r="4070" spans="1:1" hidden="1" x14ac:dyDescent="0.35">
      <c r="A4070" s="1"/>
    </row>
    <row r="4071" spans="1:1" hidden="1" x14ac:dyDescent="0.35">
      <c r="A4071" s="1"/>
    </row>
    <row r="4072" spans="1:1" hidden="1" x14ac:dyDescent="0.35">
      <c r="A4072" s="1"/>
    </row>
    <row r="4073" spans="1:1" hidden="1" x14ac:dyDescent="0.35">
      <c r="A4073" s="1"/>
    </row>
    <row r="4074" spans="1:1" hidden="1" x14ac:dyDescent="0.35">
      <c r="A4074" s="1"/>
    </row>
    <row r="4075" spans="1:1" hidden="1" x14ac:dyDescent="0.35">
      <c r="A4075" s="1"/>
    </row>
    <row r="4076" spans="1:1" hidden="1" x14ac:dyDescent="0.35">
      <c r="A4076" s="1"/>
    </row>
    <row r="4077" spans="1:1" hidden="1" x14ac:dyDescent="0.35">
      <c r="A4077" s="1"/>
    </row>
    <row r="4078" spans="1:1" hidden="1" x14ac:dyDescent="0.35">
      <c r="A4078" s="1"/>
    </row>
    <row r="4079" spans="1:1" hidden="1" x14ac:dyDescent="0.35">
      <c r="A4079" s="1"/>
    </row>
    <row r="4080" spans="1:1" hidden="1" x14ac:dyDescent="0.35">
      <c r="A4080" s="1"/>
    </row>
    <row r="4081" spans="1:1" hidden="1" x14ac:dyDescent="0.35">
      <c r="A4081" s="1"/>
    </row>
    <row r="4082" spans="1:1" hidden="1" x14ac:dyDescent="0.35">
      <c r="A4082" s="1"/>
    </row>
    <row r="4083" spans="1:1" hidden="1" x14ac:dyDescent="0.35">
      <c r="A4083" s="1"/>
    </row>
    <row r="4084" spans="1:1" hidden="1" x14ac:dyDescent="0.35">
      <c r="A4084" s="1"/>
    </row>
    <row r="4085" spans="1:1" hidden="1" x14ac:dyDescent="0.35">
      <c r="A4085" s="1"/>
    </row>
    <row r="4086" spans="1:1" hidden="1" x14ac:dyDescent="0.35">
      <c r="A4086" s="1"/>
    </row>
    <row r="4087" spans="1:1" hidden="1" x14ac:dyDescent="0.35">
      <c r="A4087" s="1"/>
    </row>
    <row r="4088" spans="1:1" hidden="1" x14ac:dyDescent="0.35">
      <c r="A4088" s="1"/>
    </row>
    <row r="4089" spans="1:1" hidden="1" x14ac:dyDescent="0.35">
      <c r="A4089" s="1"/>
    </row>
    <row r="4090" spans="1:1" hidden="1" x14ac:dyDescent="0.35">
      <c r="A4090" s="1"/>
    </row>
    <row r="4091" spans="1:1" hidden="1" x14ac:dyDescent="0.35">
      <c r="A4091" s="1"/>
    </row>
    <row r="4092" spans="1:1" hidden="1" x14ac:dyDescent="0.35">
      <c r="A4092" s="1"/>
    </row>
    <row r="4093" spans="1:1" hidden="1" x14ac:dyDescent="0.35">
      <c r="A4093" s="1"/>
    </row>
    <row r="4094" spans="1:1" hidden="1" x14ac:dyDescent="0.35">
      <c r="A4094" s="1"/>
    </row>
    <row r="4095" spans="1:1" hidden="1" x14ac:dyDescent="0.35">
      <c r="A4095" s="1"/>
    </row>
    <row r="4096" spans="1:1" hidden="1" x14ac:dyDescent="0.35">
      <c r="A4096" s="1"/>
    </row>
    <row r="4097" spans="1:1" hidden="1" x14ac:dyDescent="0.35">
      <c r="A4097" s="1"/>
    </row>
    <row r="4098" spans="1:1" hidden="1" x14ac:dyDescent="0.35">
      <c r="A4098" s="1"/>
    </row>
    <row r="4099" spans="1:1" hidden="1" x14ac:dyDescent="0.35">
      <c r="A4099" s="1"/>
    </row>
    <row r="4100" spans="1:1" hidden="1" x14ac:dyDescent="0.35">
      <c r="A4100" s="1"/>
    </row>
    <row r="4101" spans="1:1" hidden="1" x14ac:dyDescent="0.35">
      <c r="A4101" s="1"/>
    </row>
    <row r="4102" spans="1:1" hidden="1" x14ac:dyDescent="0.35">
      <c r="A4102" s="1"/>
    </row>
    <row r="4103" spans="1:1" hidden="1" x14ac:dyDescent="0.35">
      <c r="A4103" s="1"/>
    </row>
    <row r="4104" spans="1:1" hidden="1" x14ac:dyDescent="0.35">
      <c r="A4104" s="1"/>
    </row>
    <row r="4105" spans="1:1" hidden="1" x14ac:dyDescent="0.35">
      <c r="A4105" s="1"/>
    </row>
    <row r="4106" spans="1:1" hidden="1" x14ac:dyDescent="0.35">
      <c r="A4106" s="1"/>
    </row>
    <row r="4107" spans="1:1" hidden="1" x14ac:dyDescent="0.35">
      <c r="A4107" s="1"/>
    </row>
    <row r="4108" spans="1:1" hidden="1" x14ac:dyDescent="0.35">
      <c r="A4108" s="1"/>
    </row>
    <row r="4109" spans="1:1" hidden="1" x14ac:dyDescent="0.35">
      <c r="A4109" s="1"/>
    </row>
    <row r="4110" spans="1:1" hidden="1" x14ac:dyDescent="0.35">
      <c r="A4110" s="1"/>
    </row>
    <row r="4111" spans="1:1" hidden="1" x14ac:dyDescent="0.35">
      <c r="A4111" s="1"/>
    </row>
    <row r="4112" spans="1:1" hidden="1" x14ac:dyDescent="0.35">
      <c r="A4112" s="1"/>
    </row>
    <row r="4113" spans="1:1" hidden="1" x14ac:dyDescent="0.35">
      <c r="A4113" s="1"/>
    </row>
    <row r="4114" spans="1:1" hidden="1" x14ac:dyDescent="0.35">
      <c r="A4114" s="1"/>
    </row>
    <row r="4115" spans="1:1" hidden="1" x14ac:dyDescent="0.35">
      <c r="A4115" s="1"/>
    </row>
    <row r="4116" spans="1:1" hidden="1" x14ac:dyDescent="0.35">
      <c r="A4116" s="1"/>
    </row>
    <row r="4117" spans="1:1" hidden="1" x14ac:dyDescent="0.35">
      <c r="A4117" s="1"/>
    </row>
    <row r="4118" spans="1:1" hidden="1" x14ac:dyDescent="0.35">
      <c r="A4118" s="1"/>
    </row>
    <row r="4119" spans="1:1" hidden="1" x14ac:dyDescent="0.35">
      <c r="A4119" s="1"/>
    </row>
    <row r="4120" spans="1:1" hidden="1" x14ac:dyDescent="0.35">
      <c r="A4120" s="1"/>
    </row>
    <row r="4121" spans="1:1" hidden="1" x14ac:dyDescent="0.35">
      <c r="A4121" s="1"/>
    </row>
    <row r="4122" spans="1:1" hidden="1" x14ac:dyDescent="0.35">
      <c r="A4122" s="1"/>
    </row>
    <row r="4123" spans="1:1" hidden="1" x14ac:dyDescent="0.35">
      <c r="A4123" s="1"/>
    </row>
    <row r="4124" spans="1:1" hidden="1" x14ac:dyDescent="0.35">
      <c r="A4124" s="1"/>
    </row>
    <row r="4125" spans="1:1" hidden="1" x14ac:dyDescent="0.35">
      <c r="A4125" s="1"/>
    </row>
    <row r="4126" spans="1:1" hidden="1" x14ac:dyDescent="0.35">
      <c r="A4126" s="1"/>
    </row>
    <row r="4127" spans="1:1" hidden="1" x14ac:dyDescent="0.35">
      <c r="A4127" s="1"/>
    </row>
    <row r="4128" spans="1:1" hidden="1" x14ac:dyDescent="0.35">
      <c r="A4128" s="1"/>
    </row>
    <row r="4129" spans="1:1" hidden="1" x14ac:dyDescent="0.35">
      <c r="A4129" s="1"/>
    </row>
    <row r="4130" spans="1:1" hidden="1" x14ac:dyDescent="0.35">
      <c r="A4130" s="1"/>
    </row>
    <row r="4131" spans="1:1" hidden="1" x14ac:dyDescent="0.35">
      <c r="A4131" s="1"/>
    </row>
    <row r="4132" spans="1:1" hidden="1" x14ac:dyDescent="0.35">
      <c r="A4132" s="1"/>
    </row>
    <row r="4133" spans="1:1" hidden="1" x14ac:dyDescent="0.35">
      <c r="A4133" s="1"/>
    </row>
    <row r="4134" spans="1:1" hidden="1" x14ac:dyDescent="0.35">
      <c r="A4134" s="1"/>
    </row>
    <row r="4135" spans="1:1" hidden="1" x14ac:dyDescent="0.35">
      <c r="A4135" s="1"/>
    </row>
    <row r="4136" spans="1:1" hidden="1" x14ac:dyDescent="0.35">
      <c r="A4136" s="1"/>
    </row>
    <row r="4137" spans="1:1" hidden="1" x14ac:dyDescent="0.35">
      <c r="A4137" s="1"/>
    </row>
    <row r="4138" spans="1:1" hidden="1" x14ac:dyDescent="0.35">
      <c r="A4138" s="1"/>
    </row>
    <row r="4139" spans="1:1" hidden="1" x14ac:dyDescent="0.35">
      <c r="A4139" s="1"/>
    </row>
    <row r="4140" spans="1:1" hidden="1" x14ac:dyDescent="0.35">
      <c r="A4140" s="1"/>
    </row>
    <row r="4141" spans="1:1" hidden="1" x14ac:dyDescent="0.35">
      <c r="A4141" s="1"/>
    </row>
    <row r="4142" spans="1:1" hidden="1" x14ac:dyDescent="0.35">
      <c r="A4142" s="1"/>
    </row>
    <row r="4143" spans="1:1" hidden="1" x14ac:dyDescent="0.35">
      <c r="A4143" s="1"/>
    </row>
    <row r="4144" spans="1:1" hidden="1" x14ac:dyDescent="0.35">
      <c r="A4144" s="1"/>
    </row>
    <row r="4145" spans="1:1" hidden="1" x14ac:dyDescent="0.35">
      <c r="A4145" s="1"/>
    </row>
    <row r="4146" spans="1:1" hidden="1" x14ac:dyDescent="0.35">
      <c r="A4146" s="1"/>
    </row>
    <row r="4147" spans="1:1" hidden="1" x14ac:dyDescent="0.35">
      <c r="A4147" s="1"/>
    </row>
    <row r="4148" spans="1:1" hidden="1" x14ac:dyDescent="0.35">
      <c r="A4148" s="1"/>
    </row>
    <row r="4149" spans="1:1" hidden="1" x14ac:dyDescent="0.35">
      <c r="A4149" s="1"/>
    </row>
    <row r="4150" spans="1:1" hidden="1" x14ac:dyDescent="0.35">
      <c r="A4150" s="1"/>
    </row>
    <row r="4151" spans="1:1" hidden="1" x14ac:dyDescent="0.35">
      <c r="A4151" s="1"/>
    </row>
    <row r="4152" spans="1:1" hidden="1" x14ac:dyDescent="0.35">
      <c r="A4152" s="1"/>
    </row>
    <row r="4153" spans="1:1" hidden="1" x14ac:dyDescent="0.35">
      <c r="A4153" s="1"/>
    </row>
    <row r="4154" spans="1:1" hidden="1" x14ac:dyDescent="0.35">
      <c r="A4154" s="1"/>
    </row>
    <row r="4155" spans="1:1" hidden="1" x14ac:dyDescent="0.35">
      <c r="A4155" s="1"/>
    </row>
    <row r="4156" spans="1:1" hidden="1" x14ac:dyDescent="0.35">
      <c r="A4156" s="1"/>
    </row>
    <row r="4157" spans="1:1" hidden="1" x14ac:dyDescent="0.35">
      <c r="A4157" s="1"/>
    </row>
    <row r="4158" spans="1:1" hidden="1" x14ac:dyDescent="0.35">
      <c r="A4158" s="1"/>
    </row>
    <row r="4159" spans="1:1" hidden="1" x14ac:dyDescent="0.35">
      <c r="A4159" s="1"/>
    </row>
    <row r="4160" spans="1:1" hidden="1" x14ac:dyDescent="0.35">
      <c r="A4160" s="1"/>
    </row>
    <row r="4161" spans="1:1" hidden="1" x14ac:dyDescent="0.35">
      <c r="A4161" s="1"/>
    </row>
    <row r="4162" spans="1:1" hidden="1" x14ac:dyDescent="0.35">
      <c r="A4162" s="1"/>
    </row>
    <row r="4163" spans="1:1" hidden="1" x14ac:dyDescent="0.35">
      <c r="A4163" s="1"/>
    </row>
    <row r="4164" spans="1:1" hidden="1" x14ac:dyDescent="0.35">
      <c r="A4164" s="1"/>
    </row>
    <row r="4165" spans="1:1" hidden="1" x14ac:dyDescent="0.35">
      <c r="A4165" s="1"/>
    </row>
    <row r="4166" spans="1:1" hidden="1" x14ac:dyDescent="0.35">
      <c r="A4166" s="1"/>
    </row>
    <row r="4167" spans="1:1" hidden="1" x14ac:dyDescent="0.35">
      <c r="A4167" s="1"/>
    </row>
    <row r="4168" spans="1:1" hidden="1" x14ac:dyDescent="0.35">
      <c r="A4168" s="1"/>
    </row>
    <row r="4169" spans="1:1" hidden="1" x14ac:dyDescent="0.35">
      <c r="A4169" s="1"/>
    </row>
    <row r="4170" spans="1:1" hidden="1" x14ac:dyDescent="0.35">
      <c r="A4170" s="1"/>
    </row>
    <row r="4171" spans="1:1" hidden="1" x14ac:dyDescent="0.35">
      <c r="A4171" s="1"/>
    </row>
    <row r="4172" spans="1:1" hidden="1" x14ac:dyDescent="0.35">
      <c r="A4172" s="1"/>
    </row>
    <row r="4173" spans="1:1" hidden="1" x14ac:dyDescent="0.35">
      <c r="A4173" s="1"/>
    </row>
    <row r="4174" spans="1:1" hidden="1" x14ac:dyDescent="0.35">
      <c r="A4174" s="1"/>
    </row>
    <row r="4175" spans="1:1" hidden="1" x14ac:dyDescent="0.35">
      <c r="A4175" s="1"/>
    </row>
    <row r="4176" spans="1:1" hidden="1" x14ac:dyDescent="0.35">
      <c r="A4176" s="1"/>
    </row>
    <row r="4177" spans="1:1" hidden="1" x14ac:dyDescent="0.35">
      <c r="A4177" s="1"/>
    </row>
    <row r="4178" spans="1:1" hidden="1" x14ac:dyDescent="0.35">
      <c r="A4178" s="1"/>
    </row>
    <row r="4179" spans="1:1" hidden="1" x14ac:dyDescent="0.35">
      <c r="A4179" s="1"/>
    </row>
    <row r="4180" spans="1:1" hidden="1" x14ac:dyDescent="0.35">
      <c r="A4180" s="1"/>
    </row>
    <row r="4181" spans="1:1" hidden="1" x14ac:dyDescent="0.35">
      <c r="A4181" s="1"/>
    </row>
    <row r="4182" spans="1:1" hidden="1" x14ac:dyDescent="0.35">
      <c r="A4182" s="1"/>
    </row>
    <row r="4183" spans="1:1" hidden="1" x14ac:dyDescent="0.35">
      <c r="A4183" s="1"/>
    </row>
    <row r="4184" spans="1:1" hidden="1" x14ac:dyDescent="0.35">
      <c r="A4184" s="1"/>
    </row>
    <row r="4185" spans="1:1" hidden="1" x14ac:dyDescent="0.35">
      <c r="A4185" s="1"/>
    </row>
    <row r="4186" spans="1:1" hidden="1" x14ac:dyDescent="0.35">
      <c r="A4186" s="1"/>
    </row>
    <row r="4187" spans="1:1" hidden="1" x14ac:dyDescent="0.35">
      <c r="A4187" s="1"/>
    </row>
    <row r="4188" spans="1:1" hidden="1" x14ac:dyDescent="0.35">
      <c r="A4188" s="1"/>
    </row>
    <row r="4189" spans="1:1" hidden="1" x14ac:dyDescent="0.35">
      <c r="A4189" s="1"/>
    </row>
    <row r="4190" spans="1:1" hidden="1" x14ac:dyDescent="0.35">
      <c r="A4190" s="1"/>
    </row>
    <row r="4191" spans="1:1" hidden="1" x14ac:dyDescent="0.35">
      <c r="A4191" s="1"/>
    </row>
    <row r="4192" spans="1:1" hidden="1" x14ac:dyDescent="0.35">
      <c r="A4192" s="1"/>
    </row>
    <row r="4193" spans="1:1" hidden="1" x14ac:dyDescent="0.35">
      <c r="A4193" s="1"/>
    </row>
    <row r="4194" spans="1:1" hidden="1" x14ac:dyDescent="0.35">
      <c r="A4194" s="1"/>
    </row>
    <row r="4195" spans="1:1" hidden="1" x14ac:dyDescent="0.35">
      <c r="A4195" s="1"/>
    </row>
    <row r="4196" spans="1:1" hidden="1" x14ac:dyDescent="0.35">
      <c r="A4196" s="1"/>
    </row>
    <row r="4197" spans="1:1" hidden="1" x14ac:dyDescent="0.35">
      <c r="A4197" s="1"/>
    </row>
    <row r="4198" spans="1:1" hidden="1" x14ac:dyDescent="0.35">
      <c r="A4198" s="1"/>
    </row>
    <row r="4199" spans="1:1" hidden="1" x14ac:dyDescent="0.35">
      <c r="A4199" s="1"/>
    </row>
    <row r="4200" spans="1:1" hidden="1" x14ac:dyDescent="0.35">
      <c r="A4200" s="1"/>
    </row>
    <row r="4201" spans="1:1" hidden="1" x14ac:dyDescent="0.35">
      <c r="A4201" s="1"/>
    </row>
    <row r="4202" spans="1:1" hidden="1" x14ac:dyDescent="0.35">
      <c r="A4202" s="1"/>
    </row>
    <row r="4203" spans="1:1" hidden="1" x14ac:dyDescent="0.35">
      <c r="A4203" s="1"/>
    </row>
    <row r="4204" spans="1:1" hidden="1" x14ac:dyDescent="0.35">
      <c r="A4204" s="1"/>
    </row>
    <row r="4205" spans="1:1" hidden="1" x14ac:dyDescent="0.35">
      <c r="A4205" s="1"/>
    </row>
    <row r="4206" spans="1:1" hidden="1" x14ac:dyDescent="0.35">
      <c r="A4206" s="1"/>
    </row>
    <row r="4207" spans="1:1" hidden="1" x14ac:dyDescent="0.35">
      <c r="A4207" s="1"/>
    </row>
    <row r="4208" spans="1:1" hidden="1" x14ac:dyDescent="0.35">
      <c r="A4208" s="1"/>
    </row>
    <row r="4209" spans="1:1" hidden="1" x14ac:dyDescent="0.35">
      <c r="A4209" s="1"/>
    </row>
    <row r="4210" spans="1:1" hidden="1" x14ac:dyDescent="0.35">
      <c r="A4210" s="1"/>
    </row>
    <row r="4211" spans="1:1" hidden="1" x14ac:dyDescent="0.35">
      <c r="A4211" s="1"/>
    </row>
    <row r="4212" spans="1:1" hidden="1" x14ac:dyDescent="0.35">
      <c r="A4212" s="1"/>
    </row>
    <row r="4213" spans="1:1" hidden="1" x14ac:dyDescent="0.35">
      <c r="A4213" s="1"/>
    </row>
    <row r="4214" spans="1:1" hidden="1" x14ac:dyDescent="0.35">
      <c r="A4214" s="1"/>
    </row>
    <row r="4215" spans="1:1" hidden="1" x14ac:dyDescent="0.35">
      <c r="A4215" s="1"/>
    </row>
    <row r="4216" spans="1:1" hidden="1" x14ac:dyDescent="0.35">
      <c r="A4216" s="1"/>
    </row>
    <row r="4217" spans="1:1" hidden="1" x14ac:dyDescent="0.35">
      <c r="A4217" s="1"/>
    </row>
    <row r="4218" spans="1:1" hidden="1" x14ac:dyDescent="0.35">
      <c r="A4218" s="1"/>
    </row>
    <row r="4219" spans="1:1" hidden="1" x14ac:dyDescent="0.35">
      <c r="A4219" s="1"/>
    </row>
    <row r="4220" spans="1:1" hidden="1" x14ac:dyDescent="0.35">
      <c r="A4220" s="1"/>
    </row>
    <row r="4221" spans="1:1" hidden="1" x14ac:dyDescent="0.35">
      <c r="A4221" s="1"/>
    </row>
    <row r="4222" spans="1:1" hidden="1" x14ac:dyDescent="0.35">
      <c r="A4222" s="1"/>
    </row>
    <row r="4223" spans="1:1" hidden="1" x14ac:dyDescent="0.35">
      <c r="A4223" s="1"/>
    </row>
    <row r="4224" spans="1:1" hidden="1" x14ac:dyDescent="0.35">
      <c r="A4224" s="1"/>
    </row>
    <row r="4225" spans="1:1" hidden="1" x14ac:dyDescent="0.35">
      <c r="A4225" s="1"/>
    </row>
    <row r="4226" spans="1:1" hidden="1" x14ac:dyDescent="0.35">
      <c r="A4226" s="1"/>
    </row>
    <row r="4227" spans="1:1" hidden="1" x14ac:dyDescent="0.35">
      <c r="A4227" s="1"/>
    </row>
    <row r="4228" spans="1:1" hidden="1" x14ac:dyDescent="0.35">
      <c r="A4228" s="1"/>
    </row>
    <row r="4229" spans="1:1" hidden="1" x14ac:dyDescent="0.35">
      <c r="A4229" s="1"/>
    </row>
    <row r="4230" spans="1:1" hidden="1" x14ac:dyDescent="0.35">
      <c r="A4230" s="1"/>
    </row>
    <row r="4231" spans="1:1" hidden="1" x14ac:dyDescent="0.35">
      <c r="A4231" s="1"/>
    </row>
    <row r="4232" spans="1:1" hidden="1" x14ac:dyDescent="0.35">
      <c r="A4232" s="1"/>
    </row>
    <row r="4233" spans="1:1" hidden="1" x14ac:dyDescent="0.35">
      <c r="A4233" s="1"/>
    </row>
    <row r="4234" spans="1:1" hidden="1" x14ac:dyDescent="0.35">
      <c r="A4234" s="1"/>
    </row>
    <row r="4235" spans="1:1" hidden="1" x14ac:dyDescent="0.35">
      <c r="A4235" s="1"/>
    </row>
    <row r="4236" spans="1:1" hidden="1" x14ac:dyDescent="0.35">
      <c r="A4236" s="1"/>
    </row>
    <row r="4237" spans="1:1" hidden="1" x14ac:dyDescent="0.35">
      <c r="A4237" s="1"/>
    </row>
    <row r="4238" spans="1:1" hidden="1" x14ac:dyDescent="0.35">
      <c r="A4238" s="1"/>
    </row>
    <row r="4239" spans="1:1" hidden="1" x14ac:dyDescent="0.35">
      <c r="A4239" s="1"/>
    </row>
    <row r="4240" spans="1:1" hidden="1" x14ac:dyDescent="0.35">
      <c r="A4240" s="1"/>
    </row>
    <row r="4241" spans="1:1" hidden="1" x14ac:dyDescent="0.35">
      <c r="A4241" s="1"/>
    </row>
    <row r="4242" spans="1:1" hidden="1" x14ac:dyDescent="0.35">
      <c r="A4242" s="1"/>
    </row>
    <row r="4243" spans="1:1" hidden="1" x14ac:dyDescent="0.35">
      <c r="A4243" s="1"/>
    </row>
    <row r="4244" spans="1:1" hidden="1" x14ac:dyDescent="0.35">
      <c r="A4244" s="1"/>
    </row>
    <row r="4245" spans="1:1" hidden="1" x14ac:dyDescent="0.35">
      <c r="A4245" s="1"/>
    </row>
    <row r="4246" spans="1:1" hidden="1" x14ac:dyDescent="0.35">
      <c r="A4246" s="1"/>
    </row>
    <row r="4247" spans="1:1" hidden="1" x14ac:dyDescent="0.35">
      <c r="A4247" s="1"/>
    </row>
    <row r="4248" spans="1:1" hidden="1" x14ac:dyDescent="0.35">
      <c r="A4248" s="1"/>
    </row>
    <row r="4249" spans="1:1" hidden="1" x14ac:dyDescent="0.35">
      <c r="A4249" s="1"/>
    </row>
    <row r="4250" spans="1:1" hidden="1" x14ac:dyDescent="0.35">
      <c r="A4250" s="1"/>
    </row>
    <row r="4251" spans="1:1" hidden="1" x14ac:dyDescent="0.35">
      <c r="A4251" s="1"/>
    </row>
    <row r="4252" spans="1:1" hidden="1" x14ac:dyDescent="0.35">
      <c r="A4252" s="1"/>
    </row>
    <row r="4253" spans="1:1" hidden="1" x14ac:dyDescent="0.35">
      <c r="A4253" s="1"/>
    </row>
    <row r="4254" spans="1:1" hidden="1" x14ac:dyDescent="0.35">
      <c r="A4254" s="1"/>
    </row>
    <row r="4255" spans="1:1" hidden="1" x14ac:dyDescent="0.35">
      <c r="A4255" s="1"/>
    </row>
    <row r="4256" spans="1:1" hidden="1" x14ac:dyDescent="0.35">
      <c r="A4256" s="1"/>
    </row>
    <row r="4257" spans="1:1" hidden="1" x14ac:dyDescent="0.35">
      <c r="A4257" s="1"/>
    </row>
    <row r="4258" spans="1:1" hidden="1" x14ac:dyDescent="0.35">
      <c r="A4258" s="1"/>
    </row>
    <row r="4259" spans="1:1" hidden="1" x14ac:dyDescent="0.35">
      <c r="A4259" s="1"/>
    </row>
    <row r="4260" spans="1:1" hidden="1" x14ac:dyDescent="0.35">
      <c r="A4260" s="1"/>
    </row>
    <row r="4261" spans="1:1" hidden="1" x14ac:dyDescent="0.35">
      <c r="A4261" s="1"/>
    </row>
    <row r="4262" spans="1:1" hidden="1" x14ac:dyDescent="0.35">
      <c r="A4262" s="1"/>
    </row>
    <row r="4263" spans="1:1" hidden="1" x14ac:dyDescent="0.35">
      <c r="A4263" s="1"/>
    </row>
    <row r="4264" spans="1:1" hidden="1" x14ac:dyDescent="0.35">
      <c r="A4264" s="1"/>
    </row>
    <row r="4265" spans="1:1" hidden="1" x14ac:dyDescent="0.35">
      <c r="A4265" s="1"/>
    </row>
    <row r="4266" spans="1:1" hidden="1" x14ac:dyDescent="0.35">
      <c r="A4266" s="1"/>
    </row>
    <row r="4267" spans="1:1" hidden="1" x14ac:dyDescent="0.35">
      <c r="A4267" s="1"/>
    </row>
    <row r="4268" spans="1:1" hidden="1" x14ac:dyDescent="0.35">
      <c r="A4268" s="1"/>
    </row>
    <row r="4269" spans="1:1" hidden="1" x14ac:dyDescent="0.35">
      <c r="A4269" s="1"/>
    </row>
    <row r="4270" spans="1:1" hidden="1" x14ac:dyDescent="0.35">
      <c r="A4270" s="1"/>
    </row>
    <row r="4271" spans="1:1" hidden="1" x14ac:dyDescent="0.35">
      <c r="A4271" s="1"/>
    </row>
    <row r="4272" spans="1:1" hidden="1" x14ac:dyDescent="0.35">
      <c r="A4272" s="1"/>
    </row>
    <row r="4273" spans="1:1" hidden="1" x14ac:dyDescent="0.35">
      <c r="A4273" s="1"/>
    </row>
    <row r="4274" spans="1:1" hidden="1" x14ac:dyDescent="0.35">
      <c r="A4274" s="1"/>
    </row>
    <row r="4275" spans="1:1" hidden="1" x14ac:dyDescent="0.35">
      <c r="A4275" s="1"/>
    </row>
    <row r="4276" spans="1:1" hidden="1" x14ac:dyDescent="0.35">
      <c r="A4276" s="1"/>
    </row>
    <row r="4277" spans="1:1" hidden="1" x14ac:dyDescent="0.35">
      <c r="A4277" s="1"/>
    </row>
    <row r="4278" spans="1:1" hidden="1" x14ac:dyDescent="0.35">
      <c r="A4278" s="1"/>
    </row>
    <row r="4279" spans="1:1" hidden="1" x14ac:dyDescent="0.35">
      <c r="A4279" s="1"/>
    </row>
    <row r="4280" spans="1:1" hidden="1" x14ac:dyDescent="0.35">
      <c r="A4280" s="1"/>
    </row>
    <row r="4281" spans="1:1" hidden="1" x14ac:dyDescent="0.35">
      <c r="A4281" s="1"/>
    </row>
    <row r="4282" spans="1:1" hidden="1" x14ac:dyDescent="0.35">
      <c r="A4282" s="1"/>
    </row>
    <row r="4283" spans="1:1" hidden="1" x14ac:dyDescent="0.35">
      <c r="A4283" s="1"/>
    </row>
    <row r="4284" spans="1:1" hidden="1" x14ac:dyDescent="0.35">
      <c r="A4284" s="1"/>
    </row>
    <row r="4285" spans="1:1" hidden="1" x14ac:dyDescent="0.35">
      <c r="A4285" s="1"/>
    </row>
    <row r="4286" spans="1:1" hidden="1" x14ac:dyDescent="0.35">
      <c r="A4286" s="1"/>
    </row>
    <row r="4287" spans="1:1" hidden="1" x14ac:dyDescent="0.35">
      <c r="A4287" s="1"/>
    </row>
    <row r="4288" spans="1:1" hidden="1" x14ac:dyDescent="0.35">
      <c r="A4288" s="1"/>
    </row>
    <row r="4289" spans="1:1" hidden="1" x14ac:dyDescent="0.35">
      <c r="A4289" s="1"/>
    </row>
    <row r="4290" spans="1:1" hidden="1" x14ac:dyDescent="0.35">
      <c r="A4290" s="1"/>
    </row>
    <row r="4291" spans="1:1" hidden="1" x14ac:dyDescent="0.35">
      <c r="A4291" s="1"/>
    </row>
    <row r="4292" spans="1:1" hidden="1" x14ac:dyDescent="0.35">
      <c r="A4292" s="1"/>
    </row>
    <row r="4293" spans="1:1" hidden="1" x14ac:dyDescent="0.35">
      <c r="A4293" s="1"/>
    </row>
    <row r="4294" spans="1:1" hidden="1" x14ac:dyDescent="0.35">
      <c r="A4294" s="1"/>
    </row>
    <row r="4295" spans="1:1" hidden="1" x14ac:dyDescent="0.35">
      <c r="A4295" s="1"/>
    </row>
    <row r="4296" spans="1:1" hidden="1" x14ac:dyDescent="0.35">
      <c r="A4296" s="1"/>
    </row>
    <row r="4297" spans="1:1" hidden="1" x14ac:dyDescent="0.35">
      <c r="A4297" s="1"/>
    </row>
    <row r="4298" spans="1:1" hidden="1" x14ac:dyDescent="0.35">
      <c r="A4298" s="1"/>
    </row>
    <row r="4299" spans="1:1" hidden="1" x14ac:dyDescent="0.35">
      <c r="A4299" s="1"/>
    </row>
    <row r="4300" spans="1:1" hidden="1" x14ac:dyDescent="0.35">
      <c r="A4300" s="1"/>
    </row>
    <row r="4301" spans="1:1" hidden="1" x14ac:dyDescent="0.35">
      <c r="A4301" s="1"/>
    </row>
    <row r="4302" spans="1:1" hidden="1" x14ac:dyDescent="0.35">
      <c r="A4302" s="1"/>
    </row>
    <row r="4303" spans="1:1" hidden="1" x14ac:dyDescent="0.35">
      <c r="A4303" s="1"/>
    </row>
    <row r="4304" spans="1:1" hidden="1" x14ac:dyDescent="0.35">
      <c r="A4304" s="1"/>
    </row>
    <row r="4305" spans="1:1" hidden="1" x14ac:dyDescent="0.35">
      <c r="A4305" s="1"/>
    </row>
    <row r="4306" spans="1:1" hidden="1" x14ac:dyDescent="0.35">
      <c r="A4306" s="1"/>
    </row>
    <row r="4307" spans="1:1" hidden="1" x14ac:dyDescent="0.35">
      <c r="A4307" s="1"/>
    </row>
    <row r="4308" spans="1:1" hidden="1" x14ac:dyDescent="0.35">
      <c r="A4308" s="1"/>
    </row>
    <row r="4309" spans="1:1" hidden="1" x14ac:dyDescent="0.35">
      <c r="A4309" s="1"/>
    </row>
    <row r="4310" spans="1:1" hidden="1" x14ac:dyDescent="0.35">
      <c r="A4310" s="1"/>
    </row>
    <row r="4311" spans="1:1" hidden="1" x14ac:dyDescent="0.35">
      <c r="A4311" s="1"/>
    </row>
    <row r="4312" spans="1:1" hidden="1" x14ac:dyDescent="0.35">
      <c r="A4312" s="1"/>
    </row>
    <row r="4313" spans="1:1" hidden="1" x14ac:dyDescent="0.35">
      <c r="A4313" s="1"/>
    </row>
    <row r="4314" spans="1:1" hidden="1" x14ac:dyDescent="0.35">
      <c r="A4314" s="1"/>
    </row>
    <row r="4315" spans="1:1" hidden="1" x14ac:dyDescent="0.35">
      <c r="A4315" s="1"/>
    </row>
    <row r="4316" spans="1:1" hidden="1" x14ac:dyDescent="0.35">
      <c r="A4316" s="1"/>
    </row>
    <row r="4317" spans="1:1" hidden="1" x14ac:dyDescent="0.35">
      <c r="A4317" s="1"/>
    </row>
    <row r="4318" spans="1:1" hidden="1" x14ac:dyDescent="0.35">
      <c r="A4318" s="1"/>
    </row>
    <row r="4319" spans="1:1" hidden="1" x14ac:dyDescent="0.35">
      <c r="A4319" s="1"/>
    </row>
    <row r="4320" spans="1:1" hidden="1" x14ac:dyDescent="0.35">
      <c r="A4320" s="1"/>
    </row>
    <row r="4321" spans="1:1" hidden="1" x14ac:dyDescent="0.35">
      <c r="A4321" s="1"/>
    </row>
    <row r="4322" spans="1:1" hidden="1" x14ac:dyDescent="0.35">
      <c r="A4322" s="1"/>
    </row>
  </sheetData>
  <sortState xmlns:xlrd2="http://schemas.microsoft.com/office/spreadsheetml/2017/richdata2" ref="AA1:AA1822">
    <sortCondition ref="AA1:AA432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nse_all_stock_data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Purkar</dc:creator>
  <cp:lastModifiedBy>Shreyas Purkar</cp:lastModifiedBy>
  <dcterms:created xsi:type="dcterms:W3CDTF">2026-04-05T08:02:37Z</dcterms:created>
  <dcterms:modified xsi:type="dcterms:W3CDTF">2026-04-05T14:18:43Z</dcterms:modified>
</cp:coreProperties>
</file>